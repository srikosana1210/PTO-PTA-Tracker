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Texas PTA Paste" sheetId="11" state="visible" r:id="rId11"/>
    <sheet xmlns:r="http://schemas.openxmlformats.org/officeDocument/2006/relationships" name="Texas PTA" sheetId="12" state="visible" r:id="rId12"/>
    <sheet xmlns:r="http://schemas.openxmlformats.org/officeDocument/2006/relationships" name="Roster Match Notes" sheetId="13" state="visible" r:id="rId13"/>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PTO/PTA Tracker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 ref="E1" authorId="1" shapeId="0">
      <text>
        <t>For the Role Viewer (SEDs, EDs, principals, APs): the Area Offices and/or campuses this person may see, separated by commas. For example: NES Elementary, or Anderson ES.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8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Accepted (it needs no review).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 For a PTA, FACE tracks two documents, the training certificate and the officer information form; a PTA with both is Registered.</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 PTA is not tracked for Legalized. A reviewer can mark any document Not Needed for a PTO/PTA; it then counts as done.</t>
        </is>
      </c>
    </row>
    <row r="9" ht="27.75" customHeight="1" s="21">
      <c r="A9" s="26" t="inlineStr">
        <is>
          <t>Item status: Not Received, Received (waiting for review), Accepted, Needs Correction, or Not Needed. Accepted and Not Needed count. An uploaded document is set to Received, and a reviewer checks it off on the dashboard (or in the Campus Register tab). The officer information form is set to Accepted as soon as it comes in: nobody reviews it.</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five lines below, with exactly this wording. For each one allow PDF, Document and Image, maximum 5 files, 100 MB, and leave Required off.</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n"/>
    </row>
    <row r="22" ht="15" customHeight="1" s="21">
      <c r="A22" s="26" t="n"/>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keeps the name it was sent with. It is filed in the campus folder and logged.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15" customHeight="1" s="21">
      <c r="A39" s="25" t="inlineStr">
        <is>
          <t>Texas PTA: each week</t>
        </is>
      </c>
    </row>
    <row r="40" ht="42" customHeight="1" s="21">
      <c r="A40" s="26" t="inlineStr">
        <is>
          <t>1. Open the Texas PTA spreadsheet for Houston ISD. Select everything (Ctrl+A) and copy it.</t>
        </is>
      </c>
    </row>
    <row r="41" ht="42" customHeight="1" s="21">
      <c r="A41" s="26" t="inlineStr">
        <is>
          <t>2. In this sheet, open the Texas PTA Paste tab. Select everything there and delete it, click cell A1 and paste.</t>
        </is>
      </c>
    </row>
    <row r="42" ht="42" customHeight="1" s="21">
      <c r="A42" s="26" t="inlineStr">
        <is>
          <t>3. Choose PTO/PTA Tracker &gt; Import the Texas PTA spreadsheet from the Texas PTA Paste tab. Each PTA is listed on the Texas PTA tab with its status and the five Standards of Continuing Affiliation (officers, membership, bylaws, standing rules, 990). PTAs whose charter was withdrawn are left out. A campus Texas PTA lists is marked PTA on the Campus Register when its Org Type is blank.</t>
        </is>
      </c>
    </row>
    <row r="43" ht="42" customHeight="1" s="21">
      <c r="A43" s="26" t="inlineStr">
        <is>
          <t>4. Check the Campus column on the Texas PTA tab. If a PTA was matched to the wrong campus, or to none, type the campus name as it is in the Campus Register: it is kept on every later import. The dashboard shows the standing on the Overview (Texas PTA standing) and on each PTA's My campus page. Texas PTA's contact details are not copied.</t>
        </is>
      </c>
    </row>
    <row r="44" ht="15" customHeight="1" s="21">
      <c r="A44" s="25" t="inlineStr">
        <is>
          <t>Reviewing (staff, in this sheet)</t>
        </is>
      </c>
    </row>
    <row r="45" ht="27.75" customHeight="1" s="21">
      <c r="A45" s="26" t="inlineStr">
        <is>
          <t>C1 Coordinators review their own campuses on the dashboard (see C1 review, below). Staff can also review here, and can change anything a C1 did.</t>
        </is>
      </c>
    </row>
    <row r="46" ht="27.75" customHeight="1" s="21">
      <c r="A46" s="26" t="inlineStr">
        <is>
          <t>1. In Campus Register, filter Items Awaiting Review to greater than 0. Open each file from its link in Submission Log and check it against the list below.</t>
        </is>
      </c>
    </row>
    <row r="47" ht="27.75" customHeight="1" s="21">
      <c r="A47" s="26" t="inlineStr">
        <is>
          <t>2. Change the item to Accepted, or to Needs Correction (put the reason in Notes on that document's Submission Log row). Only Accepted counts toward Registered and Legalized.</t>
        </is>
      </c>
    </row>
    <row r="48" ht="42" customHeight="1" s="21">
      <c r="A48"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49" ht="15" customHeight="1" s="21">
      <c r="A49" s="26" t="inlineStr">
        <is>
          <t>4. Filter Has PTO or PTA to Not Yet Confirmed and ask each campus's coordinator to confirm Yes or No.</t>
        </is>
      </c>
    </row>
    <row r="50" ht="15" customHeight="1" s="21">
      <c r="A50" s="25" t="inlineStr">
        <is>
          <t>C1 review and sign-ins: C1 Coordinators and FACE staff approve documents on the dashboard</t>
        </is>
      </c>
    </row>
    <row r="51" ht="42" customHeight="1" s="21">
      <c r="A51"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52" ht="69.75" customHeight="1" s="21">
      <c r="A52"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53" ht="55.5" customHeight="1" s="21">
      <c r="A53"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54" ht="97.5" customHeight="1" s="21">
      <c r="A54"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5" ht="97.5" customHeight="1" s="21">
      <c r="A55" s="26" t="inlineStr">
        <is>
          <t>View only, for SEDs, EDs, principals and APs: add a row on Dashboard Sign-ins with the Role Viewer and, in Can See, their Area Office (for example NES Elementary) or campus (for example Anderson ES); several can be separated by commas. Run Dashboard sign-ins: set up and make passcodes to make their passcode. Signed in, they see the officers and the filed documents of those campuses, and cannot change anything. To open the files, they also need view access to the Parent Org Documents folder in Drive.</t>
        </is>
      </c>
    </row>
    <row r="56" ht="42" customHeight="1" s="21">
      <c r="A56"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7" ht="55.5" customHeight="1" s="21">
      <c r="A57"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8" ht="42" customHeight="1" s="21">
      <c r="A58"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59" ht="15" customHeight="1" s="21">
      <c r="A59" s="25" t="inlineStr">
        <is>
          <t>Accepted means</t>
        </is>
      </c>
    </row>
    <row r="60" ht="15" customHeight="1" s="21">
      <c r="A60" s="26" t="inlineStr">
        <is>
          <t>Bylaws (Registered and Legalized): The organization's bylaws are on file.</t>
        </is>
      </c>
    </row>
    <row r="61" ht="27.75" customHeight="1" s="21">
      <c r="A61" s="26" t="inlineStr">
        <is>
          <t>Officer Information (Registered and Legalized): The organization has submitted the HISD Parent Organization Officer Update Form listing its officers. It is filled in again at the start of each school year and whenever officers change.</t>
        </is>
      </c>
    </row>
    <row r="62" ht="27.75" customHeight="1" s="21">
      <c r="A62" s="26" t="inlineStr">
        <is>
          <t>Training Certificate (Registered and Legalized): The completion certificate from the annual online training (President or designee) is on file.</t>
        </is>
      </c>
    </row>
    <row r="63" ht="15" customHeight="1" s="21">
      <c r="A63" s="26" t="inlineStr">
        <is>
          <t>Budget or Financial Report (Legalized): An annual budget report, or meeting minutes showing the budget was approved.</t>
        </is>
      </c>
    </row>
    <row r="64" ht="15" customHeight="1" s="21">
      <c r="A64" s="26" t="inlineStr">
        <is>
          <t>Proof of 501c Status (Legalized): Proof of 501(c) status is on file.</t>
        </is>
      </c>
    </row>
    <row r="65" ht="27.75" customHeight="1" s="21">
      <c r="A65" s="26" t="inlineStr">
        <is>
          <t>Bank Verification Letter (Legalized): Bank account verification letter from financial institution listing two authorized account signers. The Tax ID (EIN) letter is no longer needed.</t>
        </is>
      </c>
    </row>
    <row r="66" ht="15" customHeight="1" s="21">
      <c r="A66" s="26" t="inlineStr">
        <is>
          <t>Articles of Incorporation and Insurance: no longer asked for (October 15, 2026). Their columns on Campus Register are hidden, not deleted, so older records stay. Delete their questions from the form.</t>
        </is>
      </c>
    </row>
    <row r="67" ht="27.75" customHeight="1" s="21">
      <c r="A67" s="26" t="n"/>
    </row>
    <row r="68" ht="15" customHeight="1" s="21">
      <c r="A68" s="25" t="inlineStr">
        <is>
          <t>The dashboard</t>
        </is>
      </c>
    </row>
    <row r="69" ht="84" customHeight="1" s="21">
      <c r="A69"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70" ht="111.75" customHeight="1" s="21">
      <c r="A70"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71" ht="15" customHeight="1" s="21">
      <c r="A71" s="25" t="inlineStr">
        <is>
          <t>Who can see officer details</t>
        </is>
      </c>
    </row>
    <row r="72" ht="42" customHeight="1" s="21">
      <c r="A72" s="26" t="inlineStr">
        <is>
          <t>Leadership, meaning anyone who opens the address without signing in, sees campus status, the checklist, document dates, how many documents are waiting, who each campus is waiting on, and each campus's C1 by name. Officer names, emails and phone numbers, file names and links, notes and who reviewed what are not hidden on the page: they are not sent to the browser at all until someone signs in. SEDs and EDs can use a link that opens on their Area Office: signed-in FACE staff find these links under By Area Office on the Overview. Principals and APs open the main link and pick their campus on My campus.</t>
        </is>
      </c>
    </row>
    <row r="73" ht="55.5" customHeight="1" s="21">
      <c r="A73"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74" ht="27.75" customHeight="1" s="21">
      <c r="A74" s="26" t="inlineStr">
        <is>
          <t>This has not been tried on a real Google account yet. After setup, open the address in a private window and confirm that no officer details show, then sign in as a C1 and as FACE staff and confirm what each can see.</t>
        </is>
      </c>
    </row>
    <row r="75" ht="15" customHeight="1" s="21">
      <c r="A75" s="25" t="inlineStr">
        <is>
          <t>Each school year</t>
        </is>
      </c>
    </row>
    <row r="76" ht="42" customHeight="1" s="21">
      <c r="A76" s="26" t="inlineStr">
        <is>
          <t>In July choose PTO/PTA Tracker &gt; Start a new school year. It copies every campus into the new year and resets the documents to Not Received. Check Area Office if campus assignments changed. The dashboard switches to the new year by itself.</t>
        </is>
      </c>
    </row>
    <row r="77" ht="15" customHeight="1" s="21">
      <c r="A77" s="25" t="inlineStr">
        <is>
          <t>Rules for the sheet</t>
        </is>
      </c>
    </row>
    <row r="78" ht="97.5" customHeight="1" s="21">
      <c r="A78"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79" ht="15" customHeight="1" s="21">
      <c r="A79" s="25" t="inlineStr">
        <is>
          <t>What is deliberately not in these files</t>
        </is>
      </c>
    </row>
    <row r="80" ht="42" customHeight="1" s="21">
      <c r="A80"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81" ht="15" customHeight="1" s="21">
      <c r="A81" s="25" t="inlineStr">
        <is>
          <t>Accounts</t>
        </is>
      </c>
    </row>
    <row r="82" ht="55.5" customHeight="1" s="21">
      <c r="A82"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83" ht="15" customHeight="1" s="21">
      <c r="A83" s="25" t="inlineStr">
        <is>
          <t>Decisions and assumptions</t>
        </is>
      </c>
    </row>
    <row r="84" ht="279.75" customHeight="1" s="21">
      <c r="A84"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  10. Changed on October 15, 2026: the officer information form counts as soon as it comes in; a PTA is tracked on the training certificate and the officer information form; Articles of Incorporation and Insurance are no longer asked for; files keep the name they were sent with; the dashboard has a My campus page and a Waiting on column.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idden="1"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idden="1"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hidden="1" width="13" customWidth="1" style="21" min="13" max="13"/>
    <col hidden="1" width="13" customWidth="1" style="21" min="14"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Confirmed",IF($E2="PTA",IF(AND(OR(I2="Accepted",I2="Not Needed"),OR(H2="Accepted",H2="Not Needed")),"Registered",IF(OR(OR(I2="Accepted",I2="Received",I2="Needs Correction"),OR(H2="Accepted",H2="Received",H2="Needs Correction")),"In Progress","Not Started")),IF($Q2&gt;=Settings!$C$13,"Legalized",IF($P2&gt;=Settings!$C$12,"Registered",IF($O2&gt;0,"In Progress","Not Started")))))))</f>
        <v/>
      </c>
      <c r="S2" s="32">
        <f>IF($B2="","",COUNTIF(G2:N2,"Received"))</f>
        <v/>
      </c>
      <c r="T2" s="32">
        <f>IF($B2="","",COUNTIF(G2:N2,"Needs Correction"))</f>
        <v/>
      </c>
      <c r="U2" s="33">
        <f>IF($B2="","",IF($D2&lt;&gt;"Yes","",IF($E2="PTA",IF(AND(OR(I2="Accepted",I2="Not Needed"),OR(H2="Accepted",H2="Not Needed")),"None",MID(IF(AND(I2&lt;&gt;"Accepted",I2&lt;&gt;"Not Needed"),", "&amp;I$1,"")&amp;IF(AND(H2&lt;&gt;"Accepted",H2&lt;&gt;"Not Needed"),", "&amp;H$1,""),3,400)),IF($Q2&gt;=Settings!$C$13,"None",MID(IF(AND(G2&lt;&gt;"Accepted",G2&lt;&gt;"Not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Confirmed",IF($E3="PTA",IF(AND(OR(I3="Accepted",I3="Not Needed"),OR(H3="Accepted",H3="Not Needed")),"Registered",IF(OR(OR(I3="Accepted",I3="Received",I3="Needs Correction"),OR(H3="Accepted",H3="Received",H3="Needs Correction")),"In Progress","Not Started")),IF($Q3&gt;=Settings!$C$13,"Legalized",IF($P3&gt;=Settings!$C$12,"Registered",IF($O3&gt;0,"In Progress","Not Started")))))))</f>
        <v/>
      </c>
      <c r="S3" s="32">
        <f>IF($B3="","",COUNTIF(G3:N3,"Received"))</f>
        <v/>
      </c>
      <c r="T3" s="32">
        <f>IF($B3="","",COUNTIF(G3:N3,"Needs Correction"))</f>
        <v/>
      </c>
      <c r="U3" s="33">
        <f>IF($B3="","",IF($D3&lt;&gt;"Yes","",IF($E3="PTA",IF(AND(OR(I3="Accepted",I3="Not Needed"),OR(H3="Accepted",H3="Not Needed")),"None",MID(IF(AND(I3&lt;&gt;"Accepted",I3&lt;&gt;"Not Needed"),", "&amp;I$1,"")&amp;IF(AND(H3&lt;&gt;"Accepted",H3&lt;&gt;"Not Needed"),", "&amp;H$1,""),3,400)),IF($Q3&gt;=Settings!$C$13,"None",MID(IF(AND(G3&lt;&gt;"Accepted",G3&lt;&gt;"Not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Confirmed",IF($E4="PTA",IF(AND(OR(I4="Accepted",I4="Not Needed"),OR(H4="Accepted",H4="Not Needed")),"Registered",IF(OR(OR(I4="Accepted",I4="Received",I4="Needs Correction"),OR(H4="Accepted",H4="Received",H4="Needs Correction")),"In Progress","Not Started")),IF($Q4&gt;=Settings!$C$13,"Legalized",IF($P4&gt;=Settings!$C$12,"Registered",IF($O4&gt;0,"In Progress","Not Started")))))))</f>
        <v/>
      </c>
      <c r="S4" s="32">
        <f>IF($B4="","",COUNTIF(G4:N4,"Received"))</f>
        <v/>
      </c>
      <c r="T4" s="32">
        <f>IF($B4="","",COUNTIF(G4:N4,"Needs Correction"))</f>
        <v/>
      </c>
      <c r="U4" s="33">
        <f>IF($B4="","",IF($D4&lt;&gt;"Yes","",IF($E4="PTA",IF(AND(OR(I4="Accepted",I4="Not Needed"),OR(H4="Accepted",H4="Not Needed")),"None",MID(IF(AND(I4&lt;&gt;"Accepted",I4&lt;&gt;"Not Needed"),", "&amp;I$1,"")&amp;IF(AND(H4&lt;&gt;"Accepted",H4&lt;&gt;"Not Needed"),", "&amp;H$1,""),3,400)),IF($Q4&gt;=Settings!$C$13,"None",MID(IF(AND(G4&lt;&gt;"Accepted",G4&lt;&gt;"Not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Confirmed",IF($E5="PTA",IF(AND(OR(I5="Accepted",I5="Not Needed"),OR(H5="Accepted",H5="Not Needed")),"Registered",IF(OR(OR(I5="Accepted",I5="Received",I5="Needs Correction"),OR(H5="Accepted",H5="Received",H5="Needs Correction")),"In Progress","Not Started")),IF($Q5&gt;=Settings!$C$13,"Legalized",IF($P5&gt;=Settings!$C$12,"Registered",IF($O5&gt;0,"In Progress","Not Started")))))))</f>
        <v/>
      </c>
      <c r="S5" s="32">
        <f>IF($B5="","",COUNTIF(G5:N5,"Received"))</f>
        <v/>
      </c>
      <c r="T5" s="32">
        <f>IF($B5="","",COUNTIF(G5:N5,"Needs Correction"))</f>
        <v/>
      </c>
      <c r="U5" s="33">
        <f>IF($B5="","",IF($D5&lt;&gt;"Yes","",IF($E5="PTA",IF(AND(OR(I5="Accepted",I5="Not Needed"),OR(H5="Accepted",H5="Not Needed")),"None",MID(IF(AND(I5&lt;&gt;"Accepted",I5&lt;&gt;"Not Needed"),", "&amp;I$1,"")&amp;IF(AND(H5&lt;&gt;"Accepted",H5&lt;&gt;"Not Needed"),", "&amp;H$1,""),3,400)),IF($Q5&gt;=Settings!$C$13,"None",MID(IF(AND(G5&lt;&gt;"Accepted",G5&lt;&gt;"Not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Confirmed",IF($E6="PTA",IF(AND(OR(I6="Accepted",I6="Not Needed"),OR(H6="Accepted",H6="Not Needed")),"Registered",IF(OR(OR(I6="Accepted",I6="Received",I6="Needs Correction"),OR(H6="Accepted",H6="Received",H6="Needs Correction")),"In Progress","Not Started")),IF($Q6&gt;=Settings!$C$13,"Legalized",IF($P6&gt;=Settings!$C$12,"Registered",IF($O6&gt;0,"In Progress","Not Started")))))))</f>
        <v/>
      </c>
      <c r="S6" s="32">
        <f>IF($B6="","",COUNTIF(G6:N6,"Received"))</f>
        <v/>
      </c>
      <c r="T6" s="32">
        <f>IF($B6="","",COUNTIF(G6:N6,"Needs Correction"))</f>
        <v/>
      </c>
      <c r="U6" s="33">
        <f>IF($B6="","",IF($D6&lt;&gt;"Yes","",IF($E6="PTA",IF(AND(OR(I6="Accepted",I6="Not Needed"),OR(H6="Accepted",H6="Not Needed")),"None",MID(IF(AND(I6&lt;&gt;"Accepted",I6&lt;&gt;"Not Needed"),", "&amp;I$1,"")&amp;IF(AND(H6&lt;&gt;"Accepted",H6&lt;&gt;"Not Needed"),", "&amp;H$1,""),3,400)),IF($Q6&gt;=Settings!$C$13,"None",MID(IF(AND(G6&lt;&gt;"Accepted",G6&lt;&gt;"Not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Yet Confirmed</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Confirmed",IF($E7="PTA",IF(AND(OR(I7="Accepted",I7="Not Needed"),OR(H7="Accepted",H7="Not Needed")),"Registered",IF(OR(OR(I7="Accepted",I7="Received",I7="Needs Correction"),OR(H7="Accepted",H7="Received",H7="Needs Correction")),"In Progress","Not Started")),IF($Q7&gt;=Settings!$C$13,"Legalized",IF($P7&gt;=Settings!$C$12,"Registered",IF($O7&gt;0,"In Progress","Not Started")))))))</f>
        <v/>
      </c>
      <c r="S7" s="32">
        <f>IF($B7="","",COUNTIF(G7:N7,"Received"))</f>
        <v/>
      </c>
      <c r="T7" s="32">
        <f>IF($B7="","",COUNTIF(G7:N7,"Needs Correction"))</f>
        <v/>
      </c>
      <c r="U7" s="33">
        <f>IF($B7="","",IF($D7&lt;&gt;"Yes","",IF($E7="PTA",IF(AND(OR(I7="Accepted",I7="Not Needed"),OR(H7="Accepted",H7="Not Needed")),"None",MID(IF(AND(I7&lt;&gt;"Accepted",I7&lt;&gt;"Not Needed"),", "&amp;I$1,"")&amp;IF(AND(H7&lt;&gt;"Accepted",H7&lt;&gt;"Not Needed"),", "&amp;H$1,""),3,400)),IF($Q7&gt;=Settings!$C$13,"None",MID(IF(AND(G7&lt;&gt;"Accepted",G7&lt;&gt;"Not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Yet Confirmed</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Confirmed",IF($E8="PTA",IF(AND(OR(I8="Accepted",I8="Not Needed"),OR(H8="Accepted",H8="Not Needed")),"Registered",IF(OR(OR(I8="Accepted",I8="Received",I8="Needs Correction"),OR(H8="Accepted",H8="Received",H8="Needs Correction")),"In Progress","Not Started")),IF($Q8&gt;=Settings!$C$13,"Legalized",IF($P8&gt;=Settings!$C$12,"Registered",IF($O8&gt;0,"In Progress","Not Started")))))))</f>
        <v/>
      </c>
      <c r="S8" s="32">
        <f>IF($B8="","",COUNTIF(G8:N8,"Received"))</f>
        <v/>
      </c>
      <c r="T8" s="32">
        <f>IF($B8="","",COUNTIF(G8:N8,"Needs Correction"))</f>
        <v/>
      </c>
      <c r="U8" s="33">
        <f>IF($B8="","",IF($D8&lt;&gt;"Yes","",IF($E8="PTA",IF(AND(OR(I8="Accepted",I8="Not Needed"),OR(H8="Accepted",H8="Not Needed")),"None",MID(IF(AND(I8&lt;&gt;"Accepted",I8&lt;&gt;"Not Needed"),", "&amp;I$1,"")&amp;IF(AND(H8&lt;&gt;"Accepted",H8&lt;&gt;"Not Needed"),", "&amp;H$1,""),3,400)),IF($Q8&gt;=Settings!$C$13,"None",MID(IF(AND(G8&lt;&gt;"Accepted",G8&lt;&gt;"Not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Confirmed",IF($E9="PTA",IF(AND(OR(I9="Accepted",I9="Not Needed"),OR(H9="Accepted",H9="Not Needed")),"Registered",IF(OR(OR(I9="Accepted",I9="Received",I9="Needs Correction"),OR(H9="Accepted",H9="Received",H9="Needs Correction")),"In Progress","Not Started")),IF($Q9&gt;=Settings!$C$13,"Legalized",IF($P9&gt;=Settings!$C$12,"Registered",IF($O9&gt;0,"In Progress","Not Started")))))))</f>
        <v/>
      </c>
      <c r="S9" s="32">
        <f>IF($B9="","",COUNTIF(G9:N9,"Received"))</f>
        <v/>
      </c>
      <c r="T9" s="32">
        <f>IF($B9="","",COUNTIF(G9:N9,"Needs Correction"))</f>
        <v/>
      </c>
      <c r="U9" s="33">
        <f>IF($B9="","",IF($D9&lt;&gt;"Yes","",IF($E9="PTA",IF(AND(OR(I9="Accepted",I9="Not Needed"),OR(H9="Accepted",H9="Not Needed")),"None",MID(IF(AND(I9&lt;&gt;"Accepted",I9&lt;&gt;"Not Needed"),", "&amp;I$1,"")&amp;IF(AND(H9&lt;&gt;"Accepted",H9&lt;&gt;"Not Needed"),", "&amp;H$1,""),3,400)),IF($Q9&gt;=Settings!$C$13,"None",MID(IF(AND(G9&lt;&gt;"Accepted",G9&lt;&gt;"Not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Confirmed",IF($E10="PTA",IF(AND(OR(I10="Accepted",I10="Not Needed"),OR(H10="Accepted",H10="Not Needed")),"Registered",IF(OR(OR(I10="Accepted",I10="Received",I10="Needs Correction"),OR(H10="Accepted",H10="Received",H10="Needs Correction")),"In Progress","Not Started")),IF($Q10&gt;=Settings!$C$13,"Legalized",IF($P10&gt;=Settings!$C$12,"Registered",IF($O10&gt;0,"In Progress","Not Started")))))))</f>
        <v/>
      </c>
      <c r="S10" s="32">
        <f>IF($B10="","",COUNTIF(G10:N10,"Received"))</f>
        <v/>
      </c>
      <c r="T10" s="32">
        <f>IF($B10="","",COUNTIF(G10:N10,"Needs Correction"))</f>
        <v/>
      </c>
      <c r="U10" s="33">
        <f>IF($B10="","",IF($D10&lt;&gt;"Yes","",IF($E10="PTA",IF(AND(OR(I10="Accepted",I10="Not Needed"),OR(H10="Accepted",H10="Not Needed")),"None",MID(IF(AND(I10&lt;&gt;"Accepted",I10&lt;&gt;"Not Needed"),", "&amp;I$1,"")&amp;IF(AND(H10&lt;&gt;"Accepted",H10&lt;&gt;"Not Needed"),", "&amp;H$1,""),3,400)),IF($Q10&gt;=Settings!$C$13,"None",MID(IF(AND(G10&lt;&gt;"Accepted",G10&lt;&gt;"Not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Confirmed",IF($E11="PTA",IF(AND(OR(I11="Accepted",I11="Not Needed"),OR(H11="Accepted",H11="Not Needed")),"Registered",IF(OR(OR(I11="Accepted",I11="Received",I11="Needs Correction"),OR(H11="Accepted",H11="Received",H11="Needs Correction")),"In Progress","Not Started")),IF($Q11&gt;=Settings!$C$13,"Legalized",IF($P11&gt;=Settings!$C$12,"Registered",IF($O11&gt;0,"In Progress","Not Started")))))))</f>
        <v/>
      </c>
      <c r="S11" s="32">
        <f>IF($B11="","",COUNTIF(G11:N11,"Received"))</f>
        <v/>
      </c>
      <c r="T11" s="32">
        <f>IF($B11="","",COUNTIF(G11:N11,"Needs Correction"))</f>
        <v/>
      </c>
      <c r="U11" s="33">
        <f>IF($B11="","",IF($D11&lt;&gt;"Yes","",IF($E11="PTA",IF(AND(OR(I11="Accepted",I11="Not Needed"),OR(H11="Accepted",H11="Not Needed")),"None",MID(IF(AND(I11&lt;&gt;"Accepted",I11&lt;&gt;"Not Needed"),", "&amp;I$1,"")&amp;IF(AND(H11&lt;&gt;"Accepted",H11&lt;&gt;"Not Needed"),", "&amp;H$1,""),3,400)),IF($Q11&gt;=Settings!$C$13,"None",MID(IF(AND(G11&lt;&gt;"Accepted",G11&lt;&gt;"Not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Confirmed",IF($E12="PTA",IF(AND(OR(I12="Accepted",I12="Not Needed"),OR(H12="Accepted",H12="Not Needed")),"Registered",IF(OR(OR(I12="Accepted",I12="Received",I12="Needs Correction"),OR(H12="Accepted",H12="Received",H12="Needs Correction")),"In Progress","Not Started")),IF($Q12&gt;=Settings!$C$13,"Legalized",IF($P12&gt;=Settings!$C$12,"Registered",IF($O12&gt;0,"In Progress","Not Started")))))))</f>
        <v/>
      </c>
      <c r="S12" s="32">
        <f>IF($B12="","",COUNTIF(G12:N12,"Received"))</f>
        <v/>
      </c>
      <c r="T12" s="32">
        <f>IF($B12="","",COUNTIF(G12:N12,"Needs Correction"))</f>
        <v/>
      </c>
      <c r="U12" s="33">
        <f>IF($B12="","",IF($D12&lt;&gt;"Yes","",IF($E12="PTA",IF(AND(OR(I12="Accepted",I12="Not Needed"),OR(H12="Accepted",H12="Not Needed")),"None",MID(IF(AND(I12&lt;&gt;"Accepted",I12&lt;&gt;"Not Needed"),", "&amp;I$1,"")&amp;IF(AND(H12&lt;&gt;"Accepted",H12&lt;&gt;"Not Needed"),", "&amp;H$1,""),3,400)),IF($Q12&gt;=Settings!$C$13,"None",MID(IF(AND(G12&lt;&gt;"Accepted",G12&lt;&gt;"Not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Confirmed",IF($E13="PTA",IF(AND(OR(I13="Accepted",I13="Not Needed"),OR(H13="Accepted",H13="Not Needed")),"Registered",IF(OR(OR(I13="Accepted",I13="Received",I13="Needs Correction"),OR(H13="Accepted",H13="Received",H13="Needs Correction")),"In Progress","Not Started")),IF($Q13&gt;=Settings!$C$13,"Legalized",IF($P13&gt;=Settings!$C$12,"Registered",IF($O13&gt;0,"In Progress","Not Started")))))))</f>
        <v/>
      </c>
      <c r="S13" s="32">
        <f>IF($B13="","",COUNTIF(G13:N13,"Received"))</f>
        <v/>
      </c>
      <c r="T13" s="32">
        <f>IF($B13="","",COUNTIF(G13:N13,"Needs Correction"))</f>
        <v/>
      </c>
      <c r="U13" s="33">
        <f>IF($B13="","",IF($D13&lt;&gt;"Yes","",IF($E13="PTA",IF(AND(OR(I13="Accepted",I13="Not Needed"),OR(H13="Accepted",H13="Not Needed")),"None",MID(IF(AND(I13&lt;&gt;"Accepted",I13&lt;&gt;"Not Needed"),", "&amp;I$1,"")&amp;IF(AND(H13&lt;&gt;"Accepted",H13&lt;&gt;"Not Needed"),", "&amp;H$1,""),3,400)),IF($Q13&gt;=Settings!$C$13,"None",MID(IF(AND(G13&lt;&gt;"Accepted",G13&lt;&gt;"Not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Yet Confirmed</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Confirmed",IF($E14="PTA",IF(AND(OR(I14="Accepted",I14="Not Needed"),OR(H14="Accepted",H14="Not Needed")),"Registered",IF(OR(OR(I14="Accepted",I14="Received",I14="Needs Correction"),OR(H14="Accepted",H14="Received",H14="Needs Correction")),"In Progress","Not Started")),IF($Q14&gt;=Settings!$C$13,"Legalized",IF($P14&gt;=Settings!$C$12,"Registered",IF($O14&gt;0,"In Progress","Not Started")))))))</f>
        <v/>
      </c>
      <c r="S14" s="32">
        <f>IF($B14="","",COUNTIF(G14:N14,"Received"))</f>
        <v/>
      </c>
      <c r="T14" s="32">
        <f>IF($B14="","",COUNTIF(G14:N14,"Needs Correction"))</f>
        <v/>
      </c>
      <c r="U14" s="33">
        <f>IF($B14="","",IF($D14&lt;&gt;"Yes","",IF($E14="PTA",IF(AND(OR(I14="Accepted",I14="Not Needed"),OR(H14="Accepted",H14="Not Needed")),"None",MID(IF(AND(I14&lt;&gt;"Accepted",I14&lt;&gt;"Not Needed"),", "&amp;I$1,"")&amp;IF(AND(H14&lt;&gt;"Accepted",H14&lt;&gt;"Not Needed"),", "&amp;H$1,""),3,400)),IF($Q14&gt;=Settings!$C$13,"None",MID(IF(AND(G14&lt;&gt;"Accepted",G14&lt;&gt;"Not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Confirmed",IF($E15="PTA",IF(AND(OR(I15="Accepted",I15="Not Needed"),OR(H15="Accepted",H15="Not Needed")),"Registered",IF(OR(OR(I15="Accepted",I15="Received",I15="Needs Correction"),OR(H15="Accepted",H15="Received",H15="Needs Correction")),"In Progress","Not Started")),IF($Q15&gt;=Settings!$C$13,"Legalized",IF($P15&gt;=Settings!$C$12,"Registered",IF($O15&gt;0,"In Progress","Not Started")))))))</f>
        <v/>
      </c>
      <c r="S15" s="32">
        <f>IF($B15="","",COUNTIF(G15:N15,"Received"))</f>
        <v/>
      </c>
      <c r="T15" s="32">
        <f>IF($B15="","",COUNTIF(G15:N15,"Needs Correction"))</f>
        <v/>
      </c>
      <c r="U15" s="33">
        <f>IF($B15="","",IF($D15&lt;&gt;"Yes","",IF($E15="PTA",IF(AND(OR(I15="Accepted",I15="Not Needed"),OR(H15="Accepted",H15="Not Needed")),"None",MID(IF(AND(I15&lt;&gt;"Accepted",I15&lt;&gt;"Not Needed"),", "&amp;I$1,"")&amp;IF(AND(H15&lt;&gt;"Accepted",H15&lt;&gt;"Not Needed"),", "&amp;H$1,""),3,400)),IF($Q15&gt;=Settings!$C$13,"None",MID(IF(AND(G15&lt;&gt;"Accepted",G15&lt;&gt;"Not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Confirmed",IF($E16="PTA",IF(AND(OR(I16="Accepted",I16="Not Needed"),OR(H16="Accepted",H16="Not Needed")),"Registered",IF(OR(OR(I16="Accepted",I16="Received",I16="Needs Correction"),OR(H16="Accepted",H16="Received",H16="Needs Correction")),"In Progress","Not Started")),IF($Q16&gt;=Settings!$C$13,"Legalized",IF($P16&gt;=Settings!$C$12,"Registered",IF($O16&gt;0,"In Progress","Not Started")))))))</f>
        <v/>
      </c>
      <c r="S16" s="32">
        <f>IF($B16="","",COUNTIF(G16:N16,"Received"))</f>
        <v/>
      </c>
      <c r="T16" s="32">
        <f>IF($B16="","",COUNTIF(G16:N16,"Needs Correction"))</f>
        <v/>
      </c>
      <c r="U16" s="33">
        <f>IF($B16="","",IF($D16&lt;&gt;"Yes","",IF($E16="PTA",IF(AND(OR(I16="Accepted",I16="Not Needed"),OR(H16="Accepted",H16="Not Needed")),"None",MID(IF(AND(I16&lt;&gt;"Accepted",I16&lt;&gt;"Not Needed"),", "&amp;I$1,"")&amp;IF(AND(H16&lt;&gt;"Accepted",H16&lt;&gt;"Not Needed"),", "&amp;H$1,""),3,400)),IF($Q16&gt;=Settings!$C$13,"None",MID(IF(AND(G16&lt;&gt;"Accepted",G16&lt;&gt;"Not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Confirmed",IF($E17="PTA",IF(AND(OR(I17="Accepted",I17="Not Needed"),OR(H17="Accepted",H17="Not Needed")),"Registered",IF(OR(OR(I17="Accepted",I17="Received",I17="Needs Correction"),OR(H17="Accepted",H17="Received",H17="Needs Correction")),"In Progress","Not Started")),IF($Q17&gt;=Settings!$C$13,"Legalized",IF($P17&gt;=Settings!$C$12,"Registered",IF($O17&gt;0,"In Progress","Not Started")))))))</f>
        <v/>
      </c>
      <c r="S17" s="32">
        <f>IF($B17="","",COUNTIF(G17:N17,"Received"))</f>
        <v/>
      </c>
      <c r="T17" s="32">
        <f>IF($B17="","",COUNTIF(G17:N17,"Needs Correction"))</f>
        <v/>
      </c>
      <c r="U17" s="33">
        <f>IF($B17="","",IF($D17&lt;&gt;"Yes","",IF($E17="PTA",IF(AND(OR(I17="Accepted",I17="Not Needed"),OR(H17="Accepted",H17="Not Needed")),"None",MID(IF(AND(I17&lt;&gt;"Accepted",I17&lt;&gt;"Not Needed"),", "&amp;I$1,"")&amp;IF(AND(H17&lt;&gt;"Accepted",H17&lt;&gt;"Not Needed"),", "&amp;H$1,""),3,400)),IF($Q17&gt;=Settings!$C$13,"None",MID(IF(AND(G17&lt;&gt;"Accepted",G17&lt;&gt;"Not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Confirmed",IF($E18="PTA",IF(AND(OR(I18="Accepted",I18="Not Needed"),OR(H18="Accepted",H18="Not Needed")),"Registered",IF(OR(OR(I18="Accepted",I18="Received",I18="Needs Correction"),OR(H18="Accepted",H18="Received",H18="Needs Correction")),"In Progress","Not Started")),IF($Q18&gt;=Settings!$C$13,"Legalized",IF($P18&gt;=Settings!$C$12,"Registered",IF($O18&gt;0,"In Progress","Not Started")))))))</f>
        <v/>
      </c>
      <c r="S18" s="32">
        <f>IF($B18="","",COUNTIF(G18:N18,"Received"))</f>
        <v/>
      </c>
      <c r="T18" s="32">
        <f>IF($B18="","",COUNTIF(G18:N18,"Needs Correction"))</f>
        <v/>
      </c>
      <c r="U18" s="33">
        <f>IF($B18="","",IF($D18&lt;&gt;"Yes","",IF($E18="PTA",IF(AND(OR(I18="Accepted",I18="Not Needed"),OR(H18="Accepted",H18="Not Needed")),"None",MID(IF(AND(I18&lt;&gt;"Accepted",I18&lt;&gt;"Not Needed"),", "&amp;I$1,"")&amp;IF(AND(H18&lt;&gt;"Accepted",H18&lt;&gt;"Not Needed"),", "&amp;H$1,""),3,400)),IF($Q18&gt;=Settings!$C$13,"None",MID(IF(AND(G18&lt;&gt;"Accepted",G18&lt;&gt;"Not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Confirmed",IF($E19="PTA",IF(AND(OR(I19="Accepted",I19="Not Needed"),OR(H19="Accepted",H19="Not Needed")),"Registered",IF(OR(OR(I19="Accepted",I19="Received",I19="Needs Correction"),OR(H19="Accepted",H19="Received",H19="Needs Correction")),"In Progress","Not Started")),IF($Q19&gt;=Settings!$C$13,"Legalized",IF($P19&gt;=Settings!$C$12,"Registered",IF($O19&gt;0,"In Progress","Not Started")))))))</f>
        <v/>
      </c>
      <c r="S19" s="32">
        <f>IF($B19="","",COUNTIF(G19:N19,"Received"))</f>
        <v/>
      </c>
      <c r="T19" s="32">
        <f>IF($B19="","",COUNTIF(G19:N19,"Needs Correction"))</f>
        <v/>
      </c>
      <c r="U19" s="33">
        <f>IF($B19="","",IF($D19&lt;&gt;"Yes","",IF($E19="PTA",IF(AND(OR(I19="Accepted",I19="Not Needed"),OR(H19="Accepted",H19="Not Needed")),"None",MID(IF(AND(I19&lt;&gt;"Accepted",I19&lt;&gt;"Not Needed"),", "&amp;I$1,"")&amp;IF(AND(H19&lt;&gt;"Accepted",H19&lt;&gt;"Not Needed"),", "&amp;H$1,""),3,400)),IF($Q19&gt;=Settings!$C$13,"None",MID(IF(AND(G19&lt;&gt;"Accepted",G19&lt;&gt;"Not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Confirmed",IF($E20="PTA",IF(AND(OR(I20="Accepted",I20="Not Needed"),OR(H20="Accepted",H20="Not Needed")),"Registered",IF(OR(OR(I20="Accepted",I20="Received",I20="Needs Correction"),OR(H20="Accepted",H20="Received",H20="Needs Correction")),"In Progress","Not Started")),IF($Q20&gt;=Settings!$C$13,"Legalized",IF($P20&gt;=Settings!$C$12,"Registered",IF($O20&gt;0,"In Progress","Not Started")))))))</f>
        <v/>
      </c>
      <c r="S20" s="32">
        <f>IF($B20="","",COUNTIF(G20:N20,"Received"))</f>
        <v/>
      </c>
      <c r="T20" s="32">
        <f>IF($B20="","",COUNTIF(G20:N20,"Needs Correction"))</f>
        <v/>
      </c>
      <c r="U20" s="33">
        <f>IF($B20="","",IF($D20&lt;&gt;"Yes","",IF($E20="PTA",IF(AND(OR(I20="Accepted",I20="Not Needed"),OR(H20="Accepted",H20="Not Needed")),"None",MID(IF(AND(I20&lt;&gt;"Accepted",I20&lt;&gt;"Not Needed"),", "&amp;I$1,"")&amp;IF(AND(H20&lt;&gt;"Accepted",H20&lt;&gt;"Not Needed"),", "&amp;H$1,""),3,400)),IF($Q20&gt;=Settings!$C$13,"None",MID(IF(AND(G20&lt;&gt;"Accepted",G20&lt;&gt;"Not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Confirmed",IF($E21="PTA",IF(AND(OR(I21="Accepted",I21="Not Needed"),OR(H21="Accepted",H21="Not Needed")),"Registered",IF(OR(OR(I21="Accepted",I21="Received",I21="Needs Correction"),OR(H21="Accepted",H21="Received",H21="Needs Correction")),"In Progress","Not Started")),IF($Q21&gt;=Settings!$C$13,"Legalized",IF($P21&gt;=Settings!$C$12,"Registered",IF($O21&gt;0,"In Progress","Not Started")))))))</f>
        <v/>
      </c>
      <c r="S21" s="32">
        <f>IF($B21="","",COUNTIF(G21:N21,"Received"))</f>
        <v/>
      </c>
      <c r="T21" s="32">
        <f>IF($B21="","",COUNTIF(G21:N21,"Needs Correction"))</f>
        <v/>
      </c>
      <c r="U21" s="33">
        <f>IF($B21="","",IF($D21&lt;&gt;"Yes","",IF($E21="PTA",IF(AND(OR(I21="Accepted",I21="Not Needed"),OR(H21="Accepted",H21="Not Needed")),"None",MID(IF(AND(I21&lt;&gt;"Accepted",I21&lt;&gt;"Not Needed"),", "&amp;I$1,"")&amp;IF(AND(H21&lt;&gt;"Accepted",H21&lt;&gt;"Not Needed"),", "&amp;H$1,""),3,400)),IF($Q21&gt;=Settings!$C$13,"None",MID(IF(AND(G21&lt;&gt;"Accepted",G21&lt;&gt;"Not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Confirmed",IF($E22="PTA",IF(AND(OR(I22="Accepted",I22="Not Needed"),OR(H22="Accepted",H22="Not Needed")),"Registered",IF(OR(OR(I22="Accepted",I22="Received",I22="Needs Correction"),OR(H22="Accepted",H22="Received",H22="Needs Correction")),"In Progress","Not Started")),IF($Q22&gt;=Settings!$C$13,"Legalized",IF($P22&gt;=Settings!$C$12,"Registered",IF($O22&gt;0,"In Progress","Not Started")))))))</f>
        <v/>
      </c>
      <c r="S22" s="32">
        <f>IF($B22="","",COUNTIF(G22:N22,"Received"))</f>
        <v/>
      </c>
      <c r="T22" s="32">
        <f>IF($B22="","",COUNTIF(G22:N22,"Needs Correction"))</f>
        <v/>
      </c>
      <c r="U22" s="33">
        <f>IF($B22="","",IF($D22&lt;&gt;"Yes","",IF($E22="PTA",IF(AND(OR(I22="Accepted",I22="Not Needed"),OR(H22="Accepted",H22="Not Needed")),"None",MID(IF(AND(I22&lt;&gt;"Accepted",I22&lt;&gt;"Not Needed"),", "&amp;I$1,"")&amp;IF(AND(H22&lt;&gt;"Accepted",H22&lt;&gt;"Not Needed"),", "&amp;H$1,""),3,400)),IF($Q22&gt;=Settings!$C$13,"None",MID(IF(AND(G22&lt;&gt;"Accepted",G22&lt;&gt;"Not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Yet Confirmed</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Confirmed",IF($E23="PTA",IF(AND(OR(I23="Accepted",I23="Not Needed"),OR(H23="Accepted",H23="Not Needed")),"Registered",IF(OR(OR(I23="Accepted",I23="Received",I23="Needs Correction"),OR(H23="Accepted",H23="Received",H23="Needs Correction")),"In Progress","Not Started")),IF($Q23&gt;=Settings!$C$13,"Legalized",IF($P23&gt;=Settings!$C$12,"Registered",IF($O23&gt;0,"In Progress","Not Started")))))))</f>
        <v/>
      </c>
      <c r="S23" s="32">
        <f>IF($B23="","",COUNTIF(G23:N23,"Received"))</f>
        <v/>
      </c>
      <c r="T23" s="32">
        <f>IF($B23="","",COUNTIF(G23:N23,"Needs Correction"))</f>
        <v/>
      </c>
      <c r="U23" s="33">
        <f>IF($B23="","",IF($D23&lt;&gt;"Yes","",IF($E23="PTA",IF(AND(OR(I23="Accepted",I23="Not Needed"),OR(H23="Accepted",H23="Not Needed")),"None",MID(IF(AND(I23&lt;&gt;"Accepted",I23&lt;&gt;"Not Needed"),", "&amp;I$1,"")&amp;IF(AND(H23&lt;&gt;"Accepted",H23&lt;&gt;"Not Needed"),", "&amp;H$1,""),3,400)),IF($Q23&gt;=Settings!$C$13,"None",MID(IF(AND(G23&lt;&gt;"Accepted",G23&lt;&gt;"Not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Confirmed",IF($E24="PTA",IF(AND(OR(I24="Accepted",I24="Not Needed"),OR(H24="Accepted",H24="Not Needed")),"Registered",IF(OR(OR(I24="Accepted",I24="Received",I24="Needs Correction"),OR(H24="Accepted",H24="Received",H24="Needs Correction")),"In Progress","Not Started")),IF($Q24&gt;=Settings!$C$13,"Legalized",IF($P24&gt;=Settings!$C$12,"Registered",IF($O24&gt;0,"In Progress","Not Started")))))))</f>
        <v/>
      </c>
      <c r="S24" s="32">
        <f>IF($B24="","",COUNTIF(G24:N24,"Received"))</f>
        <v/>
      </c>
      <c r="T24" s="32">
        <f>IF($B24="","",COUNTIF(G24:N24,"Needs Correction"))</f>
        <v/>
      </c>
      <c r="U24" s="33">
        <f>IF($B24="","",IF($D24&lt;&gt;"Yes","",IF($E24="PTA",IF(AND(OR(I24="Accepted",I24="Not Needed"),OR(H24="Accepted",H24="Not Needed")),"None",MID(IF(AND(I24&lt;&gt;"Accepted",I24&lt;&gt;"Not Needed"),", "&amp;I$1,"")&amp;IF(AND(H24&lt;&gt;"Accepted",H24&lt;&gt;"Not Needed"),", "&amp;H$1,""),3,400)),IF($Q24&gt;=Settings!$C$13,"None",MID(IF(AND(G24&lt;&gt;"Accepted",G24&lt;&gt;"Not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Confirmed",IF($E25="PTA",IF(AND(OR(I25="Accepted",I25="Not Needed"),OR(H25="Accepted",H25="Not Needed")),"Registered",IF(OR(OR(I25="Accepted",I25="Received",I25="Needs Correction"),OR(H25="Accepted",H25="Received",H25="Needs Correction")),"In Progress","Not Started")),IF($Q25&gt;=Settings!$C$13,"Legalized",IF($P25&gt;=Settings!$C$12,"Registered",IF($O25&gt;0,"In Progress","Not Started")))))))</f>
        <v/>
      </c>
      <c r="S25" s="32">
        <f>IF($B25="","",COUNTIF(G25:N25,"Received"))</f>
        <v/>
      </c>
      <c r="T25" s="32">
        <f>IF($B25="","",COUNTIF(G25:N25,"Needs Correction"))</f>
        <v/>
      </c>
      <c r="U25" s="33">
        <f>IF($B25="","",IF($D25&lt;&gt;"Yes","",IF($E25="PTA",IF(AND(OR(I25="Accepted",I25="Not Needed"),OR(H25="Accepted",H25="Not Needed")),"None",MID(IF(AND(I25&lt;&gt;"Accepted",I25&lt;&gt;"Not Needed"),", "&amp;I$1,"")&amp;IF(AND(H25&lt;&gt;"Accepted",H25&lt;&gt;"Not Needed"),", "&amp;H$1,""),3,400)),IF($Q25&gt;=Settings!$C$13,"None",MID(IF(AND(G25&lt;&gt;"Accepted",G25&lt;&gt;"Not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Confirmed",IF($E26="PTA",IF(AND(OR(I26="Accepted",I26="Not Needed"),OR(H26="Accepted",H26="Not Needed")),"Registered",IF(OR(OR(I26="Accepted",I26="Received",I26="Needs Correction"),OR(H26="Accepted",H26="Received",H26="Needs Correction")),"In Progress","Not Started")),IF($Q26&gt;=Settings!$C$13,"Legalized",IF($P26&gt;=Settings!$C$12,"Registered",IF($O26&gt;0,"In Progress","Not Started")))))))</f>
        <v/>
      </c>
      <c r="S26" s="32">
        <f>IF($B26="","",COUNTIF(G26:N26,"Received"))</f>
        <v/>
      </c>
      <c r="T26" s="32">
        <f>IF($B26="","",COUNTIF(G26:N26,"Needs Correction"))</f>
        <v/>
      </c>
      <c r="U26" s="33">
        <f>IF($B26="","",IF($D26&lt;&gt;"Yes","",IF($E26="PTA",IF(AND(OR(I26="Accepted",I26="Not Needed"),OR(H26="Accepted",H26="Not Needed")),"None",MID(IF(AND(I26&lt;&gt;"Accepted",I26&lt;&gt;"Not Needed"),", "&amp;I$1,"")&amp;IF(AND(H26&lt;&gt;"Accepted",H26&lt;&gt;"Not Needed"),", "&amp;H$1,""),3,400)),IF($Q26&gt;=Settings!$C$13,"None",MID(IF(AND(G26&lt;&gt;"Accepted",G26&lt;&gt;"Not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Confirmed",IF($E27="PTA",IF(AND(OR(I27="Accepted",I27="Not Needed"),OR(H27="Accepted",H27="Not Needed")),"Registered",IF(OR(OR(I27="Accepted",I27="Received",I27="Needs Correction"),OR(H27="Accepted",H27="Received",H27="Needs Correction")),"In Progress","Not Started")),IF($Q27&gt;=Settings!$C$13,"Legalized",IF($P27&gt;=Settings!$C$12,"Registered",IF($O27&gt;0,"In Progress","Not Started")))))))</f>
        <v/>
      </c>
      <c r="S27" s="32">
        <f>IF($B27="","",COUNTIF(G27:N27,"Received"))</f>
        <v/>
      </c>
      <c r="T27" s="32">
        <f>IF($B27="","",COUNTIF(G27:N27,"Needs Correction"))</f>
        <v/>
      </c>
      <c r="U27" s="33">
        <f>IF($B27="","",IF($D27&lt;&gt;"Yes","",IF($E27="PTA",IF(AND(OR(I27="Accepted",I27="Not Needed"),OR(H27="Accepted",H27="Not Needed")),"None",MID(IF(AND(I27&lt;&gt;"Accepted",I27&lt;&gt;"Not Needed"),", "&amp;I$1,"")&amp;IF(AND(H27&lt;&gt;"Accepted",H27&lt;&gt;"Not Needed"),", "&amp;H$1,""),3,400)),IF($Q27&gt;=Settings!$C$13,"None",MID(IF(AND(G27&lt;&gt;"Accepted",G27&lt;&gt;"Not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Yet Confirmed</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Confirmed",IF($E28="PTA",IF(AND(OR(I28="Accepted",I28="Not Needed"),OR(H28="Accepted",H28="Not Needed")),"Registered",IF(OR(OR(I28="Accepted",I28="Received",I28="Needs Correction"),OR(H28="Accepted",H28="Received",H28="Needs Correction")),"In Progress","Not Started")),IF($Q28&gt;=Settings!$C$13,"Legalized",IF($P28&gt;=Settings!$C$12,"Registered",IF($O28&gt;0,"In Progress","Not Started")))))))</f>
        <v/>
      </c>
      <c r="S28" s="32">
        <f>IF($B28="","",COUNTIF(G28:N28,"Received"))</f>
        <v/>
      </c>
      <c r="T28" s="32">
        <f>IF($B28="","",COUNTIF(G28:N28,"Needs Correction"))</f>
        <v/>
      </c>
      <c r="U28" s="33">
        <f>IF($B28="","",IF($D28&lt;&gt;"Yes","",IF($E28="PTA",IF(AND(OR(I28="Accepted",I28="Not Needed"),OR(H28="Accepted",H28="Not Needed")),"None",MID(IF(AND(I28&lt;&gt;"Accepted",I28&lt;&gt;"Not Needed"),", "&amp;I$1,"")&amp;IF(AND(H28&lt;&gt;"Accepted",H28&lt;&gt;"Not Needed"),", "&amp;H$1,""),3,400)),IF($Q28&gt;=Settings!$C$13,"None",MID(IF(AND(G28&lt;&gt;"Accepted",G28&lt;&gt;"Not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Confirmed",IF($E29="PTA",IF(AND(OR(I29="Accepted",I29="Not Needed"),OR(H29="Accepted",H29="Not Needed")),"Registered",IF(OR(OR(I29="Accepted",I29="Received",I29="Needs Correction"),OR(H29="Accepted",H29="Received",H29="Needs Correction")),"In Progress","Not Started")),IF($Q29&gt;=Settings!$C$13,"Legalized",IF($P29&gt;=Settings!$C$12,"Registered",IF($O29&gt;0,"In Progress","Not Started")))))))</f>
        <v/>
      </c>
      <c r="S29" s="32">
        <f>IF($B29="","",COUNTIF(G29:N29,"Received"))</f>
        <v/>
      </c>
      <c r="T29" s="32">
        <f>IF($B29="","",COUNTIF(G29:N29,"Needs Correction"))</f>
        <v/>
      </c>
      <c r="U29" s="33">
        <f>IF($B29="","",IF($D29&lt;&gt;"Yes","",IF($E29="PTA",IF(AND(OR(I29="Accepted",I29="Not Needed"),OR(H29="Accepted",H29="Not Needed")),"None",MID(IF(AND(I29&lt;&gt;"Accepted",I29&lt;&gt;"Not Needed"),", "&amp;I$1,"")&amp;IF(AND(H29&lt;&gt;"Accepted",H29&lt;&gt;"Not Needed"),", "&amp;H$1,""),3,400)),IF($Q29&gt;=Settings!$C$13,"None",MID(IF(AND(G29&lt;&gt;"Accepted",G29&lt;&gt;"Not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Confirmed",IF($E30="PTA",IF(AND(OR(I30="Accepted",I30="Not Needed"),OR(H30="Accepted",H30="Not Needed")),"Registered",IF(OR(OR(I30="Accepted",I30="Received",I30="Needs Correction"),OR(H30="Accepted",H30="Received",H30="Needs Correction")),"In Progress","Not Started")),IF($Q30&gt;=Settings!$C$13,"Legalized",IF($P30&gt;=Settings!$C$12,"Registered",IF($O30&gt;0,"In Progress","Not Started")))))))</f>
        <v/>
      </c>
      <c r="S30" s="32">
        <f>IF($B30="","",COUNTIF(G30:N30,"Received"))</f>
        <v/>
      </c>
      <c r="T30" s="32">
        <f>IF($B30="","",COUNTIF(G30:N30,"Needs Correction"))</f>
        <v/>
      </c>
      <c r="U30" s="33">
        <f>IF($B30="","",IF($D30&lt;&gt;"Yes","",IF($E30="PTA",IF(AND(OR(I30="Accepted",I30="Not Needed"),OR(H30="Accepted",H30="Not Needed")),"None",MID(IF(AND(I30&lt;&gt;"Accepted",I30&lt;&gt;"Not Needed"),", "&amp;I$1,"")&amp;IF(AND(H30&lt;&gt;"Accepted",H30&lt;&gt;"Not Needed"),", "&amp;H$1,""),3,400)),IF($Q30&gt;=Settings!$C$13,"None",MID(IF(AND(G30&lt;&gt;"Accepted",G30&lt;&gt;"Not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Confirmed",IF($E31="PTA",IF(AND(OR(I31="Accepted",I31="Not Needed"),OR(H31="Accepted",H31="Not Needed")),"Registered",IF(OR(OR(I31="Accepted",I31="Received",I31="Needs Correction"),OR(H31="Accepted",H31="Received",H31="Needs Correction")),"In Progress","Not Started")),IF($Q31&gt;=Settings!$C$13,"Legalized",IF($P31&gt;=Settings!$C$12,"Registered",IF($O31&gt;0,"In Progress","Not Started")))))))</f>
        <v/>
      </c>
      <c r="S31" s="32">
        <f>IF($B31="","",COUNTIF(G31:N31,"Received"))</f>
        <v/>
      </c>
      <c r="T31" s="32">
        <f>IF($B31="","",COUNTIF(G31:N31,"Needs Correction"))</f>
        <v/>
      </c>
      <c r="U31" s="33">
        <f>IF($B31="","",IF($D31&lt;&gt;"Yes","",IF($E31="PTA",IF(AND(OR(I31="Accepted",I31="Not Needed"),OR(H31="Accepted",H31="Not Needed")),"None",MID(IF(AND(I31&lt;&gt;"Accepted",I31&lt;&gt;"Not Needed"),", "&amp;I$1,"")&amp;IF(AND(H31&lt;&gt;"Accepted",H31&lt;&gt;"Not Needed"),", "&amp;H$1,""),3,400)),IF($Q31&gt;=Settings!$C$13,"None",MID(IF(AND(G31&lt;&gt;"Accepted",G31&lt;&gt;"Not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Confirmed",IF($E32="PTA",IF(AND(OR(I32="Accepted",I32="Not Needed"),OR(H32="Accepted",H32="Not Needed")),"Registered",IF(OR(OR(I32="Accepted",I32="Received",I32="Needs Correction"),OR(H32="Accepted",H32="Received",H32="Needs Correction")),"In Progress","Not Started")),IF($Q32&gt;=Settings!$C$13,"Legalized",IF($P32&gt;=Settings!$C$12,"Registered",IF($O32&gt;0,"In Progress","Not Started")))))))</f>
        <v/>
      </c>
      <c r="S32" s="32">
        <f>IF($B32="","",COUNTIF(G32:N32,"Received"))</f>
        <v/>
      </c>
      <c r="T32" s="32">
        <f>IF($B32="","",COUNTIF(G32:N32,"Needs Correction"))</f>
        <v/>
      </c>
      <c r="U32" s="33">
        <f>IF($B32="","",IF($D32&lt;&gt;"Yes","",IF($E32="PTA",IF(AND(OR(I32="Accepted",I32="Not Needed"),OR(H32="Accepted",H32="Not Needed")),"None",MID(IF(AND(I32&lt;&gt;"Accepted",I32&lt;&gt;"Not Needed"),", "&amp;I$1,"")&amp;IF(AND(H32&lt;&gt;"Accepted",H32&lt;&gt;"Not Needed"),", "&amp;H$1,""),3,400)),IF($Q32&gt;=Settings!$C$13,"None",MID(IF(AND(G32&lt;&gt;"Accepted",G32&lt;&gt;"Not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Confirmed",IF($E33="PTA",IF(AND(OR(I33="Accepted",I33="Not Needed"),OR(H33="Accepted",H33="Not Needed")),"Registered",IF(OR(OR(I33="Accepted",I33="Received",I33="Needs Correction"),OR(H33="Accepted",H33="Received",H33="Needs Correction")),"In Progress","Not Started")),IF($Q33&gt;=Settings!$C$13,"Legalized",IF($P33&gt;=Settings!$C$12,"Registered",IF($O33&gt;0,"In Progress","Not Started")))))))</f>
        <v/>
      </c>
      <c r="S33" s="32">
        <f>IF($B33="","",COUNTIF(G33:N33,"Received"))</f>
        <v/>
      </c>
      <c r="T33" s="32">
        <f>IF($B33="","",COUNTIF(G33:N33,"Needs Correction"))</f>
        <v/>
      </c>
      <c r="U33" s="33">
        <f>IF($B33="","",IF($D33&lt;&gt;"Yes","",IF($E33="PTA",IF(AND(OR(I33="Accepted",I33="Not Needed"),OR(H33="Accepted",H33="Not Needed")),"None",MID(IF(AND(I33&lt;&gt;"Accepted",I33&lt;&gt;"Not Needed"),", "&amp;I$1,"")&amp;IF(AND(H33&lt;&gt;"Accepted",H33&lt;&gt;"Not Needed"),", "&amp;H$1,""),3,400)),IF($Q33&gt;=Settings!$C$13,"None",MID(IF(AND(G33&lt;&gt;"Accepted",G33&lt;&gt;"Not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Confirmed",IF($E34="PTA",IF(AND(OR(I34="Accepted",I34="Not Needed"),OR(H34="Accepted",H34="Not Needed")),"Registered",IF(OR(OR(I34="Accepted",I34="Received",I34="Needs Correction"),OR(H34="Accepted",H34="Received",H34="Needs Correction")),"In Progress","Not Started")),IF($Q34&gt;=Settings!$C$13,"Legalized",IF($P34&gt;=Settings!$C$12,"Registered",IF($O34&gt;0,"In Progress","Not Started")))))))</f>
        <v/>
      </c>
      <c r="S34" s="32">
        <f>IF($B34="","",COUNTIF(G34:N34,"Received"))</f>
        <v/>
      </c>
      <c r="T34" s="32">
        <f>IF($B34="","",COUNTIF(G34:N34,"Needs Correction"))</f>
        <v/>
      </c>
      <c r="U34" s="33">
        <f>IF($B34="","",IF($D34&lt;&gt;"Yes","",IF($E34="PTA",IF(AND(OR(I34="Accepted",I34="Not Needed"),OR(H34="Accepted",H34="Not Needed")),"None",MID(IF(AND(I34&lt;&gt;"Accepted",I34&lt;&gt;"Not Needed"),", "&amp;I$1,"")&amp;IF(AND(H34&lt;&gt;"Accepted",H34&lt;&gt;"Not Needed"),", "&amp;H$1,""),3,400)),IF($Q34&gt;=Settings!$C$13,"None",MID(IF(AND(G34&lt;&gt;"Accepted",G34&lt;&gt;"Not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Yet Confirmed</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Confirmed",IF($E35="PTA",IF(AND(OR(I35="Accepted",I35="Not Needed"),OR(H35="Accepted",H35="Not Needed")),"Registered",IF(OR(OR(I35="Accepted",I35="Received",I35="Needs Correction"),OR(H35="Accepted",H35="Received",H35="Needs Correction")),"In Progress","Not Started")),IF($Q35&gt;=Settings!$C$13,"Legalized",IF($P35&gt;=Settings!$C$12,"Registered",IF($O35&gt;0,"In Progress","Not Started")))))))</f>
        <v/>
      </c>
      <c r="S35" s="32">
        <f>IF($B35="","",COUNTIF(G35:N35,"Received"))</f>
        <v/>
      </c>
      <c r="T35" s="32">
        <f>IF($B35="","",COUNTIF(G35:N35,"Needs Correction"))</f>
        <v/>
      </c>
      <c r="U35" s="33">
        <f>IF($B35="","",IF($D35&lt;&gt;"Yes","",IF($E35="PTA",IF(AND(OR(I35="Accepted",I35="Not Needed"),OR(H35="Accepted",H35="Not Needed")),"None",MID(IF(AND(I35&lt;&gt;"Accepted",I35&lt;&gt;"Not Needed"),", "&amp;I$1,"")&amp;IF(AND(H35&lt;&gt;"Accepted",H35&lt;&gt;"Not Needed"),", "&amp;H$1,""),3,400)),IF($Q35&gt;=Settings!$C$13,"None",MID(IF(AND(G35&lt;&gt;"Accepted",G35&lt;&gt;"Not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Confirmed",IF($E36="PTA",IF(AND(OR(I36="Accepted",I36="Not Needed"),OR(H36="Accepted",H36="Not Needed")),"Registered",IF(OR(OR(I36="Accepted",I36="Received",I36="Needs Correction"),OR(H36="Accepted",H36="Received",H36="Needs Correction")),"In Progress","Not Started")),IF($Q36&gt;=Settings!$C$13,"Legalized",IF($P36&gt;=Settings!$C$12,"Registered",IF($O36&gt;0,"In Progress","Not Started")))))))</f>
        <v/>
      </c>
      <c r="S36" s="32">
        <f>IF($B36="","",COUNTIF(G36:N36,"Received"))</f>
        <v/>
      </c>
      <c r="T36" s="32">
        <f>IF($B36="","",COUNTIF(G36:N36,"Needs Correction"))</f>
        <v/>
      </c>
      <c r="U36" s="33">
        <f>IF($B36="","",IF($D36&lt;&gt;"Yes","",IF($E36="PTA",IF(AND(OR(I36="Accepted",I36="Not Needed"),OR(H36="Accepted",H36="Not Needed")),"None",MID(IF(AND(I36&lt;&gt;"Accepted",I36&lt;&gt;"Not Needed"),", "&amp;I$1,"")&amp;IF(AND(H36&lt;&gt;"Accepted",H36&lt;&gt;"Not Needed"),", "&amp;H$1,""),3,400)),IF($Q36&gt;=Settings!$C$13,"None",MID(IF(AND(G36&lt;&gt;"Accepted",G36&lt;&gt;"Not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Confirmed",IF($E37="PTA",IF(AND(OR(I37="Accepted",I37="Not Needed"),OR(H37="Accepted",H37="Not Needed")),"Registered",IF(OR(OR(I37="Accepted",I37="Received",I37="Needs Correction"),OR(H37="Accepted",H37="Received",H37="Needs Correction")),"In Progress","Not Started")),IF($Q37&gt;=Settings!$C$13,"Legalized",IF($P37&gt;=Settings!$C$12,"Registered",IF($O37&gt;0,"In Progress","Not Started")))))))</f>
        <v/>
      </c>
      <c r="S37" s="32">
        <f>IF($B37="","",COUNTIF(G37:N37,"Received"))</f>
        <v/>
      </c>
      <c r="T37" s="32">
        <f>IF($B37="","",COUNTIF(G37:N37,"Needs Correction"))</f>
        <v/>
      </c>
      <c r="U37" s="33">
        <f>IF($B37="","",IF($D37&lt;&gt;"Yes","",IF($E37="PTA",IF(AND(OR(I37="Accepted",I37="Not Needed"),OR(H37="Accepted",H37="Not Needed")),"None",MID(IF(AND(I37&lt;&gt;"Accepted",I37&lt;&gt;"Not Needed"),", "&amp;I$1,"")&amp;IF(AND(H37&lt;&gt;"Accepted",H37&lt;&gt;"Not Needed"),", "&amp;H$1,""),3,400)),IF($Q37&gt;=Settings!$C$13,"None",MID(IF(AND(G37&lt;&gt;"Accepted",G37&lt;&gt;"Not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Confirmed",IF($E38="PTA",IF(AND(OR(I38="Accepted",I38="Not Needed"),OR(H38="Accepted",H38="Not Needed")),"Registered",IF(OR(OR(I38="Accepted",I38="Received",I38="Needs Correction"),OR(H38="Accepted",H38="Received",H38="Needs Correction")),"In Progress","Not Started")),IF($Q38&gt;=Settings!$C$13,"Legalized",IF($P38&gt;=Settings!$C$12,"Registered",IF($O38&gt;0,"In Progress","Not Started")))))))</f>
        <v/>
      </c>
      <c r="S38" s="32">
        <f>IF($B38="","",COUNTIF(G38:N38,"Received"))</f>
        <v/>
      </c>
      <c r="T38" s="32">
        <f>IF($B38="","",COUNTIF(G38:N38,"Needs Correction"))</f>
        <v/>
      </c>
      <c r="U38" s="33">
        <f>IF($B38="","",IF($D38&lt;&gt;"Yes","",IF($E38="PTA",IF(AND(OR(I38="Accepted",I38="Not Needed"),OR(H38="Accepted",H38="Not Needed")),"None",MID(IF(AND(I38&lt;&gt;"Accepted",I38&lt;&gt;"Not Needed"),", "&amp;I$1,"")&amp;IF(AND(H38&lt;&gt;"Accepted",H38&lt;&gt;"Not Needed"),", "&amp;H$1,""),3,400)),IF($Q38&gt;=Settings!$C$13,"None",MID(IF(AND(G38&lt;&gt;"Accepted",G38&lt;&gt;"Not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Confirmed",IF($E39="PTA",IF(AND(OR(I39="Accepted",I39="Not Needed"),OR(H39="Accepted",H39="Not Needed")),"Registered",IF(OR(OR(I39="Accepted",I39="Received",I39="Needs Correction"),OR(H39="Accepted",H39="Received",H39="Needs Correction")),"In Progress","Not Started")),IF($Q39&gt;=Settings!$C$13,"Legalized",IF($P39&gt;=Settings!$C$12,"Registered",IF($O39&gt;0,"In Progress","Not Started")))))))</f>
        <v/>
      </c>
      <c r="S39" s="32">
        <f>IF($B39="","",COUNTIF(G39:N39,"Received"))</f>
        <v/>
      </c>
      <c r="T39" s="32">
        <f>IF($B39="","",COUNTIF(G39:N39,"Needs Correction"))</f>
        <v/>
      </c>
      <c r="U39" s="33">
        <f>IF($B39="","",IF($D39&lt;&gt;"Yes","",IF($E39="PTA",IF(AND(OR(I39="Accepted",I39="Not Needed"),OR(H39="Accepted",H39="Not Needed")),"None",MID(IF(AND(I39&lt;&gt;"Accepted",I39&lt;&gt;"Not Needed"),", "&amp;I$1,"")&amp;IF(AND(H39&lt;&gt;"Accepted",H39&lt;&gt;"Not Needed"),", "&amp;H$1,""),3,400)),IF($Q39&gt;=Settings!$C$13,"None",MID(IF(AND(G39&lt;&gt;"Accepted",G39&lt;&gt;"Not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Confirmed",IF($E40="PTA",IF(AND(OR(I40="Accepted",I40="Not Needed"),OR(H40="Accepted",H40="Not Needed")),"Registered",IF(OR(OR(I40="Accepted",I40="Received",I40="Needs Correction"),OR(H40="Accepted",H40="Received",H40="Needs Correction")),"In Progress","Not Started")),IF($Q40&gt;=Settings!$C$13,"Legalized",IF($P40&gt;=Settings!$C$12,"Registered",IF($O40&gt;0,"In Progress","Not Started")))))))</f>
        <v/>
      </c>
      <c r="S40" s="32">
        <f>IF($B40="","",COUNTIF(G40:N40,"Received"))</f>
        <v/>
      </c>
      <c r="T40" s="32">
        <f>IF($B40="","",COUNTIF(G40:N40,"Needs Correction"))</f>
        <v/>
      </c>
      <c r="U40" s="33">
        <f>IF($B40="","",IF($D40&lt;&gt;"Yes","",IF($E40="PTA",IF(AND(OR(I40="Accepted",I40="Not Needed"),OR(H40="Accepted",H40="Not Needed")),"None",MID(IF(AND(I40&lt;&gt;"Accepted",I40&lt;&gt;"Not Needed"),", "&amp;I$1,"")&amp;IF(AND(H40&lt;&gt;"Accepted",H40&lt;&gt;"Not Needed"),", "&amp;H$1,""),3,400)),IF($Q40&gt;=Settings!$C$13,"None",MID(IF(AND(G40&lt;&gt;"Accepted",G40&lt;&gt;"Not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Confirmed",IF($E41="PTA",IF(AND(OR(I41="Accepted",I41="Not Needed"),OR(H41="Accepted",H41="Not Needed")),"Registered",IF(OR(OR(I41="Accepted",I41="Received",I41="Needs Correction"),OR(H41="Accepted",H41="Received",H41="Needs Correction")),"In Progress","Not Started")),IF($Q41&gt;=Settings!$C$13,"Legalized",IF($P41&gt;=Settings!$C$12,"Registered",IF($O41&gt;0,"In Progress","Not Started")))))))</f>
        <v/>
      </c>
      <c r="S41" s="32">
        <f>IF($B41="","",COUNTIF(G41:N41,"Received"))</f>
        <v/>
      </c>
      <c r="T41" s="32">
        <f>IF($B41="","",COUNTIF(G41:N41,"Needs Correction"))</f>
        <v/>
      </c>
      <c r="U41" s="33">
        <f>IF($B41="","",IF($D41&lt;&gt;"Yes","",IF($E41="PTA",IF(AND(OR(I41="Accepted",I41="Not Needed"),OR(H41="Accepted",H41="Not Needed")),"None",MID(IF(AND(I41&lt;&gt;"Accepted",I41&lt;&gt;"Not Needed"),", "&amp;I$1,"")&amp;IF(AND(H41&lt;&gt;"Accepted",H41&lt;&gt;"Not Needed"),", "&amp;H$1,""),3,400)),IF($Q41&gt;=Settings!$C$13,"None",MID(IF(AND(G41&lt;&gt;"Accepted",G41&lt;&gt;"Not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Confirmed",IF($E42="PTA",IF(AND(OR(I42="Accepted",I42="Not Needed"),OR(H42="Accepted",H42="Not Needed")),"Registered",IF(OR(OR(I42="Accepted",I42="Received",I42="Needs Correction"),OR(H42="Accepted",H42="Received",H42="Needs Correction")),"In Progress","Not Started")),IF($Q42&gt;=Settings!$C$13,"Legalized",IF($P42&gt;=Settings!$C$12,"Registered",IF($O42&gt;0,"In Progress","Not Started")))))))</f>
        <v/>
      </c>
      <c r="S42" s="32">
        <f>IF($B42="","",COUNTIF(G42:N42,"Received"))</f>
        <v/>
      </c>
      <c r="T42" s="32">
        <f>IF($B42="","",COUNTIF(G42:N42,"Needs Correction"))</f>
        <v/>
      </c>
      <c r="U42" s="33">
        <f>IF($B42="","",IF($D42&lt;&gt;"Yes","",IF($E42="PTA",IF(AND(OR(I42="Accepted",I42="Not Needed"),OR(H42="Accepted",H42="Not Needed")),"None",MID(IF(AND(I42&lt;&gt;"Accepted",I42&lt;&gt;"Not Needed"),", "&amp;I$1,"")&amp;IF(AND(H42&lt;&gt;"Accepted",H42&lt;&gt;"Not Needed"),", "&amp;H$1,""),3,400)),IF($Q42&gt;=Settings!$C$13,"None",MID(IF(AND(G42&lt;&gt;"Accepted",G42&lt;&gt;"Not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Yet Confirmed</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Confirmed",IF($E43="PTA",IF(AND(OR(I43="Accepted",I43="Not Needed"),OR(H43="Accepted",H43="Not Needed")),"Registered",IF(OR(OR(I43="Accepted",I43="Received",I43="Needs Correction"),OR(H43="Accepted",H43="Received",H43="Needs Correction")),"In Progress","Not Started")),IF($Q43&gt;=Settings!$C$13,"Legalized",IF($P43&gt;=Settings!$C$12,"Registered",IF($O43&gt;0,"In Progress","Not Started")))))))</f>
        <v/>
      </c>
      <c r="S43" s="32">
        <f>IF($B43="","",COUNTIF(G43:N43,"Received"))</f>
        <v/>
      </c>
      <c r="T43" s="32">
        <f>IF($B43="","",COUNTIF(G43:N43,"Needs Correction"))</f>
        <v/>
      </c>
      <c r="U43" s="33">
        <f>IF($B43="","",IF($D43&lt;&gt;"Yes","",IF($E43="PTA",IF(AND(OR(I43="Accepted",I43="Not Needed"),OR(H43="Accepted",H43="Not Needed")),"None",MID(IF(AND(I43&lt;&gt;"Accepted",I43&lt;&gt;"Not Needed"),", "&amp;I$1,"")&amp;IF(AND(H43&lt;&gt;"Accepted",H43&lt;&gt;"Not Needed"),", "&amp;H$1,""),3,400)),IF($Q43&gt;=Settings!$C$13,"None",MID(IF(AND(G43&lt;&gt;"Accepted",G43&lt;&gt;"Not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Yet Confirmed</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Confirmed",IF($E44="PTA",IF(AND(OR(I44="Accepted",I44="Not Needed"),OR(H44="Accepted",H44="Not Needed")),"Registered",IF(OR(OR(I44="Accepted",I44="Received",I44="Needs Correction"),OR(H44="Accepted",H44="Received",H44="Needs Correction")),"In Progress","Not Started")),IF($Q44&gt;=Settings!$C$13,"Legalized",IF($P44&gt;=Settings!$C$12,"Registered",IF($O44&gt;0,"In Progress","Not Started")))))))</f>
        <v/>
      </c>
      <c r="S44" s="32">
        <f>IF($B44="","",COUNTIF(G44:N44,"Received"))</f>
        <v/>
      </c>
      <c r="T44" s="32">
        <f>IF($B44="","",COUNTIF(G44:N44,"Needs Correction"))</f>
        <v/>
      </c>
      <c r="U44" s="33">
        <f>IF($B44="","",IF($D44&lt;&gt;"Yes","",IF($E44="PTA",IF(AND(OR(I44="Accepted",I44="Not Needed"),OR(H44="Accepted",H44="Not Needed")),"None",MID(IF(AND(I44&lt;&gt;"Accepted",I44&lt;&gt;"Not Needed"),", "&amp;I$1,"")&amp;IF(AND(H44&lt;&gt;"Accepted",H44&lt;&gt;"Not Needed"),", "&amp;H$1,""),3,400)),IF($Q44&gt;=Settings!$C$13,"None",MID(IF(AND(G44&lt;&gt;"Accepted",G44&lt;&gt;"Not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Confirmed",IF($E45="PTA",IF(AND(OR(I45="Accepted",I45="Not Needed"),OR(H45="Accepted",H45="Not Needed")),"Registered",IF(OR(OR(I45="Accepted",I45="Received",I45="Needs Correction"),OR(H45="Accepted",H45="Received",H45="Needs Correction")),"In Progress","Not Started")),IF($Q45&gt;=Settings!$C$13,"Legalized",IF($P45&gt;=Settings!$C$12,"Registered",IF($O45&gt;0,"In Progress","Not Started")))))))</f>
        <v/>
      </c>
      <c r="S45" s="32">
        <f>IF($B45="","",COUNTIF(G45:N45,"Received"))</f>
        <v/>
      </c>
      <c r="T45" s="32">
        <f>IF($B45="","",COUNTIF(G45:N45,"Needs Correction"))</f>
        <v/>
      </c>
      <c r="U45" s="33">
        <f>IF($B45="","",IF($D45&lt;&gt;"Yes","",IF($E45="PTA",IF(AND(OR(I45="Accepted",I45="Not Needed"),OR(H45="Accepted",H45="Not Needed")),"None",MID(IF(AND(I45&lt;&gt;"Accepted",I45&lt;&gt;"Not Needed"),", "&amp;I$1,"")&amp;IF(AND(H45&lt;&gt;"Accepted",H45&lt;&gt;"Not Needed"),", "&amp;H$1,""),3,400)),IF($Q45&gt;=Settings!$C$13,"None",MID(IF(AND(G45&lt;&gt;"Accepted",G45&lt;&gt;"Not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Confirmed",IF($E46="PTA",IF(AND(OR(I46="Accepted",I46="Not Needed"),OR(H46="Accepted",H46="Not Needed")),"Registered",IF(OR(OR(I46="Accepted",I46="Received",I46="Needs Correction"),OR(H46="Accepted",H46="Received",H46="Needs Correction")),"In Progress","Not Started")),IF($Q46&gt;=Settings!$C$13,"Legalized",IF($P46&gt;=Settings!$C$12,"Registered",IF($O46&gt;0,"In Progress","Not Started")))))))</f>
        <v/>
      </c>
      <c r="S46" s="32">
        <f>IF($B46="","",COUNTIF(G46:N46,"Received"))</f>
        <v/>
      </c>
      <c r="T46" s="32">
        <f>IF($B46="","",COUNTIF(G46:N46,"Needs Correction"))</f>
        <v/>
      </c>
      <c r="U46" s="33">
        <f>IF($B46="","",IF($D46&lt;&gt;"Yes","",IF($E46="PTA",IF(AND(OR(I46="Accepted",I46="Not Needed"),OR(H46="Accepted",H46="Not Needed")),"None",MID(IF(AND(I46&lt;&gt;"Accepted",I46&lt;&gt;"Not Needed"),", "&amp;I$1,"")&amp;IF(AND(H46&lt;&gt;"Accepted",H46&lt;&gt;"Not Needed"),", "&amp;H$1,""),3,400)),IF($Q46&gt;=Settings!$C$13,"None",MID(IF(AND(G46&lt;&gt;"Accepted",G46&lt;&gt;"Not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Confirmed",IF($E47="PTA",IF(AND(OR(I47="Accepted",I47="Not Needed"),OR(H47="Accepted",H47="Not Needed")),"Registered",IF(OR(OR(I47="Accepted",I47="Received",I47="Needs Correction"),OR(H47="Accepted",H47="Received",H47="Needs Correction")),"In Progress","Not Started")),IF($Q47&gt;=Settings!$C$13,"Legalized",IF($P47&gt;=Settings!$C$12,"Registered",IF($O47&gt;0,"In Progress","Not Started")))))))</f>
        <v/>
      </c>
      <c r="S47" s="32">
        <f>IF($B47="","",COUNTIF(G47:N47,"Received"))</f>
        <v/>
      </c>
      <c r="T47" s="32">
        <f>IF($B47="","",COUNTIF(G47:N47,"Needs Correction"))</f>
        <v/>
      </c>
      <c r="U47" s="33">
        <f>IF($B47="","",IF($D47&lt;&gt;"Yes","",IF($E47="PTA",IF(AND(OR(I47="Accepted",I47="Not Needed"),OR(H47="Accepted",H47="Not Needed")),"None",MID(IF(AND(I47&lt;&gt;"Accepted",I47&lt;&gt;"Not Needed"),", "&amp;I$1,"")&amp;IF(AND(H47&lt;&gt;"Accepted",H47&lt;&gt;"Not Needed"),", "&amp;H$1,""),3,400)),IF($Q47&gt;=Settings!$C$13,"None",MID(IF(AND(G47&lt;&gt;"Accepted",G47&lt;&gt;"Not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McReynolds MS</t>
        </is>
      </c>
      <c r="C48" s="31" t="inlineStr">
        <is>
          <t>NES Secondary</t>
        </is>
      </c>
      <c r="D48" s="31" t="inlineStr">
        <is>
          <t>Not Yet Confirmed</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Confirmed",IF($E48="PTA",IF(AND(OR(I48="Accepted",I48="Not Needed"),OR(H48="Accepted",H48="Not Needed")),"Registered",IF(OR(OR(I48="Accepted",I48="Received",I48="Needs Correction"),OR(H48="Accepted",H48="Received",H48="Needs Correction")),"In Progress","Not Started")),IF($Q48&gt;=Settings!$C$13,"Legalized",IF($P48&gt;=Settings!$C$12,"Registered",IF($O48&gt;0,"In Progress","Not Started")))))))</f>
        <v/>
      </c>
      <c r="S48" s="32">
        <f>IF($B48="","",COUNTIF(G48:N48,"Received"))</f>
        <v/>
      </c>
      <c r="T48" s="32">
        <f>IF($B48="","",COUNTIF(G48:N48,"Needs Correction"))</f>
        <v/>
      </c>
      <c r="U48" s="33">
        <f>IF($B48="","",IF($D48&lt;&gt;"Yes","",IF($E48="PTA",IF(AND(OR(I48="Accepted",I48="Not Needed"),OR(H48="Accepted",H48="Not Needed")),"None",MID(IF(AND(I48&lt;&gt;"Accepted",I48&lt;&gt;"Not Needed"),", "&amp;I$1,"")&amp;IF(AND(H48&lt;&gt;"Accepted",H48&lt;&gt;"Not Needed"),", "&amp;H$1,""),3,400)),IF($Q48&gt;=Settings!$C$13,"None",MID(IF(AND(G48&lt;&gt;"Accepted",G48&lt;&gt;"Not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Confirmed",IF($E49="PTA",IF(AND(OR(I49="Accepted",I49="Not Needed"),OR(H49="Accepted",H49="Not Needed")),"Registered",IF(OR(OR(I49="Accepted",I49="Received",I49="Needs Correction"),OR(H49="Accepted",H49="Received",H49="Needs Correction")),"In Progress","Not Started")),IF($Q49&gt;=Settings!$C$13,"Legalized",IF($P49&gt;=Settings!$C$12,"Registered",IF($O49&gt;0,"In Progress","Not Started")))))))</f>
        <v/>
      </c>
      <c r="S49" s="32">
        <f>IF($B49="","",COUNTIF(G49:N49,"Received"))</f>
        <v/>
      </c>
      <c r="T49" s="32">
        <f>IF($B49="","",COUNTIF(G49:N49,"Needs Correction"))</f>
        <v/>
      </c>
      <c r="U49" s="33">
        <f>IF($B49="","",IF($D49&lt;&gt;"Yes","",IF($E49="PTA",IF(AND(OR(I49="Accepted",I49="Not Needed"),OR(H49="Accepted",H49="Not Needed")),"None",MID(IF(AND(I49&lt;&gt;"Accepted",I49&lt;&gt;"Not Needed"),", "&amp;I$1,"")&amp;IF(AND(H49&lt;&gt;"Accepted",H49&lt;&gt;"Not Needed"),", "&amp;H$1,""),3,400)),IF($Q49&gt;=Settings!$C$13,"None",MID(IF(AND(G49&lt;&gt;"Accepted",G49&lt;&gt;"Not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Yet Confirmed</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Confirmed",IF($E50="PTA",IF(AND(OR(I50="Accepted",I50="Not Needed"),OR(H50="Accepted",H50="Not Needed")),"Registered",IF(OR(OR(I50="Accepted",I50="Received",I50="Needs Correction"),OR(H50="Accepted",H50="Received",H50="Needs Correction")),"In Progress","Not Started")),IF($Q50&gt;=Settings!$C$13,"Legalized",IF($P50&gt;=Settings!$C$12,"Registered",IF($O50&gt;0,"In Progress","Not Started")))))))</f>
        <v/>
      </c>
      <c r="S50" s="32">
        <f>IF($B50="","",COUNTIF(G50:N50,"Received"))</f>
        <v/>
      </c>
      <c r="T50" s="32">
        <f>IF($B50="","",COUNTIF(G50:N50,"Needs Correction"))</f>
        <v/>
      </c>
      <c r="U50" s="33">
        <f>IF($B50="","",IF($D50&lt;&gt;"Yes","",IF($E50="PTA",IF(AND(OR(I50="Accepted",I50="Not Needed"),OR(H50="Accepted",H50="Not Needed")),"None",MID(IF(AND(I50&lt;&gt;"Accepted",I50&lt;&gt;"Not Needed"),", "&amp;I$1,"")&amp;IF(AND(H50&lt;&gt;"Accepted",H50&lt;&gt;"Not Needed"),", "&amp;H$1,""),3,400)),IF($Q50&gt;=Settings!$C$13,"None",MID(IF(AND(G50&lt;&gt;"Accepted",G50&lt;&gt;"Not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Yet Confirmed</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Confirmed",IF($E51="PTA",IF(AND(OR(I51="Accepted",I51="Not Needed"),OR(H51="Accepted",H51="Not Needed")),"Registered",IF(OR(OR(I51="Accepted",I51="Received",I51="Needs Correction"),OR(H51="Accepted",H51="Received",H51="Needs Correction")),"In Progress","Not Started")),IF($Q51&gt;=Settings!$C$13,"Legalized",IF($P51&gt;=Settings!$C$12,"Registered",IF($O51&gt;0,"In Progress","Not Started")))))))</f>
        <v/>
      </c>
      <c r="S51" s="32">
        <f>IF($B51="","",COUNTIF(G51:N51,"Received"))</f>
        <v/>
      </c>
      <c r="T51" s="32">
        <f>IF($B51="","",COUNTIF(G51:N51,"Needs Correction"))</f>
        <v/>
      </c>
      <c r="U51" s="33">
        <f>IF($B51="","",IF($D51&lt;&gt;"Yes","",IF($E51="PTA",IF(AND(OR(I51="Accepted",I51="Not Needed"),OR(H51="Accepted",H51="Not Needed")),"None",MID(IF(AND(I51&lt;&gt;"Accepted",I51&lt;&gt;"Not Needed"),", "&amp;I$1,"")&amp;IF(AND(H51&lt;&gt;"Accepted",H51&lt;&gt;"Not Needed"),", "&amp;H$1,""),3,400)),IF($Q51&gt;=Settings!$C$13,"None",MID(IF(AND(G51&lt;&gt;"Accepted",G51&lt;&gt;"Not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Confirmed",IF($E52="PTA",IF(AND(OR(I52="Accepted",I52="Not Needed"),OR(H52="Accepted",H52="Not Needed")),"Registered",IF(OR(OR(I52="Accepted",I52="Received",I52="Needs Correction"),OR(H52="Accepted",H52="Received",H52="Needs Correction")),"In Progress","Not Started")),IF($Q52&gt;=Settings!$C$13,"Legalized",IF($P52&gt;=Settings!$C$12,"Registered",IF($O52&gt;0,"In Progress","Not Started")))))))</f>
        <v/>
      </c>
      <c r="S52" s="32">
        <f>IF($B52="","",COUNTIF(G52:N52,"Received"))</f>
        <v/>
      </c>
      <c r="T52" s="32">
        <f>IF($B52="","",COUNTIF(G52:N52,"Needs Correction"))</f>
        <v/>
      </c>
      <c r="U52" s="33">
        <f>IF($B52="","",IF($D52&lt;&gt;"Yes","",IF($E52="PTA",IF(AND(OR(I52="Accepted",I52="Not Needed"),OR(H52="Accepted",H52="Not Needed")),"None",MID(IF(AND(I52&lt;&gt;"Accepted",I52&lt;&gt;"Not Needed"),", "&amp;I$1,"")&amp;IF(AND(H52&lt;&gt;"Accepted",H52&lt;&gt;"Not Needed"),", "&amp;H$1,""),3,400)),IF($Q52&gt;=Settings!$C$13,"None",MID(IF(AND(G52&lt;&gt;"Accepted",G52&lt;&gt;"Not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Confirmed",IF($E53="PTA",IF(AND(OR(I53="Accepted",I53="Not Needed"),OR(H53="Accepted",H53="Not Needed")),"Registered",IF(OR(OR(I53="Accepted",I53="Received",I53="Needs Correction"),OR(H53="Accepted",H53="Received",H53="Needs Correction")),"In Progress","Not Started")),IF($Q53&gt;=Settings!$C$13,"Legalized",IF($P53&gt;=Settings!$C$12,"Registered",IF($O53&gt;0,"In Progress","Not Started")))))))</f>
        <v/>
      </c>
      <c r="S53" s="32">
        <f>IF($B53="","",COUNTIF(G53:N53,"Received"))</f>
        <v/>
      </c>
      <c r="T53" s="32">
        <f>IF($B53="","",COUNTIF(G53:N53,"Needs Correction"))</f>
        <v/>
      </c>
      <c r="U53" s="33">
        <f>IF($B53="","",IF($D53&lt;&gt;"Yes","",IF($E53="PTA",IF(AND(OR(I53="Accepted",I53="Not Needed"),OR(H53="Accepted",H53="Not Needed")),"None",MID(IF(AND(I53&lt;&gt;"Accepted",I53&lt;&gt;"Not Needed"),", "&amp;I$1,"")&amp;IF(AND(H53&lt;&gt;"Accepted",H53&lt;&gt;"Not Needed"),", "&amp;H$1,""),3,400)),IF($Q53&gt;=Settings!$C$13,"None",MID(IF(AND(G53&lt;&gt;"Accepted",G53&lt;&gt;"Not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Confirmed",IF($E54="PTA",IF(AND(OR(I54="Accepted",I54="Not Needed"),OR(H54="Accepted",H54="Not Needed")),"Registered",IF(OR(OR(I54="Accepted",I54="Received",I54="Needs Correction"),OR(H54="Accepted",H54="Received",H54="Needs Correction")),"In Progress","Not Started")),IF($Q54&gt;=Settings!$C$13,"Legalized",IF($P54&gt;=Settings!$C$12,"Registered",IF($O54&gt;0,"In Progress","Not Started")))))))</f>
        <v/>
      </c>
      <c r="S54" s="32">
        <f>IF($B54="","",COUNTIF(G54:N54,"Received"))</f>
        <v/>
      </c>
      <c r="T54" s="32">
        <f>IF($B54="","",COUNTIF(G54:N54,"Needs Correction"))</f>
        <v/>
      </c>
      <c r="U54" s="33">
        <f>IF($B54="","",IF($D54&lt;&gt;"Yes","",IF($E54="PTA",IF(AND(OR(I54="Accepted",I54="Not Needed"),OR(H54="Accepted",H54="Not Needed")),"None",MID(IF(AND(I54&lt;&gt;"Accepted",I54&lt;&gt;"Not Needed"),", "&amp;I$1,"")&amp;IF(AND(H54&lt;&gt;"Accepted",H54&lt;&gt;"Not Needed"),", "&amp;H$1,""),3,400)),IF($Q54&gt;=Settings!$C$13,"None",MID(IF(AND(G54&lt;&gt;"Accepted",G54&lt;&gt;"Not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Confirmed",IF($E55="PTA",IF(AND(OR(I55="Accepted",I55="Not Needed"),OR(H55="Accepted",H55="Not Needed")),"Registered",IF(OR(OR(I55="Accepted",I55="Received",I55="Needs Correction"),OR(H55="Accepted",H55="Received",H55="Needs Correction")),"In Progress","Not Started")),IF($Q55&gt;=Settings!$C$13,"Legalized",IF($P55&gt;=Settings!$C$12,"Registered",IF($O55&gt;0,"In Progress","Not Started")))))))</f>
        <v/>
      </c>
      <c r="S55" s="32">
        <f>IF($B55="","",COUNTIF(G55:N55,"Received"))</f>
        <v/>
      </c>
      <c r="T55" s="32">
        <f>IF($B55="","",COUNTIF(G55:N55,"Needs Correction"))</f>
        <v/>
      </c>
      <c r="U55" s="33">
        <f>IF($B55="","",IF($D55&lt;&gt;"Yes","",IF($E55="PTA",IF(AND(OR(I55="Accepted",I55="Not Needed"),OR(H55="Accepted",H55="Not Needed")),"None",MID(IF(AND(I55&lt;&gt;"Accepted",I55&lt;&gt;"Not Needed"),", "&amp;I$1,"")&amp;IF(AND(H55&lt;&gt;"Accepted",H55&lt;&gt;"Not Needed"),", "&amp;H$1,""),3,400)),IF($Q55&gt;=Settings!$C$13,"None",MID(IF(AND(G55&lt;&gt;"Accepted",G55&lt;&gt;"Not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Confirmed",IF($E56="PTA",IF(AND(OR(I56="Accepted",I56="Not Needed"),OR(H56="Accepted",H56="Not Needed")),"Registered",IF(OR(OR(I56="Accepted",I56="Received",I56="Needs Correction"),OR(H56="Accepted",H56="Received",H56="Needs Correction")),"In Progress","Not Started")),IF($Q56&gt;=Settings!$C$13,"Legalized",IF($P56&gt;=Settings!$C$12,"Registered",IF($O56&gt;0,"In Progress","Not Started")))))))</f>
        <v/>
      </c>
      <c r="S56" s="32">
        <f>IF($B56="","",COUNTIF(G56:N56,"Received"))</f>
        <v/>
      </c>
      <c r="T56" s="32">
        <f>IF($B56="","",COUNTIF(G56:N56,"Needs Correction"))</f>
        <v/>
      </c>
      <c r="U56" s="33">
        <f>IF($B56="","",IF($D56&lt;&gt;"Yes","",IF($E56="PTA",IF(AND(OR(I56="Accepted",I56="Not Needed"),OR(H56="Accepted",H56="Not Needed")),"None",MID(IF(AND(I56&lt;&gt;"Accepted",I56&lt;&gt;"Not Needed"),", "&amp;I$1,"")&amp;IF(AND(H56&lt;&gt;"Accepted",H56&lt;&gt;"Not Needed"),", "&amp;H$1,""),3,400)),IF($Q56&gt;=Settings!$C$13,"None",MID(IF(AND(G56&lt;&gt;"Accepted",G56&lt;&gt;"Not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Confirmed",IF($E57="PTA",IF(AND(OR(I57="Accepted",I57="Not Needed"),OR(H57="Accepted",H57="Not Needed")),"Registered",IF(OR(OR(I57="Accepted",I57="Received",I57="Needs Correction"),OR(H57="Accepted",H57="Received",H57="Needs Correction")),"In Progress","Not Started")),IF($Q57&gt;=Settings!$C$13,"Legalized",IF($P57&gt;=Settings!$C$12,"Registered",IF($O57&gt;0,"In Progress","Not Started")))))))</f>
        <v/>
      </c>
      <c r="S57" s="32">
        <f>IF($B57="","",COUNTIF(G57:N57,"Received"))</f>
        <v/>
      </c>
      <c r="T57" s="32">
        <f>IF($B57="","",COUNTIF(G57:N57,"Needs Correction"))</f>
        <v/>
      </c>
      <c r="U57" s="33">
        <f>IF($B57="","",IF($D57&lt;&gt;"Yes","",IF($E57="PTA",IF(AND(OR(I57="Accepted",I57="Not Needed"),OR(H57="Accepted",H57="Not Needed")),"None",MID(IF(AND(I57&lt;&gt;"Accepted",I57&lt;&gt;"Not Needed"),", "&amp;I$1,"")&amp;IF(AND(H57&lt;&gt;"Accepted",H57&lt;&gt;"Not Needed"),", "&amp;H$1,""),3,400)),IF($Q57&gt;=Settings!$C$13,"None",MID(IF(AND(G57&lt;&gt;"Accepted",G57&lt;&gt;"Not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Confirmed",IF($E58="PTA",IF(AND(OR(I58="Accepted",I58="Not Needed"),OR(H58="Accepted",H58="Not Needed")),"Registered",IF(OR(OR(I58="Accepted",I58="Received",I58="Needs Correction"),OR(H58="Accepted",H58="Received",H58="Needs Correction")),"In Progress","Not Started")),IF($Q58&gt;=Settings!$C$13,"Legalized",IF($P58&gt;=Settings!$C$12,"Registered",IF($O58&gt;0,"In Progress","Not Started")))))))</f>
        <v/>
      </c>
      <c r="S58" s="32">
        <f>IF($B58="","",COUNTIF(G58:N58,"Received"))</f>
        <v/>
      </c>
      <c r="T58" s="32">
        <f>IF($B58="","",COUNTIF(G58:N58,"Needs Correction"))</f>
        <v/>
      </c>
      <c r="U58" s="33">
        <f>IF($B58="","",IF($D58&lt;&gt;"Yes","",IF($E58="PTA",IF(AND(OR(I58="Accepted",I58="Not Needed"),OR(H58="Accepted",H58="Not Needed")),"None",MID(IF(AND(I58&lt;&gt;"Accepted",I58&lt;&gt;"Not Needed"),", "&amp;I$1,"")&amp;IF(AND(H58&lt;&gt;"Accepted",H58&lt;&gt;"Not Needed"),", "&amp;H$1,""),3,400)),IF($Q58&gt;=Settings!$C$13,"None",MID(IF(AND(G58&lt;&gt;"Accepted",G58&lt;&gt;"Not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Confirmed",IF($E59="PTA",IF(AND(OR(I59="Accepted",I59="Not Needed"),OR(H59="Accepted",H59="Not Needed")),"Registered",IF(OR(OR(I59="Accepted",I59="Received",I59="Needs Correction"),OR(H59="Accepted",H59="Received",H59="Needs Correction")),"In Progress","Not Started")),IF($Q59&gt;=Settings!$C$13,"Legalized",IF($P59&gt;=Settings!$C$12,"Registered",IF($O59&gt;0,"In Progress","Not Started")))))))</f>
        <v/>
      </c>
      <c r="S59" s="32">
        <f>IF($B59="","",COUNTIF(G59:N59,"Received"))</f>
        <v/>
      </c>
      <c r="T59" s="32">
        <f>IF($B59="","",COUNTIF(G59:N59,"Needs Correction"))</f>
        <v/>
      </c>
      <c r="U59" s="33">
        <f>IF($B59="","",IF($D59&lt;&gt;"Yes","",IF($E59="PTA",IF(AND(OR(I59="Accepted",I59="Not Needed"),OR(H59="Accepted",H59="Not Needed")),"None",MID(IF(AND(I59&lt;&gt;"Accepted",I59&lt;&gt;"Not Needed"),", "&amp;I$1,"")&amp;IF(AND(H59&lt;&gt;"Accepted",H59&lt;&gt;"Not Needed"),", "&amp;H$1,""),3,400)),IF($Q59&gt;=Settings!$C$13,"None",MID(IF(AND(G59&lt;&gt;"Accepted",G59&lt;&gt;"Not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Confirmed",IF($E60="PTA",IF(AND(OR(I60="Accepted",I60="Not Needed"),OR(H60="Accepted",H60="Not Needed")),"Registered",IF(OR(OR(I60="Accepted",I60="Received",I60="Needs Correction"),OR(H60="Accepted",H60="Received",H60="Needs Correction")),"In Progress","Not Started")),IF($Q60&gt;=Settings!$C$13,"Legalized",IF($P60&gt;=Settings!$C$12,"Registered",IF($O60&gt;0,"In Progress","Not Started")))))))</f>
        <v/>
      </c>
      <c r="S60" s="32">
        <f>IF($B60="","",COUNTIF(G60:N60,"Received"))</f>
        <v/>
      </c>
      <c r="T60" s="32">
        <f>IF($B60="","",COUNTIF(G60:N60,"Needs Correction"))</f>
        <v/>
      </c>
      <c r="U60" s="33">
        <f>IF($B60="","",IF($D60&lt;&gt;"Yes","",IF($E60="PTA",IF(AND(OR(I60="Accepted",I60="Not Needed"),OR(H60="Accepted",H60="Not Needed")),"None",MID(IF(AND(I60&lt;&gt;"Accepted",I60&lt;&gt;"Not Needed"),", "&amp;I$1,"")&amp;IF(AND(H60&lt;&gt;"Accepted",H60&lt;&gt;"Not Needed"),", "&amp;H$1,""),3,400)),IF($Q60&gt;=Settings!$C$13,"None",MID(IF(AND(G60&lt;&gt;"Accepted",G60&lt;&gt;"Not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Confirmed",IF($E61="PTA",IF(AND(OR(I61="Accepted",I61="Not Needed"),OR(H61="Accepted",H61="Not Needed")),"Registered",IF(OR(OR(I61="Accepted",I61="Received",I61="Needs Correction"),OR(H61="Accepted",H61="Received",H61="Needs Correction")),"In Progress","Not Started")),IF($Q61&gt;=Settings!$C$13,"Legalized",IF($P61&gt;=Settings!$C$12,"Registered",IF($O61&gt;0,"In Progress","Not Started")))))))</f>
        <v/>
      </c>
      <c r="S61" s="32">
        <f>IF($B61="","",COUNTIF(G61:N61,"Received"))</f>
        <v/>
      </c>
      <c r="T61" s="32">
        <f>IF($B61="","",COUNTIF(G61:N61,"Needs Correction"))</f>
        <v/>
      </c>
      <c r="U61" s="33">
        <f>IF($B61="","",IF($D61&lt;&gt;"Yes","",IF($E61="PTA",IF(AND(OR(I61="Accepted",I61="Not Needed"),OR(H61="Accepted",H61="Not Needed")),"None",MID(IF(AND(I61&lt;&gt;"Accepted",I61&lt;&gt;"Not Needed"),", "&amp;I$1,"")&amp;IF(AND(H61&lt;&gt;"Accepted",H61&lt;&gt;"Not Needed"),", "&amp;H$1,""),3,400)),IF($Q61&gt;=Settings!$C$13,"None",MID(IF(AND(G61&lt;&gt;"Accepted",G61&lt;&gt;"Not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Confirmed",IF($E62="PTA",IF(AND(OR(I62="Accepted",I62="Not Needed"),OR(H62="Accepted",H62="Not Needed")),"Registered",IF(OR(OR(I62="Accepted",I62="Received",I62="Needs Correction"),OR(H62="Accepted",H62="Received",H62="Needs Correction")),"In Progress","Not Started")),IF($Q62&gt;=Settings!$C$13,"Legalized",IF($P62&gt;=Settings!$C$12,"Registered",IF($O62&gt;0,"In Progress","Not Started")))))))</f>
        <v/>
      </c>
      <c r="S62" s="32">
        <f>IF($B62="","",COUNTIF(G62:N62,"Received"))</f>
        <v/>
      </c>
      <c r="T62" s="32">
        <f>IF($B62="","",COUNTIF(G62:N62,"Needs Correction"))</f>
        <v/>
      </c>
      <c r="U62" s="33">
        <f>IF($B62="","",IF($D62&lt;&gt;"Yes","",IF($E62="PTA",IF(AND(OR(I62="Accepted",I62="Not Needed"),OR(H62="Accepted",H62="Not Needed")),"None",MID(IF(AND(I62&lt;&gt;"Accepted",I62&lt;&gt;"Not Needed"),", "&amp;I$1,"")&amp;IF(AND(H62&lt;&gt;"Accepted",H62&lt;&gt;"Not Needed"),", "&amp;H$1,""),3,400)),IF($Q62&gt;=Settings!$C$13,"None",MID(IF(AND(G62&lt;&gt;"Accepted",G62&lt;&gt;"Not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Confirmed",IF($E63="PTA",IF(AND(OR(I63="Accepted",I63="Not Needed"),OR(H63="Accepted",H63="Not Needed")),"Registered",IF(OR(OR(I63="Accepted",I63="Received",I63="Needs Correction"),OR(H63="Accepted",H63="Received",H63="Needs Correction")),"In Progress","Not Started")),IF($Q63&gt;=Settings!$C$13,"Legalized",IF($P63&gt;=Settings!$C$12,"Registered",IF($O63&gt;0,"In Progress","Not Started")))))))</f>
        <v/>
      </c>
      <c r="S63" s="32">
        <f>IF($B63="","",COUNTIF(G63:N63,"Received"))</f>
        <v/>
      </c>
      <c r="T63" s="32">
        <f>IF($B63="","",COUNTIF(G63:N63,"Needs Correction"))</f>
        <v/>
      </c>
      <c r="U63" s="33">
        <f>IF($B63="","",IF($D63&lt;&gt;"Yes","",IF($E63="PTA",IF(AND(OR(I63="Accepted",I63="Not Needed"),OR(H63="Accepted",H63="Not Needed")),"None",MID(IF(AND(I63&lt;&gt;"Accepted",I63&lt;&gt;"Not Needed"),", "&amp;I$1,"")&amp;IF(AND(H63&lt;&gt;"Accepted",H63&lt;&gt;"Not Needed"),", "&amp;H$1,""),3,400)),IF($Q63&gt;=Settings!$C$13,"None",MID(IF(AND(G63&lt;&gt;"Accepted",G63&lt;&gt;"Not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Confirmed",IF($E64="PTA",IF(AND(OR(I64="Accepted",I64="Not Needed"),OR(H64="Accepted",H64="Not Needed")),"Registered",IF(OR(OR(I64="Accepted",I64="Received",I64="Needs Correction"),OR(H64="Accepted",H64="Received",H64="Needs Correction")),"In Progress","Not Started")),IF($Q64&gt;=Settings!$C$13,"Legalized",IF($P64&gt;=Settings!$C$12,"Registered",IF($O64&gt;0,"In Progress","Not Started")))))))</f>
        <v/>
      </c>
      <c r="S64" s="32">
        <f>IF($B64="","",COUNTIF(G64:N64,"Received"))</f>
        <v/>
      </c>
      <c r="T64" s="32">
        <f>IF($B64="","",COUNTIF(G64:N64,"Needs Correction"))</f>
        <v/>
      </c>
      <c r="U64" s="33">
        <f>IF($B64="","",IF($D64&lt;&gt;"Yes","",IF($E64="PTA",IF(AND(OR(I64="Accepted",I64="Not Needed"),OR(H64="Accepted",H64="Not Needed")),"None",MID(IF(AND(I64&lt;&gt;"Accepted",I64&lt;&gt;"Not Needed"),", "&amp;I$1,"")&amp;IF(AND(H64&lt;&gt;"Accepted",H64&lt;&gt;"Not Needed"),", "&amp;H$1,""),3,400)),IF($Q64&gt;=Settings!$C$13,"None",MID(IF(AND(G64&lt;&gt;"Accepted",G64&lt;&gt;"Not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Confirmed",IF($E65="PTA",IF(AND(OR(I65="Accepted",I65="Not Needed"),OR(H65="Accepted",H65="Not Needed")),"Registered",IF(OR(OR(I65="Accepted",I65="Received",I65="Needs Correction"),OR(H65="Accepted",H65="Received",H65="Needs Correction")),"In Progress","Not Started")),IF($Q65&gt;=Settings!$C$13,"Legalized",IF($P65&gt;=Settings!$C$12,"Registered",IF($O65&gt;0,"In Progress","Not Started")))))))</f>
        <v/>
      </c>
      <c r="S65" s="32">
        <f>IF($B65="","",COUNTIF(G65:N65,"Received"))</f>
        <v/>
      </c>
      <c r="T65" s="32">
        <f>IF($B65="","",COUNTIF(G65:N65,"Needs Correction"))</f>
        <v/>
      </c>
      <c r="U65" s="33">
        <f>IF($B65="","",IF($D65&lt;&gt;"Yes","",IF($E65="PTA",IF(AND(OR(I65="Accepted",I65="Not Needed"),OR(H65="Accepted",H65="Not Needed")),"None",MID(IF(AND(I65&lt;&gt;"Accepted",I65&lt;&gt;"Not Needed"),", "&amp;I$1,"")&amp;IF(AND(H65&lt;&gt;"Accepted",H65&lt;&gt;"Not Needed"),", "&amp;H$1,""),3,400)),IF($Q65&gt;=Settings!$C$13,"None",MID(IF(AND(G65&lt;&gt;"Accepted",G65&lt;&gt;"Not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Confirmed",IF($E66="PTA",IF(AND(OR(I66="Accepted",I66="Not Needed"),OR(H66="Accepted",H66="Not Needed")),"Registered",IF(OR(OR(I66="Accepted",I66="Received",I66="Needs Correction"),OR(H66="Accepted",H66="Received",H66="Needs Correction")),"In Progress","Not Started")),IF($Q66&gt;=Settings!$C$13,"Legalized",IF($P66&gt;=Settings!$C$12,"Registered",IF($O66&gt;0,"In Progress","Not Started")))))))</f>
        <v/>
      </c>
      <c r="S66" s="32">
        <f>IF($B66="","",COUNTIF(G66:N66,"Received"))</f>
        <v/>
      </c>
      <c r="T66" s="32">
        <f>IF($B66="","",COUNTIF(G66:N66,"Needs Correction"))</f>
        <v/>
      </c>
      <c r="U66" s="33">
        <f>IF($B66="","",IF($D66&lt;&gt;"Yes","",IF($E66="PTA",IF(AND(OR(I66="Accepted",I66="Not Needed"),OR(H66="Accepted",H66="Not Needed")),"None",MID(IF(AND(I66&lt;&gt;"Accepted",I66&lt;&gt;"Not Needed"),", "&amp;I$1,"")&amp;IF(AND(H66&lt;&gt;"Accepted",H66&lt;&gt;"Not Needed"),", "&amp;H$1,""),3,400)),IF($Q66&gt;=Settings!$C$13,"None",MID(IF(AND(G66&lt;&gt;"Accepted",G66&lt;&gt;"Not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Confirmed",IF($E67="PTA",IF(AND(OR(I67="Accepted",I67="Not Needed"),OR(H67="Accepted",H67="Not Needed")),"Registered",IF(OR(OR(I67="Accepted",I67="Received",I67="Needs Correction"),OR(H67="Accepted",H67="Received",H67="Needs Correction")),"In Progress","Not Started")),IF($Q67&gt;=Settings!$C$13,"Legalized",IF($P67&gt;=Settings!$C$12,"Registered",IF($O67&gt;0,"In Progress","Not Started")))))))</f>
        <v/>
      </c>
      <c r="S67" s="32">
        <f>IF($B67="","",COUNTIF(G67:N67,"Received"))</f>
        <v/>
      </c>
      <c r="T67" s="32">
        <f>IF($B67="","",COUNTIF(G67:N67,"Needs Correction"))</f>
        <v/>
      </c>
      <c r="U67" s="33">
        <f>IF($B67="","",IF($D67&lt;&gt;"Yes","",IF($E67="PTA",IF(AND(OR(I67="Accepted",I67="Not Needed"),OR(H67="Accepted",H67="Not Needed")),"None",MID(IF(AND(I67&lt;&gt;"Accepted",I67&lt;&gt;"Not Needed"),", "&amp;I$1,"")&amp;IF(AND(H67&lt;&gt;"Accepted",H67&lt;&gt;"Not Needed"),", "&amp;H$1,""),3,400)),IF($Q67&gt;=Settings!$C$13,"None",MID(IF(AND(G67&lt;&gt;"Accepted",G67&lt;&gt;"Not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Confirmed",IF($E68="PTA",IF(AND(OR(I68="Accepted",I68="Not Needed"),OR(H68="Accepted",H68="Not Needed")),"Registered",IF(OR(OR(I68="Accepted",I68="Received",I68="Needs Correction"),OR(H68="Accepted",H68="Received",H68="Needs Correction")),"In Progress","Not Started")),IF($Q68&gt;=Settings!$C$13,"Legalized",IF($P68&gt;=Settings!$C$12,"Registered",IF($O68&gt;0,"In Progress","Not Started")))))))</f>
        <v/>
      </c>
      <c r="S68" s="32">
        <f>IF($B68="","",COUNTIF(G68:N68,"Received"))</f>
        <v/>
      </c>
      <c r="T68" s="32">
        <f>IF($B68="","",COUNTIF(G68:N68,"Needs Correction"))</f>
        <v/>
      </c>
      <c r="U68" s="33">
        <f>IF($B68="","",IF($D68&lt;&gt;"Yes","",IF($E68="PTA",IF(AND(OR(I68="Accepted",I68="Not Needed"),OR(H68="Accepted",H68="Not Needed")),"None",MID(IF(AND(I68&lt;&gt;"Accepted",I68&lt;&gt;"Not Needed"),", "&amp;I$1,"")&amp;IF(AND(H68&lt;&gt;"Accepted",H68&lt;&gt;"Not Needed"),", "&amp;H$1,""),3,400)),IF($Q68&gt;=Settings!$C$13,"None",MID(IF(AND(G68&lt;&gt;"Accepted",G68&lt;&gt;"Not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Confirmed",IF($E69="PTA",IF(AND(OR(I69="Accepted",I69="Not Needed"),OR(H69="Accepted",H69="Not Needed")),"Registered",IF(OR(OR(I69="Accepted",I69="Received",I69="Needs Correction"),OR(H69="Accepted",H69="Received",H69="Needs Correction")),"In Progress","Not Started")),IF($Q69&gt;=Settings!$C$13,"Legalized",IF($P69&gt;=Settings!$C$12,"Registered",IF($O69&gt;0,"In Progress","Not Started")))))))</f>
        <v/>
      </c>
      <c r="S69" s="32">
        <f>IF($B69="","",COUNTIF(G69:N69,"Received"))</f>
        <v/>
      </c>
      <c r="T69" s="32">
        <f>IF($B69="","",COUNTIF(G69:N69,"Needs Correction"))</f>
        <v/>
      </c>
      <c r="U69" s="33">
        <f>IF($B69="","",IF($D69&lt;&gt;"Yes","",IF($E69="PTA",IF(AND(OR(I69="Accepted",I69="Not Needed"),OR(H69="Accepted",H69="Not Needed")),"None",MID(IF(AND(I69&lt;&gt;"Accepted",I69&lt;&gt;"Not Needed"),", "&amp;I$1,"")&amp;IF(AND(H69&lt;&gt;"Accepted",H69&lt;&gt;"Not Needed"),", "&amp;H$1,""),3,400)),IF($Q69&gt;=Settings!$C$13,"None",MID(IF(AND(G69&lt;&gt;"Accepted",G69&lt;&gt;"Not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Confirmed",IF($E70="PTA",IF(AND(OR(I70="Accepted",I70="Not Needed"),OR(H70="Accepted",H70="Not Needed")),"Registered",IF(OR(OR(I70="Accepted",I70="Received",I70="Needs Correction"),OR(H70="Accepted",H70="Received",H70="Needs Correction")),"In Progress","Not Started")),IF($Q70&gt;=Settings!$C$13,"Legalized",IF($P70&gt;=Settings!$C$12,"Registered",IF($O70&gt;0,"In Progress","Not Started")))))))</f>
        <v/>
      </c>
      <c r="S70" s="32">
        <f>IF($B70="","",COUNTIF(G70:N70,"Received"))</f>
        <v/>
      </c>
      <c r="T70" s="32">
        <f>IF($B70="","",COUNTIF(G70:N70,"Needs Correction"))</f>
        <v/>
      </c>
      <c r="U70" s="33">
        <f>IF($B70="","",IF($D70&lt;&gt;"Yes","",IF($E70="PTA",IF(AND(OR(I70="Accepted",I70="Not Needed"),OR(H70="Accepted",H70="Not Needed")),"None",MID(IF(AND(I70&lt;&gt;"Accepted",I70&lt;&gt;"Not Needed"),", "&amp;I$1,"")&amp;IF(AND(H70&lt;&gt;"Accepted",H70&lt;&gt;"Not Needed"),", "&amp;H$1,""),3,400)),IF($Q70&gt;=Settings!$C$13,"None",MID(IF(AND(G70&lt;&gt;"Accepted",G70&lt;&gt;"Not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Confirmed",IF($E71="PTA",IF(AND(OR(I71="Accepted",I71="Not Needed"),OR(H71="Accepted",H71="Not Needed")),"Registered",IF(OR(OR(I71="Accepted",I71="Received",I71="Needs Correction"),OR(H71="Accepted",H71="Received",H71="Needs Correction")),"In Progress","Not Started")),IF($Q71&gt;=Settings!$C$13,"Legalized",IF($P71&gt;=Settings!$C$12,"Registered",IF($O71&gt;0,"In Progress","Not Started")))))))</f>
        <v/>
      </c>
      <c r="S71" s="32">
        <f>IF($B71="","",COUNTIF(G71:N71,"Received"))</f>
        <v/>
      </c>
      <c r="T71" s="32">
        <f>IF($B71="","",COUNTIF(G71:N71,"Needs Correction"))</f>
        <v/>
      </c>
      <c r="U71" s="33">
        <f>IF($B71="","",IF($D71&lt;&gt;"Yes","",IF($E71="PTA",IF(AND(OR(I71="Accepted",I71="Not Needed"),OR(H71="Accepted",H71="Not Needed")),"None",MID(IF(AND(I71&lt;&gt;"Accepted",I71&lt;&gt;"Not Needed"),", "&amp;I$1,"")&amp;IF(AND(H71&lt;&gt;"Accepted",H71&lt;&gt;"Not Needed"),", "&amp;H$1,""),3,400)),IF($Q71&gt;=Settings!$C$13,"None",MID(IF(AND(G71&lt;&gt;"Accepted",G71&lt;&gt;"Not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Confirmed",IF($E72="PTA",IF(AND(OR(I72="Accepted",I72="Not Needed"),OR(H72="Accepted",H72="Not Needed")),"Registered",IF(OR(OR(I72="Accepted",I72="Received",I72="Needs Correction"),OR(H72="Accepted",H72="Received",H72="Needs Correction")),"In Progress","Not Started")),IF($Q72&gt;=Settings!$C$13,"Legalized",IF($P72&gt;=Settings!$C$12,"Registered",IF($O72&gt;0,"In Progress","Not Started")))))))</f>
        <v/>
      </c>
      <c r="S72" s="32">
        <f>IF($B72="","",COUNTIF(G72:N72,"Received"))</f>
        <v/>
      </c>
      <c r="T72" s="32">
        <f>IF($B72="","",COUNTIF(G72:N72,"Needs Correction"))</f>
        <v/>
      </c>
      <c r="U72" s="33">
        <f>IF($B72="","",IF($D72&lt;&gt;"Yes","",IF($E72="PTA",IF(AND(OR(I72="Accepted",I72="Not Needed"),OR(H72="Accepted",H72="Not Needed")),"None",MID(IF(AND(I72&lt;&gt;"Accepted",I72&lt;&gt;"Not Needed"),", "&amp;I$1,"")&amp;IF(AND(H72&lt;&gt;"Accepted",H72&lt;&gt;"Not Needed"),", "&amp;H$1,""),3,400)),IF($Q72&gt;=Settings!$C$13,"None",MID(IF(AND(G72&lt;&gt;"Accepted",G72&lt;&gt;"Not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Confirmed",IF($E73="PTA",IF(AND(OR(I73="Accepted",I73="Not Needed"),OR(H73="Accepted",H73="Not Needed")),"Registered",IF(OR(OR(I73="Accepted",I73="Received",I73="Needs Correction"),OR(H73="Accepted",H73="Received",H73="Needs Correction")),"In Progress","Not Started")),IF($Q73&gt;=Settings!$C$13,"Legalized",IF($P73&gt;=Settings!$C$12,"Registered",IF($O73&gt;0,"In Progress","Not Started")))))))</f>
        <v/>
      </c>
      <c r="S73" s="32">
        <f>IF($B73="","",COUNTIF(G73:N73,"Received"))</f>
        <v/>
      </c>
      <c r="T73" s="32">
        <f>IF($B73="","",COUNTIF(G73:N73,"Needs Correction"))</f>
        <v/>
      </c>
      <c r="U73" s="33">
        <f>IF($B73="","",IF($D73&lt;&gt;"Yes","",IF($E73="PTA",IF(AND(OR(I73="Accepted",I73="Not Needed"),OR(H73="Accepted",H73="Not Needed")),"None",MID(IF(AND(I73&lt;&gt;"Accepted",I73&lt;&gt;"Not Needed"),", "&amp;I$1,"")&amp;IF(AND(H73&lt;&gt;"Accepted",H73&lt;&gt;"Not Needed"),", "&amp;H$1,""),3,400)),IF($Q73&gt;=Settings!$C$13,"None",MID(IF(AND(G73&lt;&gt;"Accepted",G73&lt;&gt;"Not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Confirmed",IF($E74="PTA",IF(AND(OR(I74="Accepted",I74="Not Needed"),OR(H74="Accepted",H74="Not Needed")),"Registered",IF(OR(OR(I74="Accepted",I74="Received",I74="Needs Correction"),OR(H74="Accepted",H74="Received",H74="Needs Correction")),"In Progress","Not Started")),IF($Q74&gt;=Settings!$C$13,"Legalized",IF($P74&gt;=Settings!$C$12,"Registered",IF($O74&gt;0,"In Progress","Not Started")))))))</f>
        <v/>
      </c>
      <c r="S74" s="32">
        <f>IF($B74="","",COUNTIF(G74:N74,"Received"))</f>
        <v/>
      </c>
      <c r="T74" s="32">
        <f>IF($B74="","",COUNTIF(G74:N74,"Needs Correction"))</f>
        <v/>
      </c>
      <c r="U74" s="33">
        <f>IF($B74="","",IF($D74&lt;&gt;"Yes","",IF($E74="PTA",IF(AND(OR(I74="Accepted",I74="Not Needed"),OR(H74="Accepted",H74="Not Needed")),"None",MID(IF(AND(I74&lt;&gt;"Accepted",I74&lt;&gt;"Not Needed"),", "&amp;I$1,"")&amp;IF(AND(H74&lt;&gt;"Accepted",H74&lt;&gt;"Not Needed"),", "&amp;H$1,""),3,400)),IF($Q74&gt;=Settings!$C$13,"None",MID(IF(AND(G74&lt;&gt;"Accepted",G74&lt;&gt;"Not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Confirmed",IF($E75="PTA",IF(AND(OR(I75="Accepted",I75="Not Needed"),OR(H75="Accepted",H75="Not Needed")),"Registered",IF(OR(OR(I75="Accepted",I75="Received",I75="Needs Correction"),OR(H75="Accepted",H75="Received",H75="Needs Correction")),"In Progress","Not Started")),IF($Q75&gt;=Settings!$C$13,"Legalized",IF($P75&gt;=Settings!$C$12,"Registered",IF($O75&gt;0,"In Progress","Not Started")))))))</f>
        <v/>
      </c>
      <c r="S75" s="32">
        <f>IF($B75="","",COUNTIF(G75:N75,"Received"))</f>
        <v/>
      </c>
      <c r="T75" s="32">
        <f>IF($B75="","",COUNTIF(G75:N75,"Needs Correction"))</f>
        <v/>
      </c>
      <c r="U75" s="33">
        <f>IF($B75="","",IF($D75&lt;&gt;"Yes","",IF($E75="PTA",IF(AND(OR(I75="Accepted",I75="Not Needed"),OR(H75="Accepted",H75="Not Needed")),"None",MID(IF(AND(I75&lt;&gt;"Accepted",I75&lt;&gt;"Not Needed"),", "&amp;I$1,"")&amp;IF(AND(H75&lt;&gt;"Accepted",H75&lt;&gt;"Not Needed"),", "&amp;H$1,""),3,400)),IF($Q75&gt;=Settings!$C$13,"None",MID(IF(AND(G75&lt;&gt;"Accepted",G75&lt;&gt;"Not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Confirmed",IF($E76="PTA",IF(AND(OR(I76="Accepted",I76="Not Needed"),OR(H76="Accepted",H76="Not Needed")),"Registered",IF(OR(OR(I76="Accepted",I76="Received",I76="Needs Correction"),OR(H76="Accepted",H76="Received",H76="Needs Correction")),"In Progress","Not Started")),IF($Q76&gt;=Settings!$C$13,"Legalized",IF($P76&gt;=Settings!$C$12,"Registered",IF($O76&gt;0,"In Progress","Not Started")))))))</f>
        <v/>
      </c>
      <c r="S76" s="32">
        <f>IF($B76="","",COUNTIF(G76:N76,"Received"))</f>
        <v/>
      </c>
      <c r="T76" s="32">
        <f>IF($B76="","",COUNTIF(G76:N76,"Needs Correction"))</f>
        <v/>
      </c>
      <c r="U76" s="33">
        <f>IF($B76="","",IF($D76&lt;&gt;"Yes","",IF($E76="PTA",IF(AND(OR(I76="Accepted",I76="Not Needed"),OR(H76="Accepted",H76="Not Needed")),"None",MID(IF(AND(I76&lt;&gt;"Accepted",I76&lt;&gt;"Not Needed"),", "&amp;I$1,"")&amp;IF(AND(H76&lt;&gt;"Accepted",H76&lt;&gt;"Not Needed"),", "&amp;H$1,""),3,400)),IF($Q76&gt;=Settings!$C$13,"None",MID(IF(AND(G76&lt;&gt;"Accepted",G76&lt;&gt;"Not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Confirmed",IF($E77="PTA",IF(AND(OR(I77="Accepted",I77="Not Needed"),OR(H77="Accepted",H77="Not Needed")),"Registered",IF(OR(OR(I77="Accepted",I77="Received",I77="Needs Correction"),OR(H77="Accepted",H77="Received",H77="Needs Correction")),"In Progress","Not Started")),IF($Q77&gt;=Settings!$C$13,"Legalized",IF($P77&gt;=Settings!$C$12,"Registered",IF($O77&gt;0,"In Progress","Not Started")))))))</f>
        <v/>
      </c>
      <c r="S77" s="32">
        <f>IF($B77="","",COUNTIF(G77:N77,"Received"))</f>
        <v/>
      </c>
      <c r="T77" s="32">
        <f>IF($B77="","",COUNTIF(G77:N77,"Needs Correction"))</f>
        <v/>
      </c>
      <c r="U77" s="33">
        <f>IF($B77="","",IF($D77&lt;&gt;"Yes","",IF($E77="PTA",IF(AND(OR(I77="Accepted",I77="Not Needed"),OR(H77="Accepted",H77="Not Needed")),"None",MID(IF(AND(I77&lt;&gt;"Accepted",I77&lt;&gt;"Not Needed"),", "&amp;I$1,"")&amp;IF(AND(H77&lt;&gt;"Accepted",H77&lt;&gt;"Not Needed"),", "&amp;H$1,""),3,400)),IF($Q77&gt;=Settings!$C$13,"None",MID(IF(AND(G77&lt;&gt;"Accepted",G77&lt;&gt;"Not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Confirmed",IF($E78="PTA",IF(AND(OR(I78="Accepted",I78="Not Needed"),OR(H78="Accepted",H78="Not Needed")),"Registered",IF(OR(OR(I78="Accepted",I78="Received",I78="Needs Correction"),OR(H78="Accepted",H78="Received",H78="Needs Correction")),"In Progress","Not Started")),IF($Q78&gt;=Settings!$C$13,"Legalized",IF($P78&gt;=Settings!$C$12,"Registered",IF($O78&gt;0,"In Progress","Not Started")))))))</f>
        <v/>
      </c>
      <c r="S78" s="32">
        <f>IF($B78="","",COUNTIF(G78:N78,"Received"))</f>
        <v/>
      </c>
      <c r="T78" s="32">
        <f>IF($B78="","",COUNTIF(G78:N78,"Needs Correction"))</f>
        <v/>
      </c>
      <c r="U78" s="33">
        <f>IF($B78="","",IF($D78&lt;&gt;"Yes","",IF($E78="PTA",IF(AND(OR(I78="Accepted",I78="Not Needed"),OR(H78="Accepted",H78="Not Needed")),"None",MID(IF(AND(I78&lt;&gt;"Accepted",I78&lt;&gt;"Not Needed"),", "&amp;I$1,"")&amp;IF(AND(H78&lt;&gt;"Accepted",H78&lt;&gt;"Not Needed"),", "&amp;H$1,""),3,400)),IF($Q78&gt;=Settings!$C$13,"None",MID(IF(AND(G78&lt;&gt;"Accepted",G78&lt;&gt;"Not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Confirmed",IF($E79="PTA",IF(AND(OR(I79="Accepted",I79="Not Needed"),OR(H79="Accepted",H79="Not Needed")),"Registered",IF(OR(OR(I79="Accepted",I79="Received",I79="Needs Correction"),OR(H79="Accepted",H79="Received",H79="Needs Correction")),"In Progress","Not Started")),IF($Q79&gt;=Settings!$C$13,"Legalized",IF($P79&gt;=Settings!$C$12,"Registered",IF($O79&gt;0,"In Progress","Not Started")))))))</f>
        <v/>
      </c>
      <c r="S79" s="32">
        <f>IF($B79="","",COUNTIF(G79:N79,"Received"))</f>
        <v/>
      </c>
      <c r="T79" s="32">
        <f>IF($B79="","",COUNTIF(G79:N79,"Needs Correction"))</f>
        <v/>
      </c>
      <c r="U79" s="33">
        <f>IF($B79="","",IF($D79&lt;&gt;"Yes","",IF($E79="PTA",IF(AND(OR(I79="Accepted",I79="Not Needed"),OR(H79="Accepted",H79="Not Needed")),"None",MID(IF(AND(I79&lt;&gt;"Accepted",I79&lt;&gt;"Not Needed"),", "&amp;I$1,"")&amp;IF(AND(H79&lt;&gt;"Accepted",H79&lt;&gt;"Not Needed"),", "&amp;H$1,""),3,400)),IF($Q79&gt;=Settings!$C$13,"None",MID(IF(AND(G79&lt;&gt;"Accepted",G79&lt;&gt;"Not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Confirmed",IF($E80="PTA",IF(AND(OR(I80="Accepted",I80="Not Needed"),OR(H80="Accepted",H80="Not Needed")),"Registered",IF(OR(OR(I80="Accepted",I80="Received",I80="Needs Correction"),OR(H80="Accepted",H80="Received",H80="Needs Correction")),"In Progress","Not Started")),IF($Q80&gt;=Settings!$C$13,"Legalized",IF($P80&gt;=Settings!$C$12,"Registered",IF($O80&gt;0,"In Progress","Not Started")))))))</f>
        <v/>
      </c>
      <c r="S80" s="32">
        <f>IF($B80="","",COUNTIF(G80:N80,"Received"))</f>
        <v/>
      </c>
      <c r="T80" s="32">
        <f>IF($B80="","",COUNTIF(G80:N80,"Needs Correction"))</f>
        <v/>
      </c>
      <c r="U80" s="33">
        <f>IF($B80="","",IF($D80&lt;&gt;"Yes","",IF($E80="PTA",IF(AND(OR(I80="Accepted",I80="Not Needed"),OR(H80="Accepted",H80="Not Needed")),"None",MID(IF(AND(I80&lt;&gt;"Accepted",I80&lt;&gt;"Not Needed"),", "&amp;I$1,"")&amp;IF(AND(H80&lt;&gt;"Accepted",H80&lt;&gt;"Not Needed"),", "&amp;H$1,""),3,400)),IF($Q80&gt;=Settings!$C$13,"None",MID(IF(AND(G80&lt;&gt;"Accepted",G80&lt;&gt;"Not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Confirmed",IF($E81="PTA",IF(AND(OR(I81="Accepted",I81="Not Needed"),OR(H81="Accepted",H81="Not Needed")),"Registered",IF(OR(OR(I81="Accepted",I81="Received",I81="Needs Correction"),OR(H81="Accepted",H81="Received",H81="Needs Correction")),"In Progress","Not Started")),IF($Q81&gt;=Settings!$C$13,"Legalized",IF($P81&gt;=Settings!$C$12,"Registered",IF($O81&gt;0,"In Progress","Not Started")))))))</f>
        <v/>
      </c>
      <c r="S81" s="32">
        <f>IF($B81="","",COUNTIF(G81:N81,"Received"))</f>
        <v/>
      </c>
      <c r="T81" s="32">
        <f>IF($B81="","",COUNTIF(G81:N81,"Needs Correction"))</f>
        <v/>
      </c>
      <c r="U81" s="33">
        <f>IF($B81="","",IF($D81&lt;&gt;"Yes","",IF($E81="PTA",IF(AND(OR(I81="Accepted",I81="Not Needed"),OR(H81="Accepted",H81="Not Needed")),"None",MID(IF(AND(I81&lt;&gt;"Accepted",I81&lt;&gt;"Not Needed"),", "&amp;I$1,"")&amp;IF(AND(H81&lt;&gt;"Accepted",H81&lt;&gt;"Not Needed"),", "&amp;H$1,""),3,400)),IF($Q81&gt;=Settings!$C$13,"None",MID(IF(AND(G81&lt;&gt;"Accepted",G81&lt;&gt;"Not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Confirmed",IF($E82="PTA",IF(AND(OR(I82="Accepted",I82="Not Needed"),OR(H82="Accepted",H82="Not Needed")),"Registered",IF(OR(OR(I82="Accepted",I82="Received",I82="Needs Correction"),OR(H82="Accepted",H82="Received",H82="Needs Correction")),"In Progress","Not Started")),IF($Q82&gt;=Settings!$C$13,"Legalized",IF($P82&gt;=Settings!$C$12,"Registered",IF($O82&gt;0,"In Progress","Not Started")))))))</f>
        <v/>
      </c>
      <c r="S82" s="32">
        <f>IF($B82="","",COUNTIF(G82:N82,"Received"))</f>
        <v/>
      </c>
      <c r="T82" s="32">
        <f>IF($B82="","",COUNTIF(G82:N82,"Needs Correction"))</f>
        <v/>
      </c>
      <c r="U82" s="33">
        <f>IF($B82="","",IF($D82&lt;&gt;"Yes","",IF($E82="PTA",IF(AND(OR(I82="Accepted",I82="Not Needed"),OR(H82="Accepted",H82="Not Needed")),"None",MID(IF(AND(I82&lt;&gt;"Accepted",I82&lt;&gt;"Not Needed"),", "&amp;I$1,"")&amp;IF(AND(H82&lt;&gt;"Accepted",H82&lt;&gt;"Not Needed"),", "&amp;H$1,""),3,400)),IF($Q82&gt;=Settings!$C$13,"None",MID(IF(AND(G82&lt;&gt;"Accepted",G82&lt;&gt;"Not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Confirmed",IF($E83="PTA",IF(AND(OR(I83="Accepted",I83="Not Needed"),OR(H83="Accepted",H83="Not Needed")),"Registered",IF(OR(OR(I83="Accepted",I83="Received",I83="Needs Correction"),OR(H83="Accepted",H83="Received",H83="Needs Correction")),"In Progress","Not Started")),IF($Q83&gt;=Settings!$C$13,"Legalized",IF($P83&gt;=Settings!$C$12,"Registered",IF($O83&gt;0,"In Progress","Not Started")))))))</f>
        <v/>
      </c>
      <c r="S83" s="32">
        <f>IF($B83="","",COUNTIF(G83:N83,"Received"))</f>
        <v/>
      </c>
      <c r="T83" s="32">
        <f>IF($B83="","",COUNTIF(G83:N83,"Needs Correction"))</f>
        <v/>
      </c>
      <c r="U83" s="33">
        <f>IF($B83="","",IF($D83&lt;&gt;"Yes","",IF($E83="PTA",IF(AND(OR(I83="Accepted",I83="Not Needed"),OR(H83="Accepted",H83="Not Needed")),"None",MID(IF(AND(I83&lt;&gt;"Accepted",I83&lt;&gt;"Not Needed"),", "&amp;I$1,"")&amp;IF(AND(H83&lt;&gt;"Accepted",H83&lt;&gt;"Not Needed"),", "&amp;H$1,""),3,400)),IF($Q83&gt;=Settings!$C$13,"None",MID(IF(AND(G83&lt;&gt;"Accepted",G83&lt;&gt;"Not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Confirmed",IF($E84="PTA",IF(AND(OR(I84="Accepted",I84="Not Needed"),OR(H84="Accepted",H84="Not Needed")),"Registered",IF(OR(OR(I84="Accepted",I84="Received",I84="Needs Correction"),OR(H84="Accepted",H84="Received",H84="Needs Correction")),"In Progress","Not Started")),IF($Q84&gt;=Settings!$C$13,"Legalized",IF($P84&gt;=Settings!$C$12,"Registered",IF($O84&gt;0,"In Progress","Not Started")))))))</f>
        <v/>
      </c>
      <c r="S84" s="32">
        <f>IF($B84="","",COUNTIF(G84:N84,"Received"))</f>
        <v/>
      </c>
      <c r="T84" s="32">
        <f>IF($B84="","",COUNTIF(G84:N84,"Needs Correction"))</f>
        <v/>
      </c>
      <c r="U84" s="33">
        <f>IF($B84="","",IF($D84&lt;&gt;"Yes","",IF($E84="PTA",IF(AND(OR(I84="Accepted",I84="Not Needed"),OR(H84="Accepted",H84="Not Needed")),"None",MID(IF(AND(I84&lt;&gt;"Accepted",I84&lt;&gt;"Not Needed"),", "&amp;I$1,"")&amp;IF(AND(H84&lt;&gt;"Accepted",H84&lt;&gt;"Not Needed"),", "&amp;H$1,""),3,400)),IF($Q84&gt;=Settings!$C$13,"None",MID(IF(AND(G84&lt;&gt;"Accepted",G84&lt;&gt;"Not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Confirmed",IF($E85="PTA",IF(AND(OR(I85="Accepted",I85="Not Needed"),OR(H85="Accepted",H85="Not Needed")),"Registered",IF(OR(OR(I85="Accepted",I85="Received",I85="Needs Correction"),OR(H85="Accepted",H85="Received",H85="Needs Correction")),"In Progress","Not Started")),IF($Q85&gt;=Settings!$C$13,"Legalized",IF($P85&gt;=Settings!$C$12,"Registered",IF($O85&gt;0,"In Progress","Not Started")))))))</f>
        <v/>
      </c>
      <c r="S85" s="32">
        <f>IF($B85="","",COUNTIF(G85:N85,"Received"))</f>
        <v/>
      </c>
      <c r="T85" s="32">
        <f>IF($B85="","",COUNTIF(G85:N85,"Needs Correction"))</f>
        <v/>
      </c>
      <c r="U85" s="33">
        <f>IF($B85="","",IF($D85&lt;&gt;"Yes","",IF($E85="PTA",IF(AND(OR(I85="Accepted",I85="Not Needed"),OR(H85="Accepted",H85="Not Needed")),"None",MID(IF(AND(I85&lt;&gt;"Accepted",I85&lt;&gt;"Not Needed"),", "&amp;I$1,"")&amp;IF(AND(H85&lt;&gt;"Accepted",H85&lt;&gt;"Not Needed"),", "&amp;H$1,""),3,400)),IF($Q85&gt;=Settings!$C$13,"None",MID(IF(AND(G85&lt;&gt;"Accepted",G85&lt;&gt;"Not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Confirmed",IF($E86="PTA",IF(AND(OR(I86="Accepted",I86="Not Needed"),OR(H86="Accepted",H86="Not Needed")),"Registered",IF(OR(OR(I86="Accepted",I86="Received",I86="Needs Correction"),OR(H86="Accepted",H86="Received",H86="Needs Correction")),"In Progress","Not Started")),IF($Q86&gt;=Settings!$C$13,"Legalized",IF($P86&gt;=Settings!$C$12,"Registered",IF($O86&gt;0,"In Progress","Not Started")))))))</f>
        <v/>
      </c>
      <c r="S86" s="32">
        <f>IF($B86="","",COUNTIF(G86:N86,"Received"))</f>
        <v/>
      </c>
      <c r="T86" s="32">
        <f>IF($B86="","",COUNTIF(G86:N86,"Needs Correction"))</f>
        <v/>
      </c>
      <c r="U86" s="33">
        <f>IF($B86="","",IF($D86&lt;&gt;"Yes","",IF($E86="PTA",IF(AND(OR(I86="Accepted",I86="Not Needed"),OR(H86="Accepted",H86="Not Needed")),"None",MID(IF(AND(I86&lt;&gt;"Accepted",I86&lt;&gt;"Not Needed"),", "&amp;I$1,"")&amp;IF(AND(H86&lt;&gt;"Accepted",H86&lt;&gt;"Not Needed"),", "&amp;H$1,""),3,400)),IF($Q86&gt;=Settings!$C$13,"None",MID(IF(AND(G86&lt;&gt;"Accepted",G86&lt;&gt;"Not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Confirmed",IF($E87="PTA",IF(AND(OR(I87="Accepted",I87="Not Needed"),OR(H87="Accepted",H87="Not Needed")),"Registered",IF(OR(OR(I87="Accepted",I87="Received",I87="Needs Correction"),OR(H87="Accepted",H87="Received",H87="Needs Correction")),"In Progress","Not Started")),IF($Q87&gt;=Settings!$C$13,"Legalized",IF($P87&gt;=Settings!$C$12,"Registered",IF($O87&gt;0,"In Progress","Not Started")))))))</f>
        <v/>
      </c>
      <c r="S87" s="32">
        <f>IF($B87="","",COUNTIF(G87:N87,"Received"))</f>
        <v/>
      </c>
      <c r="T87" s="32">
        <f>IF($B87="","",COUNTIF(G87:N87,"Needs Correction"))</f>
        <v/>
      </c>
      <c r="U87" s="33">
        <f>IF($B87="","",IF($D87&lt;&gt;"Yes","",IF($E87="PTA",IF(AND(OR(I87="Accepted",I87="Not Needed"),OR(H87="Accepted",H87="Not Needed")),"None",MID(IF(AND(I87&lt;&gt;"Accepted",I87&lt;&gt;"Not Needed"),", "&amp;I$1,"")&amp;IF(AND(H87&lt;&gt;"Accepted",H87&lt;&gt;"Not Needed"),", "&amp;H$1,""),3,400)),IF($Q87&gt;=Settings!$C$13,"None",MID(IF(AND(G87&lt;&gt;"Accepted",G87&lt;&gt;"Not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Confirmed",IF($E88="PTA",IF(AND(OR(I88="Accepted",I88="Not Needed"),OR(H88="Accepted",H88="Not Needed")),"Registered",IF(OR(OR(I88="Accepted",I88="Received",I88="Needs Correction"),OR(H88="Accepted",H88="Received",H88="Needs Correction")),"In Progress","Not Started")),IF($Q88&gt;=Settings!$C$13,"Legalized",IF($P88&gt;=Settings!$C$12,"Registered",IF($O88&gt;0,"In Progress","Not Started")))))))</f>
        <v/>
      </c>
      <c r="S88" s="32">
        <f>IF($B88="","",COUNTIF(G88:N88,"Received"))</f>
        <v/>
      </c>
      <c r="T88" s="32">
        <f>IF($B88="","",COUNTIF(G88:N88,"Needs Correction"))</f>
        <v/>
      </c>
      <c r="U88" s="33">
        <f>IF($B88="","",IF($D88&lt;&gt;"Yes","",IF($E88="PTA",IF(AND(OR(I88="Accepted",I88="Not Needed"),OR(H88="Accepted",H88="Not Needed")),"None",MID(IF(AND(I88&lt;&gt;"Accepted",I88&lt;&gt;"Not Needed"),", "&amp;I$1,"")&amp;IF(AND(H88&lt;&gt;"Accepted",H88&lt;&gt;"Not Needed"),", "&amp;H$1,""),3,400)),IF($Q88&gt;=Settings!$C$13,"None",MID(IF(AND(G88&lt;&gt;"Accepted",G88&lt;&gt;"Not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Confirmed",IF($E89="PTA",IF(AND(OR(I89="Accepted",I89="Not Needed"),OR(H89="Accepted",H89="Not Needed")),"Registered",IF(OR(OR(I89="Accepted",I89="Received",I89="Needs Correction"),OR(H89="Accepted",H89="Received",H89="Needs Correction")),"In Progress","Not Started")),IF($Q89&gt;=Settings!$C$13,"Legalized",IF($P89&gt;=Settings!$C$12,"Registered",IF($O89&gt;0,"In Progress","Not Started")))))))</f>
        <v/>
      </c>
      <c r="S89" s="32">
        <f>IF($B89="","",COUNTIF(G89:N89,"Received"))</f>
        <v/>
      </c>
      <c r="T89" s="32">
        <f>IF($B89="","",COUNTIF(G89:N89,"Needs Correction"))</f>
        <v/>
      </c>
      <c r="U89" s="33">
        <f>IF($B89="","",IF($D89&lt;&gt;"Yes","",IF($E89="PTA",IF(AND(OR(I89="Accepted",I89="Not Needed"),OR(H89="Accepted",H89="Not Needed")),"None",MID(IF(AND(I89&lt;&gt;"Accepted",I89&lt;&gt;"Not Needed"),", "&amp;I$1,"")&amp;IF(AND(H89&lt;&gt;"Accepted",H89&lt;&gt;"Not Needed"),", "&amp;H$1,""),3,400)),IF($Q89&gt;=Settings!$C$13,"None",MID(IF(AND(G89&lt;&gt;"Accepted",G89&lt;&gt;"Not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Confirmed",IF($E90="PTA",IF(AND(OR(I90="Accepted",I90="Not Needed"),OR(H90="Accepted",H90="Not Needed")),"Registered",IF(OR(OR(I90="Accepted",I90="Received",I90="Needs Correction"),OR(H90="Accepted",H90="Received",H90="Needs Correction")),"In Progress","Not Started")),IF($Q90&gt;=Settings!$C$13,"Legalized",IF($P90&gt;=Settings!$C$12,"Registered",IF($O90&gt;0,"In Progress","Not Started")))))))</f>
        <v/>
      </c>
      <c r="S90" s="32">
        <f>IF($B90="","",COUNTIF(G90:N90,"Received"))</f>
        <v/>
      </c>
      <c r="T90" s="32">
        <f>IF($B90="","",COUNTIF(G90:N90,"Needs Correction"))</f>
        <v/>
      </c>
      <c r="U90" s="33">
        <f>IF($B90="","",IF($D90&lt;&gt;"Yes","",IF($E90="PTA",IF(AND(OR(I90="Accepted",I90="Not Needed"),OR(H90="Accepted",H90="Not Needed")),"None",MID(IF(AND(I90&lt;&gt;"Accepted",I90&lt;&gt;"Not Needed"),", "&amp;I$1,"")&amp;IF(AND(H90&lt;&gt;"Accepted",H90&lt;&gt;"Not Needed"),", "&amp;H$1,""),3,400)),IF($Q90&gt;=Settings!$C$13,"None",MID(IF(AND(G90&lt;&gt;"Accepted",G90&lt;&gt;"Not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Confirmed",IF($E91="PTA",IF(AND(OR(I91="Accepted",I91="Not Needed"),OR(H91="Accepted",H91="Not Needed")),"Registered",IF(OR(OR(I91="Accepted",I91="Received",I91="Needs Correction"),OR(H91="Accepted",H91="Received",H91="Needs Correction")),"In Progress","Not Started")),IF($Q91&gt;=Settings!$C$13,"Legalized",IF($P91&gt;=Settings!$C$12,"Registered",IF($O91&gt;0,"In Progress","Not Started")))))))</f>
        <v/>
      </c>
      <c r="S91" s="32">
        <f>IF($B91="","",COUNTIF(G91:N91,"Received"))</f>
        <v/>
      </c>
      <c r="T91" s="32">
        <f>IF($B91="","",COUNTIF(G91:N91,"Needs Correction"))</f>
        <v/>
      </c>
      <c r="U91" s="33">
        <f>IF($B91="","",IF($D91&lt;&gt;"Yes","",IF($E91="PTA",IF(AND(OR(I91="Accepted",I91="Not Needed"),OR(H91="Accepted",H91="Not Needed")),"None",MID(IF(AND(I91&lt;&gt;"Accepted",I91&lt;&gt;"Not Needed"),", "&amp;I$1,"")&amp;IF(AND(H91&lt;&gt;"Accepted",H91&lt;&gt;"Not Needed"),", "&amp;H$1,""),3,400)),IF($Q91&gt;=Settings!$C$13,"None",MID(IF(AND(G91&lt;&gt;"Accepted",G91&lt;&gt;"Not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Confirmed",IF($E92="PTA",IF(AND(OR(I92="Accepted",I92="Not Needed"),OR(H92="Accepted",H92="Not Needed")),"Registered",IF(OR(OR(I92="Accepted",I92="Received",I92="Needs Correction"),OR(H92="Accepted",H92="Received",H92="Needs Correction")),"In Progress","Not Started")),IF($Q92&gt;=Settings!$C$13,"Legalized",IF($P92&gt;=Settings!$C$12,"Registered",IF($O92&gt;0,"In Progress","Not Started")))))))</f>
        <v/>
      </c>
      <c r="S92" s="32">
        <f>IF($B92="","",COUNTIF(G92:N92,"Received"))</f>
        <v/>
      </c>
      <c r="T92" s="32">
        <f>IF($B92="","",COUNTIF(G92:N92,"Needs Correction"))</f>
        <v/>
      </c>
      <c r="U92" s="33">
        <f>IF($B92="","",IF($D92&lt;&gt;"Yes","",IF($E92="PTA",IF(AND(OR(I92="Accepted",I92="Not Needed"),OR(H92="Accepted",H92="Not Needed")),"None",MID(IF(AND(I92&lt;&gt;"Accepted",I92&lt;&gt;"Not Needed"),", "&amp;I$1,"")&amp;IF(AND(H92&lt;&gt;"Accepted",H92&lt;&gt;"Not Needed"),", "&amp;H$1,""),3,400)),IF($Q92&gt;=Settings!$C$13,"None",MID(IF(AND(G92&lt;&gt;"Accepted",G92&lt;&gt;"Not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Confirmed",IF($E93="PTA",IF(AND(OR(I93="Accepted",I93="Not Needed"),OR(H93="Accepted",H93="Not Needed")),"Registered",IF(OR(OR(I93="Accepted",I93="Received",I93="Needs Correction"),OR(H93="Accepted",H93="Received",H93="Needs Correction")),"In Progress","Not Started")),IF($Q93&gt;=Settings!$C$13,"Legalized",IF($P93&gt;=Settings!$C$12,"Registered",IF($O93&gt;0,"In Progress","Not Started")))))))</f>
        <v/>
      </c>
      <c r="S93" s="32">
        <f>IF($B93="","",COUNTIF(G93:N93,"Received"))</f>
        <v/>
      </c>
      <c r="T93" s="32">
        <f>IF($B93="","",COUNTIF(G93:N93,"Needs Correction"))</f>
        <v/>
      </c>
      <c r="U93" s="33">
        <f>IF($B93="","",IF($D93&lt;&gt;"Yes","",IF($E93="PTA",IF(AND(OR(I93="Accepted",I93="Not Needed"),OR(H93="Accepted",H93="Not Needed")),"None",MID(IF(AND(I93&lt;&gt;"Accepted",I93&lt;&gt;"Not Needed"),", "&amp;I$1,"")&amp;IF(AND(H93&lt;&gt;"Accepted",H93&lt;&gt;"Not Needed"),", "&amp;H$1,""),3,400)),IF($Q93&gt;=Settings!$C$13,"None",MID(IF(AND(G93&lt;&gt;"Accepted",G93&lt;&gt;"Not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Confirmed",IF($E94="PTA",IF(AND(OR(I94="Accepted",I94="Not Needed"),OR(H94="Accepted",H94="Not Needed")),"Registered",IF(OR(OR(I94="Accepted",I94="Received",I94="Needs Correction"),OR(H94="Accepted",H94="Received",H94="Needs Correction")),"In Progress","Not Started")),IF($Q94&gt;=Settings!$C$13,"Legalized",IF($P94&gt;=Settings!$C$12,"Registered",IF($O94&gt;0,"In Progress","Not Started")))))))</f>
        <v/>
      </c>
      <c r="S94" s="32">
        <f>IF($B94="","",COUNTIF(G94:N94,"Received"))</f>
        <v/>
      </c>
      <c r="T94" s="32">
        <f>IF($B94="","",COUNTIF(G94:N94,"Needs Correction"))</f>
        <v/>
      </c>
      <c r="U94" s="33">
        <f>IF($B94="","",IF($D94&lt;&gt;"Yes","",IF($E94="PTA",IF(AND(OR(I94="Accepted",I94="Not Needed"),OR(H94="Accepted",H94="Not Needed")),"None",MID(IF(AND(I94&lt;&gt;"Accepted",I94&lt;&gt;"Not Needed"),", "&amp;I$1,"")&amp;IF(AND(H94&lt;&gt;"Accepted",H94&lt;&gt;"Not Needed"),", "&amp;H$1,""),3,400)),IF($Q94&gt;=Settings!$C$13,"None",MID(IF(AND(G94&lt;&gt;"Accepted",G94&lt;&gt;"Not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Confirmed",IF($E95="PTA",IF(AND(OR(I95="Accepted",I95="Not Needed"),OR(H95="Accepted",H95="Not Needed")),"Registered",IF(OR(OR(I95="Accepted",I95="Received",I95="Needs Correction"),OR(H95="Accepted",H95="Received",H95="Needs Correction")),"In Progress","Not Started")),IF($Q95&gt;=Settings!$C$13,"Legalized",IF($P95&gt;=Settings!$C$12,"Registered",IF($O95&gt;0,"In Progress","Not Started")))))))</f>
        <v/>
      </c>
      <c r="S95" s="32">
        <f>IF($B95="","",COUNTIF(G95:N95,"Received"))</f>
        <v/>
      </c>
      <c r="T95" s="32">
        <f>IF($B95="","",COUNTIF(G95:N95,"Needs Correction"))</f>
        <v/>
      </c>
      <c r="U95" s="33">
        <f>IF($B95="","",IF($D95&lt;&gt;"Yes","",IF($E95="PTA",IF(AND(OR(I95="Accepted",I95="Not Needed"),OR(H95="Accepted",H95="Not Needed")),"None",MID(IF(AND(I95&lt;&gt;"Accepted",I95&lt;&gt;"Not Needed"),", "&amp;I$1,"")&amp;IF(AND(H95&lt;&gt;"Accepted",H95&lt;&gt;"Not Needed"),", "&amp;H$1,""),3,400)),IF($Q95&gt;=Settings!$C$13,"None",MID(IF(AND(G95&lt;&gt;"Accepted",G95&lt;&gt;"Not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Confirmed",IF($E96="PTA",IF(AND(OR(I96="Accepted",I96="Not Needed"),OR(H96="Accepted",H96="Not Needed")),"Registered",IF(OR(OR(I96="Accepted",I96="Received",I96="Needs Correction"),OR(H96="Accepted",H96="Received",H96="Needs Correction")),"In Progress","Not Started")),IF($Q96&gt;=Settings!$C$13,"Legalized",IF($P96&gt;=Settings!$C$12,"Registered",IF($O96&gt;0,"In Progress","Not Started")))))))</f>
        <v/>
      </c>
      <c r="S96" s="32">
        <f>IF($B96="","",COUNTIF(G96:N96,"Received"))</f>
        <v/>
      </c>
      <c r="T96" s="32">
        <f>IF($B96="","",COUNTIF(G96:N96,"Needs Correction"))</f>
        <v/>
      </c>
      <c r="U96" s="33">
        <f>IF($B96="","",IF($D96&lt;&gt;"Yes","",IF($E96="PTA",IF(AND(OR(I96="Accepted",I96="Not Needed"),OR(H96="Accepted",H96="Not Needed")),"None",MID(IF(AND(I96&lt;&gt;"Accepted",I96&lt;&gt;"Not Needed"),", "&amp;I$1,"")&amp;IF(AND(H96&lt;&gt;"Accepted",H96&lt;&gt;"Not Needed"),", "&amp;H$1,""),3,400)),IF($Q96&gt;=Settings!$C$13,"None",MID(IF(AND(G96&lt;&gt;"Accepted",G96&lt;&gt;"Not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Confirmed",IF($E97="PTA",IF(AND(OR(I97="Accepted",I97="Not Needed"),OR(H97="Accepted",H97="Not Needed")),"Registered",IF(OR(OR(I97="Accepted",I97="Received",I97="Needs Correction"),OR(H97="Accepted",H97="Received",H97="Needs Correction")),"In Progress","Not Started")),IF($Q97&gt;=Settings!$C$13,"Legalized",IF($P97&gt;=Settings!$C$12,"Registered",IF($O97&gt;0,"In Progress","Not Started")))))))</f>
        <v/>
      </c>
      <c r="S97" s="32">
        <f>IF($B97="","",COUNTIF(G97:N97,"Received"))</f>
        <v/>
      </c>
      <c r="T97" s="32">
        <f>IF($B97="","",COUNTIF(G97:N97,"Needs Correction"))</f>
        <v/>
      </c>
      <c r="U97" s="33">
        <f>IF($B97="","",IF($D97&lt;&gt;"Yes","",IF($E97="PTA",IF(AND(OR(I97="Accepted",I97="Not Needed"),OR(H97="Accepted",H97="Not Needed")),"None",MID(IF(AND(I97&lt;&gt;"Accepted",I97&lt;&gt;"Not Needed"),", "&amp;I$1,"")&amp;IF(AND(H97&lt;&gt;"Accepted",H97&lt;&gt;"Not Needed"),", "&amp;H$1,""),3,400)),IF($Q97&gt;=Settings!$C$13,"None",MID(IF(AND(G97&lt;&gt;"Accepted",G97&lt;&gt;"Not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Confirmed",IF($E98="PTA",IF(AND(OR(I98="Accepted",I98="Not Needed"),OR(H98="Accepted",H98="Not Needed")),"Registered",IF(OR(OR(I98="Accepted",I98="Received",I98="Needs Correction"),OR(H98="Accepted",H98="Received",H98="Needs Correction")),"In Progress","Not Started")),IF($Q98&gt;=Settings!$C$13,"Legalized",IF($P98&gt;=Settings!$C$12,"Registered",IF($O98&gt;0,"In Progress","Not Started")))))))</f>
        <v/>
      </c>
      <c r="S98" s="32">
        <f>IF($B98="","",COUNTIF(G98:N98,"Received"))</f>
        <v/>
      </c>
      <c r="T98" s="32">
        <f>IF($B98="","",COUNTIF(G98:N98,"Needs Correction"))</f>
        <v/>
      </c>
      <c r="U98" s="33">
        <f>IF($B98="","",IF($D98&lt;&gt;"Yes","",IF($E98="PTA",IF(AND(OR(I98="Accepted",I98="Not Needed"),OR(H98="Accepted",H98="Not Needed")),"None",MID(IF(AND(I98&lt;&gt;"Accepted",I98&lt;&gt;"Not Needed"),", "&amp;I$1,"")&amp;IF(AND(H98&lt;&gt;"Accepted",H98&lt;&gt;"Not Needed"),", "&amp;H$1,""),3,400)),IF($Q98&gt;=Settings!$C$13,"None",MID(IF(AND(G98&lt;&gt;"Accepted",G98&lt;&gt;"Not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Confirmed",IF($E99="PTA",IF(AND(OR(I99="Accepted",I99="Not Needed"),OR(H99="Accepted",H99="Not Needed")),"Registered",IF(OR(OR(I99="Accepted",I99="Received",I99="Needs Correction"),OR(H99="Accepted",H99="Received",H99="Needs Correction")),"In Progress","Not Started")),IF($Q99&gt;=Settings!$C$13,"Legalized",IF($P99&gt;=Settings!$C$12,"Registered",IF($O99&gt;0,"In Progress","Not Started")))))))</f>
        <v/>
      </c>
      <c r="S99" s="32">
        <f>IF($B99="","",COUNTIF(G99:N99,"Received"))</f>
        <v/>
      </c>
      <c r="T99" s="32">
        <f>IF($B99="","",COUNTIF(G99:N99,"Needs Correction"))</f>
        <v/>
      </c>
      <c r="U99" s="33">
        <f>IF($B99="","",IF($D99&lt;&gt;"Yes","",IF($E99="PTA",IF(AND(OR(I99="Accepted",I99="Not Needed"),OR(H99="Accepted",H99="Not Needed")),"None",MID(IF(AND(I99&lt;&gt;"Accepted",I99&lt;&gt;"Not Needed"),", "&amp;I$1,"")&amp;IF(AND(H99&lt;&gt;"Accepted",H99&lt;&gt;"Not Needed"),", "&amp;H$1,""),3,400)),IF($Q99&gt;=Settings!$C$13,"None",MID(IF(AND(G99&lt;&gt;"Accepted",G99&lt;&gt;"Not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Confirmed",IF($E100="PTA",IF(AND(OR(I100="Accepted",I100="Not Needed"),OR(H100="Accepted",H100="Not Needed")),"Registered",IF(OR(OR(I100="Accepted",I100="Received",I100="Needs Correction"),OR(H100="Accepted",H100="Received",H100="Needs Correction")),"In Progress","Not Started")),IF($Q100&gt;=Settings!$C$13,"Legalized",IF($P100&gt;=Settings!$C$12,"Registered",IF($O100&gt;0,"In Progress","Not Started")))))))</f>
        <v/>
      </c>
      <c r="S100" s="32">
        <f>IF($B100="","",COUNTIF(G100:N100,"Received"))</f>
        <v/>
      </c>
      <c r="T100" s="32">
        <f>IF($B100="","",COUNTIF(G100:N100,"Needs Correction"))</f>
        <v/>
      </c>
      <c r="U100" s="33">
        <f>IF($B100="","",IF($D100&lt;&gt;"Yes","",IF($E100="PTA",IF(AND(OR(I100="Accepted",I100="Not Needed"),OR(H100="Accepted",H100="Not Needed")),"None",MID(IF(AND(I100&lt;&gt;"Accepted",I100&lt;&gt;"Not Needed"),", "&amp;I$1,"")&amp;IF(AND(H100&lt;&gt;"Accepted",H100&lt;&gt;"Not Needed"),", "&amp;H$1,""),3,400)),IF($Q100&gt;=Settings!$C$13,"None",MID(IF(AND(G100&lt;&gt;"Accepted",G100&lt;&gt;"Not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Confirmed",IF($E101="PTA",IF(AND(OR(I101="Accepted",I101="Not Needed"),OR(H101="Accepted",H101="Not Needed")),"Registered",IF(OR(OR(I101="Accepted",I101="Received",I101="Needs Correction"),OR(H101="Accepted",H101="Received",H101="Needs Correction")),"In Progress","Not Started")),IF($Q101&gt;=Settings!$C$13,"Legalized",IF($P101&gt;=Settings!$C$12,"Registered",IF($O101&gt;0,"In Progress","Not Started")))))))</f>
        <v/>
      </c>
      <c r="S101" s="32">
        <f>IF($B101="","",COUNTIF(G101:N101,"Received"))</f>
        <v/>
      </c>
      <c r="T101" s="32">
        <f>IF($B101="","",COUNTIF(G101:N101,"Needs Correction"))</f>
        <v/>
      </c>
      <c r="U101" s="33">
        <f>IF($B101="","",IF($D101&lt;&gt;"Yes","",IF($E101="PTA",IF(AND(OR(I101="Accepted",I101="Not Needed"),OR(H101="Accepted",H101="Not Needed")),"None",MID(IF(AND(I101&lt;&gt;"Accepted",I101&lt;&gt;"Not Needed"),", "&amp;I$1,"")&amp;IF(AND(H101&lt;&gt;"Accepted",H101&lt;&gt;"Not Needed"),", "&amp;H$1,""),3,400)),IF($Q101&gt;=Settings!$C$13,"None",MID(IF(AND(G101&lt;&gt;"Accepted",G101&lt;&gt;"Not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Confirmed",IF($E102="PTA",IF(AND(OR(I102="Accepted",I102="Not Needed"),OR(H102="Accepted",H102="Not Needed")),"Registered",IF(OR(OR(I102="Accepted",I102="Received",I102="Needs Correction"),OR(H102="Accepted",H102="Received",H102="Needs Correction")),"In Progress","Not Started")),IF($Q102&gt;=Settings!$C$13,"Legalized",IF($P102&gt;=Settings!$C$12,"Registered",IF($O102&gt;0,"In Progress","Not Started")))))))</f>
        <v/>
      </c>
      <c r="S102" s="32">
        <f>IF($B102="","",COUNTIF(G102:N102,"Received"))</f>
        <v/>
      </c>
      <c r="T102" s="32">
        <f>IF($B102="","",COUNTIF(G102:N102,"Needs Correction"))</f>
        <v/>
      </c>
      <c r="U102" s="33">
        <f>IF($B102="","",IF($D102&lt;&gt;"Yes","",IF($E102="PTA",IF(AND(OR(I102="Accepted",I102="Not Needed"),OR(H102="Accepted",H102="Not Needed")),"None",MID(IF(AND(I102&lt;&gt;"Accepted",I102&lt;&gt;"Not Needed"),", "&amp;I$1,"")&amp;IF(AND(H102&lt;&gt;"Accepted",H102&lt;&gt;"Not Needed"),", "&amp;H$1,""),3,400)),IF($Q102&gt;=Settings!$C$13,"None",MID(IF(AND(G102&lt;&gt;"Accepted",G102&lt;&gt;"Not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Confirmed",IF($E103="PTA",IF(AND(OR(I103="Accepted",I103="Not Needed"),OR(H103="Accepted",H103="Not Needed")),"Registered",IF(OR(OR(I103="Accepted",I103="Received",I103="Needs Correction"),OR(H103="Accepted",H103="Received",H103="Needs Correction")),"In Progress","Not Started")),IF($Q103&gt;=Settings!$C$13,"Legalized",IF($P103&gt;=Settings!$C$12,"Registered",IF($O103&gt;0,"In Progress","Not Started")))))))</f>
        <v/>
      </c>
      <c r="S103" s="32">
        <f>IF($B103="","",COUNTIF(G103:N103,"Received"))</f>
        <v/>
      </c>
      <c r="T103" s="32">
        <f>IF($B103="","",COUNTIF(G103:N103,"Needs Correction"))</f>
        <v/>
      </c>
      <c r="U103" s="33">
        <f>IF($B103="","",IF($D103&lt;&gt;"Yes","",IF($E103="PTA",IF(AND(OR(I103="Accepted",I103="Not Needed"),OR(H103="Accepted",H103="Not Needed")),"None",MID(IF(AND(I103&lt;&gt;"Accepted",I103&lt;&gt;"Not Needed"),", "&amp;I$1,"")&amp;IF(AND(H103&lt;&gt;"Accepted",H103&lt;&gt;"Not Needed"),", "&amp;H$1,""),3,400)),IF($Q103&gt;=Settings!$C$13,"None",MID(IF(AND(G103&lt;&gt;"Accepted",G103&lt;&gt;"Not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PK-8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Confirmed",IF($E104="PTA",IF(AND(OR(I104="Accepted",I104="Not Needed"),OR(H104="Accepted",H104="Not Needed")),"Registered",IF(OR(OR(I104="Accepted",I104="Received",I104="Needs Correction"),OR(H104="Accepted",H104="Received",H104="Needs Correction")),"In Progress","Not Started")),IF($Q104&gt;=Settings!$C$13,"Legalized",IF($P104&gt;=Settings!$C$12,"Registered",IF($O104&gt;0,"In Progress","Not Started")))))))</f>
        <v/>
      </c>
      <c r="S104" s="32">
        <f>IF($B104="","",COUNTIF(G104:N104,"Received"))</f>
        <v/>
      </c>
      <c r="T104" s="32">
        <f>IF($B104="","",COUNTIF(G104:N104,"Needs Correction"))</f>
        <v/>
      </c>
      <c r="U104" s="33">
        <f>IF($B104="","",IF($D104&lt;&gt;"Yes","",IF($E104="PTA",IF(AND(OR(I104="Accepted",I104="Not Needed"),OR(H104="Accepted",H104="Not Needed")),"None",MID(IF(AND(I104&lt;&gt;"Accepted",I104&lt;&gt;"Not Needed"),", "&amp;I$1,"")&amp;IF(AND(H104&lt;&gt;"Accepted",H104&lt;&gt;"Not Needed"),", "&amp;H$1,""),3,400)),IF($Q104&gt;=Settings!$C$13,"None",MID(IF(AND(G104&lt;&gt;"Accepted",G104&lt;&gt;"Not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Confirmed",IF($E105="PTA",IF(AND(OR(I105="Accepted",I105="Not Needed"),OR(H105="Accepted",H105="Not Needed")),"Registered",IF(OR(OR(I105="Accepted",I105="Received",I105="Needs Correction"),OR(H105="Accepted",H105="Received",H105="Needs Correction")),"In Progress","Not Started")),IF($Q105&gt;=Settings!$C$13,"Legalized",IF($P105&gt;=Settings!$C$12,"Registered",IF($O105&gt;0,"In Progress","Not Started")))))))</f>
        <v/>
      </c>
      <c r="S105" s="32">
        <f>IF($B105="","",COUNTIF(G105:N105,"Received"))</f>
        <v/>
      </c>
      <c r="T105" s="32">
        <f>IF($B105="","",COUNTIF(G105:N105,"Needs Correction"))</f>
        <v/>
      </c>
      <c r="U105" s="33">
        <f>IF($B105="","",IF($D105&lt;&gt;"Yes","",IF($E105="PTA",IF(AND(OR(I105="Accepted",I105="Not Needed"),OR(H105="Accepted",H105="Not Needed")),"None",MID(IF(AND(I105&lt;&gt;"Accepted",I105&lt;&gt;"Not Needed"),", "&amp;I$1,"")&amp;IF(AND(H105&lt;&gt;"Accepted",H105&lt;&gt;"Not Needed"),", "&amp;H$1,""),3,400)),IF($Q105&gt;=Settings!$C$13,"None",MID(IF(AND(G105&lt;&gt;"Accepted",G105&lt;&gt;"Not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Confirmed",IF($E106="PTA",IF(AND(OR(I106="Accepted",I106="Not Needed"),OR(H106="Accepted",H106="Not Needed")),"Registered",IF(OR(OR(I106="Accepted",I106="Received",I106="Needs Correction"),OR(H106="Accepted",H106="Received",H106="Needs Correction")),"In Progress","Not Started")),IF($Q106&gt;=Settings!$C$13,"Legalized",IF($P106&gt;=Settings!$C$12,"Registered",IF($O106&gt;0,"In Progress","Not Started")))))))</f>
        <v/>
      </c>
      <c r="S106" s="32">
        <f>IF($B106="","",COUNTIF(G106:N106,"Received"))</f>
        <v/>
      </c>
      <c r="T106" s="32">
        <f>IF($B106="","",COUNTIF(G106:N106,"Needs Correction"))</f>
        <v/>
      </c>
      <c r="U106" s="33">
        <f>IF($B106="","",IF($D106&lt;&gt;"Yes","",IF($E106="PTA",IF(AND(OR(I106="Accepted",I106="Not Needed"),OR(H106="Accepted",H106="Not Needed")),"None",MID(IF(AND(I106&lt;&gt;"Accepted",I106&lt;&gt;"Not Needed"),", "&amp;I$1,"")&amp;IF(AND(H106&lt;&gt;"Accepted",H106&lt;&gt;"Not Needed"),", "&amp;H$1,""),3,400)),IF($Q106&gt;=Settings!$C$13,"None",MID(IF(AND(G106&lt;&gt;"Accepted",G106&lt;&gt;"Not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Confirmed",IF($E107="PTA",IF(AND(OR(I107="Accepted",I107="Not Needed"),OR(H107="Accepted",H107="Not Needed")),"Registered",IF(OR(OR(I107="Accepted",I107="Received",I107="Needs Correction"),OR(H107="Accepted",H107="Received",H107="Needs Correction")),"In Progress","Not Started")),IF($Q107&gt;=Settings!$C$13,"Legalized",IF($P107&gt;=Settings!$C$12,"Registered",IF($O107&gt;0,"In Progress","Not Started")))))))</f>
        <v/>
      </c>
      <c r="S107" s="32">
        <f>IF($B107="","",COUNTIF(G107:N107,"Received"))</f>
        <v/>
      </c>
      <c r="T107" s="32">
        <f>IF($B107="","",COUNTIF(G107:N107,"Needs Correction"))</f>
        <v/>
      </c>
      <c r="U107" s="33">
        <f>IF($B107="","",IF($D107&lt;&gt;"Yes","",IF($E107="PTA",IF(AND(OR(I107="Accepted",I107="Not Needed"),OR(H107="Accepted",H107="Not Needed")),"None",MID(IF(AND(I107&lt;&gt;"Accepted",I107&lt;&gt;"Not Needed"),", "&amp;I$1,"")&amp;IF(AND(H107&lt;&gt;"Accepted",H107&lt;&gt;"Not Needed"),", "&amp;H$1,""),3,400)),IF($Q107&gt;=Settings!$C$13,"None",MID(IF(AND(G107&lt;&gt;"Accepted",G107&lt;&gt;"Not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Confirmed",IF($E108="PTA",IF(AND(OR(I108="Accepted",I108="Not Needed"),OR(H108="Accepted",H108="Not Needed")),"Registered",IF(OR(OR(I108="Accepted",I108="Received",I108="Needs Correction"),OR(H108="Accepted",H108="Received",H108="Needs Correction")),"In Progress","Not Started")),IF($Q108&gt;=Settings!$C$13,"Legalized",IF($P108&gt;=Settings!$C$12,"Registered",IF($O108&gt;0,"In Progress","Not Started")))))))</f>
        <v/>
      </c>
      <c r="S108" s="32">
        <f>IF($B108="","",COUNTIF(G108:N108,"Received"))</f>
        <v/>
      </c>
      <c r="T108" s="32">
        <f>IF($B108="","",COUNTIF(G108:N108,"Needs Correction"))</f>
        <v/>
      </c>
      <c r="U108" s="33">
        <f>IF($B108="","",IF($D108&lt;&gt;"Yes","",IF($E108="PTA",IF(AND(OR(I108="Accepted",I108="Not Needed"),OR(H108="Accepted",H108="Not Needed")),"None",MID(IF(AND(I108&lt;&gt;"Accepted",I108&lt;&gt;"Not Needed"),", "&amp;I$1,"")&amp;IF(AND(H108&lt;&gt;"Accepted",H108&lt;&gt;"Not Needed"),", "&amp;H$1,""),3,400)),IF($Q108&gt;=Settings!$C$13,"None",MID(IF(AND(G108&lt;&gt;"Accepted",G108&lt;&gt;"Not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Confirmed",IF($E109="PTA",IF(AND(OR(I109="Accepted",I109="Not Needed"),OR(H109="Accepted",H109="Not Needed")),"Registered",IF(OR(OR(I109="Accepted",I109="Received",I109="Needs Correction"),OR(H109="Accepted",H109="Received",H109="Needs Correction")),"In Progress","Not Started")),IF($Q109&gt;=Settings!$C$13,"Legalized",IF($P109&gt;=Settings!$C$12,"Registered",IF($O109&gt;0,"In Progress","Not Started")))))))</f>
        <v/>
      </c>
      <c r="S109" s="32">
        <f>IF($B109="","",COUNTIF(G109:N109,"Received"))</f>
        <v/>
      </c>
      <c r="T109" s="32">
        <f>IF($B109="","",COUNTIF(G109:N109,"Needs Correction"))</f>
        <v/>
      </c>
      <c r="U109" s="33">
        <f>IF($B109="","",IF($D109&lt;&gt;"Yes","",IF($E109="PTA",IF(AND(OR(I109="Accepted",I109="Not Needed"),OR(H109="Accepted",H109="Not Needed")),"None",MID(IF(AND(I109&lt;&gt;"Accepted",I109&lt;&gt;"Not Needed"),", "&amp;I$1,"")&amp;IF(AND(H109&lt;&gt;"Accepted",H109&lt;&gt;"Not Needed"),", "&amp;H$1,""),3,400)),IF($Q109&gt;=Settings!$C$13,"None",MID(IF(AND(G109&lt;&gt;"Accepted",G109&lt;&gt;"Not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Confirmed",IF($E110="PTA",IF(AND(OR(I110="Accepted",I110="Not Needed"),OR(H110="Accepted",H110="Not Needed")),"Registered",IF(OR(OR(I110="Accepted",I110="Received",I110="Needs Correction"),OR(H110="Accepted",H110="Received",H110="Needs Correction")),"In Progress","Not Started")),IF($Q110&gt;=Settings!$C$13,"Legalized",IF($P110&gt;=Settings!$C$12,"Registered",IF($O110&gt;0,"In Progress","Not Started")))))))</f>
        <v/>
      </c>
      <c r="S110" s="32">
        <f>IF($B110="","",COUNTIF(G110:N110,"Received"))</f>
        <v/>
      </c>
      <c r="T110" s="32">
        <f>IF($B110="","",COUNTIF(G110:N110,"Needs Correction"))</f>
        <v/>
      </c>
      <c r="U110" s="33">
        <f>IF($B110="","",IF($D110&lt;&gt;"Yes","",IF($E110="PTA",IF(AND(OR(I110="Accepted",I110="Not Needed"),OR(H110="Accepted",H110="Not Needed")),"None",MID(IF(AND(I110&lt;&gt;"Accepted",I110&lt;&gt;"Not Needed"),", "&amp;I$1,"")&amp;IF(AND(H110&lt;&gt;"Accepted",H110&lt;&gt;"Not Needed"),", "&amp;H$1,""),3,400)),IF($Q110&gt;=Settings!$C$13,"None",MID(IF(AND(G110&lt;&gt;"Accepted",G110&lt;&gt;"Not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Confirmed",IF($E111="PTA",IF(AND(OR(I111="Accepted",I111="Not Needed"),OR(H111="Accepted",H111="Not Needed")),"Registered",IF(OR(OR(I111="Accepted",I111="Received",I111="Needs Correction"),OR(H111="Accepted",H111="Received",H111="Needs Correction")),"In Progress","Not Started")),IF($Q111&gt;=Settings!$C$13,"Legalized",IF($P111&gt;=Settings!$C$12,"Registered",IF($O111&gt;0,"In Progress","Not Started")))))))</f>
        <v/>
      </c>
      <c r="S111" s="32">
        <f>IF($B111="","",COUNTIF(G111:N111,"Received"))</f>
        <v/>
      </c>
      <c r="T111" s="32">
        <f>IF($B111="","",COUNTIF(G111:N111,"Needs Correction"))</f>
        <v/>
      </c>
      <c r="U111" s="33">
        <f>IF($B111="","",IF($D111&lt;&gt;"Yes","",IF($E111="PTA",IF(AND(OR(I111="Accepted",I111="Not Needed"),OR(H111="Accepted",H111="Not Needed")),"None",MID(IF(AND(I111&lt;&gt;"Accepted",I111&lt;&gt;"Not Needed"),", "&amp;I$1,"")&amp;IF(AND(H111&lt;&gt;"Accepted",H111&lt;&gt;"Not Needed"),", "&amp;H$1,""),3,400)),IF($Q111&gt;=Settings!$C$13,"None",MID(IF(AND(G111&lt;&gt;"Accepted",G111&lt;&gt;"Not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Yet Confirmed</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Confirmed",IF($E112="PTA",IF(AND(OR(I112="Accepted",I112="Not Needed"),OR(H112="Accepted",H112="Not Needed")),"Registered",IF(OR(OR(I112="Accepted",I112="Received",I112="Needs Correction"),OR(H112="Accepted",H112="Received",H112="Needs Correction")),"In Progress","Not Started")),IF($Q112&gt;=Settings!$C$13,"Legalized",IF($P112&gt;=Settings!$C$12,"Registered",IF($O112&gt;0,"In Progress","Not Started")))))))</f>
        <v/>
      </c>
      <c r="S112" s="32">
        <f>IF($B112="","",COUNTIF(G112:N112,"Received"))</f>
        <v/>
      </c>
      <c r="T112" s="32">
        <f>IF($B112="","",COUNTIF(G112:N112,"Needs Correction"))</f>
        <v/>
      </c>
      <c r="U112" s="33">
        <f>IF($B112="","",IF($D112&lt;&gt;"Yes","",IF($E112="PTA",IF(AND(OR(I112="Accepted",I112="Not Needed"),OR(H112="Accepted",H112="Not Needed")),"None",MID(IF(AND(I112&lt;&gt;"Accepted",I112&lt;&gt;"Not Needed"),", "&amp;I$1,"")&amp;IF(AND(H112&lt;&gt;"Accepted",H112&lt;&gt;"Not Needed"),", "&amp;H$1,""),3,400)),IF($Q112&gt;=Settings!$C$13,"None",MID(IF(AND(G112&lt;&gt;"Accepted",G112&lt;&gt;"Not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Confirmed",IF($E113="PTA",IF(AND(OR(I113="Accepted",I113="Not Needed"),OR(H113="Accepted",H113="Not Needed")),"Registered",IF(OR(OR(I113="Accepted",I113="Received",I113="Needs Correction"),OR(H113="Accepted",H113="Received",H113="Needs Correction")),"In Progress","Not Started")),IF($Q113&gt;=Settings!$C$13,"Legalized",IF($P113&gt;=Settings!$C$12,"Registered",IF($O113&gt;0,"In Progress","Not Started")))))))</f>
        <v/>
      </c>
      <c r="S113" s="32">
        <f>IF($B113="","",COUNTIF(G113:N113,"Received"))</f>
        <v/>
      </c>
      <c r="T113" s="32">
        <f>IF($B113="","",COUNTIF(G113:N113,"Needs Correction"))</f>
        <v/>
      </c>
      <c r="U113" s="33">
        <f>IF($B113="","",IF($D113&lt;&gt;"Yes","",IF($E113="PTA",IF(AND(OR(I113="Accepted",I113="Not Needed"),OR(H113="Accepted",H113="Not Needed")),"None",MID(IF(AND(I113&lt;&gt;"Accepted",I113&lt;&gt;"Not Needed"),", "&amp;I$1,"")&amp;IF(AND(H113&lt;&gt;"Accepted",H113&lt;&gt;"Not Needed"),", "&amp;H$1,""),3,400)),IF($Q113&gt;=Settings!$C$13,"None",MID(IF(AND(G113&lt;&gt;"Accepted",G113&lt;&gt;"Not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Confirmed",IF($E114="PTA",IF(AND(OR(I114="Accepted",I114="Not Needed"),OR(H114="Accepted",H114="Not Needed")),"Registered",IF(OR(OR(I114="Accepted",I114="Received",I114="Needs Correction"),OR(H114="Accepted",H114="Received",H114="Needs Correction")),"In Progress","Not Started")),IF($Q114&gt;=Settings!$C$13,"Legalized",IF($P114&gt;=Settings!$C$12,"Registered",IF($O114&gt;0,"In Progress","Not Started")))))))</f>
        <v/>
      </c>
      <c r="S114" s="32">
        <f>IF($B114="","",COUNTIF(G114:N114,"Received"))</f>
        <v/>
      </c>
      <c r="T114" s="32">
        <f>IF($B114="","",COUNTIF(G114:N114,"Needs Correction"))</f>
        <v/>
      </c>
      <c r="U114" s="33">
        <f>IF($B114="","",IF($D114&lt;&gt;"Yes","",IF($E114="PTA",IF(AND(OR(I114="Accepted",I114="Not Needed"),OR(H114="Accepted",H114="Not Needed")),"None",MID(IF(AND(I114&lt;&gt;"Accepted",I114&lt;&gt;"Not Needed"),", "&amp;I$1,"")&amp;IF(AND(H114&lt;&gt;"Accepted",H114&lt;&gt;"Not Needed"),", "&amp;H$1,""),3,400)),IF($Q114&gt;=Settings!$C$13,"None",MID(IF(AND(G114&lt;&gt;"Accepted",G114&lt;&gt;"Not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Confirmed",IF($E115="PTA",IF(AND(OR(I115="Accepted",I115="Not Needed"),OR(H115="Accepted",H115="Not Needed")),"Registered",IF(OR(OR(I115="Accepted",I115="Received",I115="Needs Correction"),OR(H115="Accepted",H115="Received",H115="Needs Correction")),"In Progress","Not Started")),IF($Q115&gt;=Settings!$C$13,"Legalized",IF($P115&gt;=Settings!$C$12,"Registered",IF($O115&gt;0,"In Progress","Not Started")))))))</f>
        <v/>
      </c>
      <c r="S115" s="32">
        <f>IF($B115="","",COUNTIF(G115:N115,"Received"))</f>
        <v/>
      </c>
      <c r="T115" s="32">
        <f>IF($B115="","",COUNTIF(G115:N115,"Needs Correction"))</f>
        <v/>
      </c>
      <c r="U115" s="33">
        <f>IF($B115="","",IF($D115&lt;&gt;"Yes","",IF($E115="PTA",IF(AND(OR(I115="Accepted",I115="Not Needed"),OR(H115="Accepted",H115="Not Needed")),"None",MID(IF(AND(I115&lt;&gt;"Accepted",I115&lt;&gt;"Not Needed"),", "&amp;I$1,"")&amp;IF(AND(H115&lt;&gt;"Accepted",H115&lt;&gt;"Not Needed"),", "&amp;H$1,""),3,400)),IF($Q115&gt;=Settings!$C$13,"None",MID(IF(AND(G115&lt;&gt;"Accepted",G115&lt;&gt;"Not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Confirmed",IF($E116="PTA",IF(AND(OR(I116="Accepted",I116="Not Needed"),OR(H116="Accepted",H116="Not Needed")),"Registered",IF(OR(OR(I116="Accepted",I116="Received",I116="Needs Correction"),OR(H116="Accepted",H116="Received",H116="Needs Correction")),"In Progress","Not Started")),IF($Q116&gt;=Settings!$C$13,"Legalized",IF($P116&gt;=Settings!$C$12,"Registered",IF($O116&gt;0,"In Progress","Not Started")))))))</f>
        <v/>
      </c>
      <c r="S116" s="32">
        <f>IF($B116="","",COUNTIF(G116:N116,"Received"))</f>
        <v/>
      </c>
      <c r="T116" s="32">
        <f>IF($B116="","",COUNTIF(G116:N116,"Needs Correction"))</f>
        <v/>
      </c>
      <c r="U116" s="33">
        <f>IF($B116="","",IF($D116&lt;&gt;"Yes","",IF($E116="PTA",IF(AND(OR(I116="Accepted",I116="Not Needed"),OR(H116="Accepted",H116="Not Needed")),"None",MID(IF(AND(I116&lt;&gt;"Accepted",I116&lt;&gt;"Not Needed"),", "&amp;I$1,"")&amp;IF(AND(H116&lt;&gt;"Accepted",H116&lt;&gt;"Not Needed"),", "&amp;H$1,""),3,400)),IF($Q116&gt;=Settings!$C$13,"None",MID(IF(AND(G116&lt;&gt;"Accepted",G116&lt;&gt;"Not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Confirmed",IF($E117="PTA",IF(AND(OR(I117="Accepted",I117="Not Needed"),OR(H117="Accepted",H117="Not Needed")),"Registered",IF(OR(OR(I117="Accepted",I117="Received",I117="Needs Correction"),OR(H117="Accepted",H117="Received",H117="Needs Correction")),"In Progress","Not Started")),IF($Q117&gt;=Settings!$C$13,"Legalized",IF($P117&gt;=Settings!$C$12,"Registered",IF($O117&gt;0,"In Progress","Not Started")))))))</f>
        <v/>
      </c>
      <c r="S117" s="32">
        <f>IF($B117="","",COUNTIF(G117:N117,"Received"))</f>
        <v/>
      </c>
      <c r="T117" s="32">
        <f>IF($B117="","",COUNTIF(G117:N117,"Needs Correction"))</f>
        <v/>
      </c>
      <c r="U117" s="33">
        <f>IF($B117="","",IF($D117&lt;&gt;"Yes","",IF($E117="PTA",IF(AND(OR(I117="Accepted",I117="Not Needed"),OR(H117="Accepted",H117="Not Needed")),"None",MID(IF(AND(I117&lt;&gt;"Accepted",I117&lt;&gt;"Not Needed"),", "&amp;I$1,"")&amp;IF(AND(H117&lt;&gt;"Accepted",H117&lt;&gt;"Not Needed"),", "&amp;H$1,""),3,400)),IF($Q117&gt;=Settings!$C$13,"None",MID(IF(AND(G117&lt;&gt;"Accepted",G117&lt;&gt;"Not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Confirmed",IF($E118="PTA",IF(AND(OR(I118="Accepted",I118="Not Needed"),OR(H118="Accepted",H118="Not Needed")),"Registered",IF(OR(OR(I118="Accepted",I118="Received",I118="Needs Correction"),OR(H118="Accepted",H118="Received",H118="Needs Correction")),"In Progress","Not Started")),IF($Q118&gt;=Settings!$C$13,"Legalized",IF($P118&gt;=Settings!$C$12,"Registered",IF($O118&gt;0,"In Progress","Not Started")))))))</f>
        <v/>
      </c>
      <c r="S118" s="32">
        <f>IF($B118="","",COUNTIF(G118:N118,"Received"))</f>
        <v/>
      </c>
      <c r="T118" s="32">
        <f>IF($B118="","",COUNTIF(G118:N118,"Needs Correction"))</f>
        <v/>
      </c>
      <c r="U118" s="33">
        <f>IF($B118="","",IF($D118&lt;&gt;"Yes","",IF($E118="PTA",IF(AND(OR(I118="Accepted",I118="Not Needed"),OR(H118="Accepted",H118="Not Needed")),"None",MID(IF(AND(I118&lt;&gt;"Accepted",I118&lt;&gt;"Not Needed"),", "&amp;I$1,"")&amp;IF(AND(H118&lt;&gt;"Accepted",H118&lt;&gt;"Not Needed"),", "&amp;H$1,""),3,400)),IF($Q118&gt;=Settings!$C$13,"None",MID(IF(AND(G118&lt;&gt;"Accepted",G118&lt;&gt;"Not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Confirmed",IF($E119="PTA",IF(AND(OR(I119="Accepted",I119="Not Needed"),OR(H119="Accepted",H119="Not Needed")),"Registered",IF(OR(OR(I119="Accepted",I119="Received",I119="Needs Correction"),OR(H119="Accepted",H119="Received",H119="Needs Correction")),"In Progress","Not Started")),IF($Q119&gt;=Settings!$C$13,"Legalized",IF($P119&gt;=Settings!$C$12,"Registered",IF($O119&gt;0,"In Progress","Not Started")))))))</f>
        <v/>
      </c>
      <c r="S119" s="32">
        <f>IF($B119="","",COUNTIF(G119:N119,"Received"))</f>
        <v/>
      </c>
      <c r="T119" s="32">
        <f>IF($B119="","",COUNTIF(G119:N119,"Needs Correction"))</f>
        <v/>
      </c>
      <c r="U119" s="33">
        <f>IF($B119="","",IF($D119&lt;&gt;"Yes","",IF($E119="PTA",IF(AND(OR(I119="Accepted",I119="Not Needed"),OR(H119="Accepted",H119="Not Needed")),"None",MID(IF(AND(I119&lt;&gt;"Accepted",I119&lt;&gt;"Not Needed"),", "&amp;I$1,"")&amp;IF(AND(H119&lt;&gt;"Accepted",H119&lt;&gt;"Not Needed"),", "&amp;H$1,""),3,400)),IF($Q119&gt;=Settings!$C$13,"None",MID(IF(AND(G119&lt;&gt;"Accepted",G119&lt;&gt;"Not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Confirmed",IF($E120="PTA",IF(AND(OR(I120="Accepted",I120="Not Needed"),OR(H120="Accepted",H120="Not Needed")),"Registered",IF(OR(OR(I120="Accepted",I120="Received",I120="Needs Correction"),OR(H120="Accepted",H120="Received",H120="Needs Correction")),"In Progress","Not Started")),IF($Q120&gt;=Settings!$C$13,"Legalized",IF($P120&gt;=Settings!$C$12,"Registered",IF($O120&gt;0,"In Progress","Not Started")))))))</f>
        <v/>
      </c>
      <c r="S120" s="32">
        <f>IF($B120="","",COUNTIF(G120:N120,"Received"))</f>
        <v/>
      </c>
      <c r="T120" s="32">
        <f>IF($B120="","",COUNTIF(G120:N120,"Needs Correction"))</f>
        <v/>
      </c>
      <c r="U120" s="33">
        <f>IF($B120="","",IF($D120&lt;&gt;"Yes","",IF($E120="PTA",IF(AND(OR(I120="Accepted",I120="Not Needed"),OR(H120="Accepted",H120="Not Needed")),"None",MID(IF(AND(I120&lt;&gt;"Accepted",I120&lt;&gt;"Not Needed"),", "&amp;I$1,"")&amp;IF(AND(H120&lt;&gt;"Accepted",H120&lt;&gt;"Not Needed"),", "&amp;H$1,""),3,400)),IF($Q120&gt;=Settings!$C$13,"None",MID(IF(AND(G120&lt;&gt;"Accepted",G120&lt;&gt;"Not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Confirmed",IF($E121="PTA",IF(AND(OR(I121="Accepted",I121="Not Needed"),OR(H121="Accepted",H121="Not Needed")),"Registered",IF(OR(OR(I121="Accepted",I121="Received",I121="Needs Correction"),OR(H121="Accepted",H121="Received",H121="Needs Correction")),"In Progress","Not Started")),IF($Q121&gt;=Settings!$C$13,"Legalized",IF($P121&gt;=Settings!$C$12,"Registered",IF($O121&gt;0,"In Progress","Not Started")))))))</f>
        <v/>
      </c>
      <c r="S121" s="32">
        <f>IF($B121="","",COUNTIF(G121:N121,"Received"))</f>
        <v/>
      </c>
      <c r="T121" s="32">
        <f>IF($B121="","",COUNTIF(G121:N121,"Needs Correction"))</f>
        <v/>
      </c>
      <c r="U121" s="33">
        <f>IF($B121="","",IF($D121&lt;&gt;"Yes","",IF($E121="PTA",IF(AND(OR(I121="Accepted",I121="Not Needed"),OR(H121="Accepted",H121="Not Needed")),"None",MID(IF(AND(I121&lt;&gt;"Accepted",I121&lt;&gt;"Not Needed"),", "&amp;I$1,"")&amp;IF(AND(H121&lt;&gt;"Accepted",H121&lt;&gt;"Not Needed"),", "&amp;H$1,""),3,400)),IF($Q121&gt;=Settings!$C$13,"None",MID(IF(AND(G121&lt;&gt;"Accepted",G121&lt;&gt;"Not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Confirmed",IF($E122="PTA",IF(AND(OR(I122="Accepted",I122="Not Needed"),OR(H122="Accepted",H122="Not Needed")),"Registered",IF(OR(OR(I122="Accepted",I122="Received",I122="Needs Correction"),OR(H122="Accepted",H122="Received",H122="Needs Correction")),"In Progress","Not Started")),IF($Q122&gt;=Settings!$C$13,"Legalized",IF($P122&gt;=Settings!$C$12,"Registered",IF($O122&gt;0,"In Progress","Not Started")))))))</f>
        <v/>
      </c>
      <c r="S122" s="32">
        <f>IF($B122="","",COUNTIF(G122:N122,"Received"))</f>
        <v/>
      </c>
      <c r="T122" s="32">
        <f>IF($B122="","",COUNTIF(G122:N122,"Needs Correction"))</f>
        <v/>
      </c>
      <c r="U122" s="33">
        <f>IF($B122="","",IF($D122&lt;&gt;"Yes","",IF($E122="PTA",IF(AND(OR(I122="Accepted",I122="Not Needed"),OR(H122="Accepted",H122="Not Needed")),"None",MID(IF(AND(I122&lt;&gt;"Accepted",I122&lt;&gt;"Not Needed"),", "&amp;I$1,"")&amp;IF(AND(H122&lt;&gt;"Accepted",H122&lt;&gt;"Not Needed"),", "&amp;H$1,""),3,400)),IF($Q122&gt;=Settings!$C$13,"None",MID(IF(AND(G122&lt;&gt;"Accepted",G122&lt;&gt;"Not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Confirmed",IF($E123="PTA",IF(AND(OR(I123="Accepted",I123="Not Needed"),OR(H123="Accepted",H123="Not Needed")),"Registered",IF(OR(OR(I123="Accepted",I123="Received",I123="Needs Correction"),OR(H123="Accepted",H123="Received",H123="Needs Correction")),"In Progress","Not Started")),IF($Q123&gt;=Settings!$C$13,"Legalized",IF($P123&gt;=Settings!$C$12,"Registered",IF($O123&gt;0,"In Progress","Not Started")))))))</f>
        <v/>
      </c>
      <c r="S123" s="32">
        <f>IF($B123="","",COUNTIF(G123:N123,"Received"))</f>
        <v/>
      </c>
      <c r="T123" s="32">
        <f>IF($B123="","",COUNTIF(G123:N123,"Needs Correction"))</f>
        <v/>
      </c>
      <c r="U123" s="33">
        <f>IF($B123="","",IF($D123&lt;&gt;"Yes","",IF($E123="PTA",IF(AND(OR(I123="Accepted",I123="Not Needed"),OR(H123="Accepted",H123="Not Needed")),"None",MID(IF(AND(I123&lt;&gt;"Accepted",I123&lt;&gt;"Not Needed"),", "&amp;I$1,"")&amp;IF(AND(H123&lt;&gt;"Accepted",H123&lt;&gt;"Not Needed"),", "&amp;H$1,""),3,400)),IF($Q123&gt;=Settings!$C$13,"None",MID(IF(AND(G123&lt;&gt;"Accepted",G123&lt;&gt;"Not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Confirmed",IF($E124="PTA",IF(AND(OR(I124="Accepted",I124="Not Needed"),OR(H124="Accepted",H124="Not Needed")),"Registered",IF(OR(OR(I124="Accepted",I124="Received",I124="Needs Correction"),OR(H124="Accepted",H124="Received",H124="Needs Correction")),"In Progress","Not Started")),IF($Q124&gt;=Settings!$C$13,"Legalized",IF($P124&gt;=Settings!$C$12,"Registered",IF($O124&gt;0,"In Progress","Not Started")))))))</f>
        <v/>
      </c>
      <c r="S124" s="32">
        <f>IF($B124="","",COUNTIF(G124:N124,"Received"))</f>
        <v/>
      </c>
      <c r="T124" s="32">
        <f>IF($B124="","",COUNTIF(G124:N124,"Needs Correction"))</f>
        <v/>
      </c>
      <c r="U124" s="33">
        <f>IF($B124="","",IF($D124&lt;&gt;"Yes","",IF($E124="PTA",IF(AND(OR(I124="Accepted",I124="Not Needed"),OR(H124="Accepted",H124="Not Needed")),"None",MID(IF(AND(I124&lt;&gt;"Accepted",I124&lt;&gt;"Not Needed"),", "&amp;I$1,"")&amp;IF(AND(H124&lt;&gt;"Accepted",H124&lt;&gt;"Not Needed"),", "&amp;H$1,""),3,400)),IF($Q124&gt;=Settings!$C$13,"None",MID(IF(AND(G124&lt;&gt;"Accepted",G124&lt;&gt;"Not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Confirmed",IF($E125="PTA",IF(AND(OR(I125="Accepted",I125="Not Needed"),OR(H125="Accepted",H125="Not Needed")),"Registered",IF(OR(OR(I125="Accepted",I125="Received",I125="Needs Correction"),OR(H125="Accepted",H125="Received",H125="Needs Correction")),"In Progress","Not Started")),IF($Q125&gt;=Settings!$C$13,"Legalized",IF($P125&gt;=Settings!$C$12,"Registered",IF($O125&gt;0,"In Progress","Not Started")))))))</f>
        <v/>
      </c>
      <c r="S125" s="32">
        <f>IF($B125="","",COUNTIF(G125:N125,"Received"))</f>
        <v/>
      </c>
      <c r="T125" s="32">
        <f>IF($B125="","",COUNTIF(G125:N125,"Needs Correction"))</f>
        <v/>
      </c>
      <c r="U125" s="33">
        <f>IF($B125="","",IF($D125&lt;&gt;"Yes","",IF($E125="PTA",IF(AND(OR(I125="Accepted",I125="Not Needed"),OR(H125="Accepted",H125="Not Needed")),"None",MID(IF(AND(I125&lt;&gt;"Accepted",I125&lt;&gt;"Not Needed"),", "&amp;I$1,"")&amp;IF(AND(H125&lt;&gt;"Accepted",H125&lt;&gt;"Not Needed"),", "&amp;H$1,""),3,400)),IF($Q125&gt;=Settings!$C$13,"None",MID(IF(AND(G125&lt;&gt;"Accepted",G125&lt;&gt;"Not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Confirmed",IF($E126="PTA",IF(AND(OR(I126="Accepted",I126="Not Needed"),OR(H126="Accepted",H126="Not Needed")),"Registered",IF(OR(OR(I126="Accepted",I126="Received",I126="Needs Correction"),OR(H126="Accepted",H126="Received",H126="Needs Correction")),"In Progress","Not Started")),IF($Q126&gt;=Settings!$C$13,"Legalized",IF($P126&gt;=Settings!$C$12,"Registered",IF($O126&gt;0,"In Progress","Not Started")))))))</f>
        <v/>
      </c>
      <c r="S126" s="32">
        <f>IF($B126="","",COUNTIF(G126:N126,"Received"))</f>
        <v/>
      </c>
      <c r="T126" s="32">
        <f>IF($B126="","",COUNTIF(G126:N126,"Needs Correction"))</f>
        <v/>
      </c>
      <c r="U126" s="33">
        <f>IF($B126="","",IF($D126&lt;&gt;"Yes","",IF($E126="PTA",IF(AND(OR(I126="Accepted",I126="Not Needed"),OR(H126="Accepted",H126="Not Needed")),"None",MID(IF(AND(I126&lt;&gt;"Accepted",I126&lt;&gt;"Not Needed"),", "&amp;I$1,"")&amp;IF(AND(H126&lt;&gt;"Accepted",H126&lt;&gt;"Not Needed"),", "&amp;H$1,""),3,400)),IF($Q126&gt;=Settings!$C$13,"None",MID(IF(AND(G126&lt;&gt;"Accepted",G126&lt;&gt;"Not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Confirmed",IF($E127="PTA",IF(AND(OR(I127="Accepted",I127="Not Needed"),OR(H127="Accepted",H127="Not Needed")),"Registered",IF(OR(OR(I127="Accepted",I127="Received",I127="Needs Correction"),OR(H127="Accepted",H127="Received",H127="Needs Correction")),"In Progress","Not Started")),IF($Q127&gt;=Settings!$C$13,"Legalized",IF($P127&gt;=Settings!$C$12,"Registered",IF($O127&gt;0,"In Progress","Not Started")))))))</f>
        <v/>
      </c>
      <c r="S127" s="32">
        <f>IF($B127="","",COUNTIF(G127:N127,"Received"))</f>
        <v/>
      </c>
      <c r="T127" s="32">
        <f>IF($B127="","",COUNTIF(G127:N127,"Needs Correction"))</f>
        <v/>
      </c>
      <c r="U127" s="33">
        <f>IF($B127="","",IF($D127&lt;&gt;"Yes","",IF($E127="PTA",IF(AND(OR(I127="Accepted",I127="Not Needed"),OR(H127="Accepted",H127="Not Needed")),"None",MID(IF(AND(I127&lt;&gt;"Accepted",I127&lt;&gt;"Not Needed"),", "&amp;I$1,"")&amp;IF(AND(H127&lt;&gt;"Accepted",H127&lt;&gt;"Not Needed"),", "&amp;H$1,""),3,400)),IF($Q127&gt;=Settings!$C$13,"None",MID(IF(AND(G127&lt;&gt;"Accepted",G127&lt;&gt;"Not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Confirmed",IF($E128="PTA",IF(AND(OR(I128="Accepted",I128="Not Needed"),OR(H128="Accepted",H128="Not Needed")),"Registered",IF(OR(OR(I128="Accepted",I128="Received",I128="Needs Correction"),OR(H128="Accepted",H128="Received",H128="Needs Correction")),"In Progress","Not Started")),IF($Q128&gt;=Settings!$C$13,"Legalized",IF($P128&gt;=Settings!$C$12,"Registered",IF($O128&gt;0,"In Progress","Not Started")))))))</f>
        <v/>
      </c>
      <c r="S128" s="32">
        <f>IF($B128="","",COUNTIF(G128:N128,"Received"))</f>
        <v/>
      </c>
      <c r="T128" s="32">
        <f>IF($B128="","",COUNTIF(G128:N128,"Needs Correction"))</f>
        <v/>
      </c>
      <c r="U128" s="33">
        <f>IF($B128="","",IF($D128&lt;&gt;"Yes","",IF($E128="PTA",IF(AND(OR(I128="Accepted",I128="Not Needed"),OR(H128="Accepted",H128="Not Needed")),"None",MID(IF(AND(I128&lt;&gt;"Accepted",I128&lt;&gt;"Not Needed"),", "&amp;I$1,"")&amp;IF(AND(H128&lt;&gt;"Accepted",H128&lt;&gt;"Not Needed"),", "&amp;H$1,""),3,400)),IF($Q128&gt;=Settings!$C$13,"None",MID(IF(AND(G128&lt;&gt;"Accepted",G128&lt;&gt;"Not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Yet Confirmed</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Confirmed",IF($E129="PTA",IF(AND(OR(I129="Accepted",I129="Not Needed"),OR(H129="Accepted",H129="Not Needed")),"Registered",IF(OR(OR(I129="Accepted",I129="Received",I129="Needs Correction"),OR(H129="Accepted",H129="Received",H129="Needs Correction")),"In Progress","Not Started")),IF($Q129&gt;=Settings!$C$13,"Legalized",IF($P129&gt;=Settings!$C$12,"Registered",IF($O129&gt;0,"In Progress","Not Started")))))))</f>
        <v/>
      </c>
      <c r="S129" s="32">
        <f>IF($B129="","",COUNTIF(G129:N129,"Received"))</f>
        <v/>
      </c>
      <c r="T129" s="32">
        <f>IF($B129="","",COUNTIF(G129:N129,"Needs Correction"))</f>
        <v/>
      </c>
      <c r="U129" s="33">
        <f>IF($B129="","",IF($D129&lt;&gt;"Yes","",IF($E129="PTA",IF(AND(OR(I129="Accepted",I129="Not Needed"),OR(H129="Accepted",H129="Not Needed")),"None",MID(IF(AND(I129&lt;&gt;"Accepted",I129&lt;&gt;"Not Needed"),", "&amp;I$1,"")&amp;IF(AND(H129&lt;&gt;"Accepted",H129&lt;&gt;"Not Needed"),", "&amp;H$1,""),3,400)),IF($Q129&gt;=Settings!$C$13,"None",MID(IF(AND(G129&lt;&gt;"Accepted",G129&lt;&gt;"Not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Confirmed",IF($E130="PTA",IF(AND(OR(I130="Accepted",I130="Not Needed"),OR(H130="Accepted",H130="Not Needed")),"Registered",IF(OR(OR(I130="Accepted",I130="Received",I130="Needs Correction"),OR(H130="Accepted",H130="Received",H130="Needs Correction")),"In Progress","Not Started")),IF($Q130&gt;=Settings!$C$13,"Legalized",IF($P130&gt;=Settings!$C$12,"Registered",IF($O130&gt;0,"In Progress","Not Started")))))))</f>
        <v/>
      </c>
      <c r="S130" s="32">
        <f>IF($B130="","",COUNTIF(G130:N130,"Received"))</f>
        <v/>
      </c>
      <c r="T130" s="32">
        <f>IF($B130="","",COUNTIF(G130:N130,"Needs Correction"))</f>
        <v/>
      </c>
      <c r="U130" s="33">
        <f>IF($B130="","",IF($D130&lt;&gt;"Yes","",IF($E130="PTA",IF(AND(OR(I130="Accepted",I130="Not Needed"),OR(H130="Accepted",H130="Not Needed")),"None",MID(IF(AND(I130&lt;&gt;"Accepted",I130&lt;&gt;"Not Needed"),", "&amp;I$1,"")&amp;IF(AND(H130&lt;&gt;"Accepted",H130&lt;&gt;"Not Needed"),", "&amp;H$1,""),3,400)),IF($Q130&gt;=Settings!$C$13,"None",MID(IF(AND(G130&lt;&gt;"Accepted",G130&lt;&gt;"Not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Confirmed",IF($E131="PTA",IF(AND(OR(I131="Accepted",I131="Not Needed"),OR(H131="Accepted",H131="Not Needed")),"Registered",IF(OR(OR(I131="Accepted",I131="Received",I131="Needs Correction"),OR(H131="Accepted",H131="Received",H131="Needs Correction")),"In Progress","Not Started")),IF($Q131&gt;=Settings!$C$13,"Legalized",IF($P131&gt;=Settings!$C$12,"Registered",IF($O131&gt;0,"In Progress","Not Started")))))))</f>
        <v/>
      </c>
      <c r="S131" s="32">
        <f>IF($B131="","",COUNTIF(G131:N131,"Received"))</f>
        <v/>
      </c>
      <c r="T131" s="32">
        <f>IF($B131="","",COUNTIF(G131:N131,"Needs Correction"))</f>
        <v/>
      </c>
      <c r="U131" s="33">
        <f>IF($B131="","",IF($D131&lt;&gt;"Yes","",IF($E131="PTA",IF(AND(OR(I131="Accepted",I131="Not Needed"),OR(H131="Accepted",H131="Not Needed")),"None",MID(IF(AND(I131&lt;&gt;"Accepted",I131&lt;&gt;"Not Needed"),", "&amp;I$1,"")&amp;IF(AND(H131&lt;&gt;"Accepted",H131&lt;&gt;"Not Needed"),", "&amp;H$1,""),3,400)),IF($Q131&gt;=Settings!$C$13,"None",MID(IF(AND(G131&lt;&gt;"Accepted",G131&lt;&gt;"Not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Confirmed",IF($E132="PTA",IF(AND(OR(I132="Accepted",I132="Not Needed"),OR(H132="Accepted",H132="Not Needed")),"Registered",IF(OR(OR(I132="Accepted",I132="Received",I132="Needs Correction"),OR(H132="Accepted",H132="Received",H132="Needs Correction")),"In Progress","Not Started")),IF($Q132&gt;=Settings!$C$13,"Legalized",IF($P132&gt;=Settings!$C$12,"Registered",IF($O132&gt;0,"In Progress","Not Started")))))))</f>
        <v/>
      </c>
      <c r="S132" s="32">
        <f>IF($B132="","",COUNTIF(G132:N132,"Received"))</f>
        <v/>
      </c>
      <c r="T132" s="32">
        <f>IF($B132="","",COUNTIF(G132:N132,"Needs Correction"))</f>
        <v/>
      </c>
      <c r="U132" s="33">
        <f>IF($B132="","",IF($D132&lt;&gt;"Yes","",IF($E132="PTA",IF(AND(OR(I132="Accepted",I132="Not Needed"),OR(H132="Accepted",H132="Not Needed")),"None",MID(IF(AND(I132&lt;&gt;"Accepted",I132&lt;&gt;"Not Needed"),", "&amp;I$1,"")&amp;IF(AND(H132&lt;&gt;"Accepted",H132&lt;&gt;"Not Needed"),", "&amp;H$1,""),3,400)),IF($Q132&gt;=Settings!$C$13,"None",MID(IF(AND(G132&lt;&gt;"Accepted",G132&lt;&gt;"Not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Yet Confirmed</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Confirmed",IF($E133="PTA",IF(AND(OR(I133="Accepted",I133="Not Needed"),OR(H133="Accepted",H133="Not Needed")),"Registered",IF(OR(OR(I133="Accepted",I133="Received",I133="Needs Correction"),OR(H133="Accepted",H133="Received",H133="Needs Correction")),"In Progress","Not Started")),IF($Q133&gt;=Settings!$C$13,"Legalized",IF($P133&gt;=Settings!$C$12,"Registered",IF($O133&gt;0,"In Progress","Not Started")))))))</f>
        <v/>
      </c>
      <c r="S133" s="32">
        <f>IF($B133="","",COUNTIF(G133:N133,"Received"))</f>
        <v/>
      </c>
      <c r="T133" s="32">
        <f>IF($B133="","",COUNTIF(G133:N133,"Needs Correction"))</f>
        <v/>
      </c>
      <c r="U133" s="33">
        <f>IF($B133="","",IF($D133&lt;&gt;"Yes","",IF($E133="PTA",IF(AND(OR(I133="Accepted",I133="Not Needed"),OR(H133="Accepted",H133="Not Needed")),"None",MID(IF(AND(I133&lt;&gt;"Accepted",I133&lt;&gt;"Not Needed"),", "&amp;I$1,"")&amp;IF(AND(H133&lt;&gt;"Accepted",H133&lt;&gt;"Not Needed"),", "&amp;H$1,""),3,400)),IF($Q133&gt;=Settings!$C$13,"None",MID(IF(AND(G133&lt;&gt;"Accepted",G133&lt;&gt;"Not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Confirmed",IF($E134="PTA",IF(AND(OR(I134="Accepted",I134="Not Needed"),OR(H134="Accepted",H134="Not Needed")),"Registered",IF(OR(OR(I134="Accepted",I134="Received",I134="Needs Correction"),OR(H134="Accepted",H134="Received",H134="Needs Correction")),"In Progress","Not Started")),IF($Q134&gt;=Settings!$C$13,"Legalized",IF($P134&gt;=Settings!$C$12,"Registered",IF($O134&gt;0,"In Progress","Not Started")))))))</f>
        <v/>
      </c>
      <c r="S134" s="32">
        <f>IF($B134="","",COUNTIF(G134:N134,"Received"))</f>
        <v/>
      </c>
      <c r="T134" s="32">
        <f>IF($B134="","",COUNTIF(G134:N134,"Needs Correction"))</f>
        <v/>
      </c>
      <c r="U134" s="33">
        <f>IF($B134="","",IF($D134&lt;&gt;"Yes","",IF($E134="PTA",IF(AND(OR(I134="Accepted",I134="Not Needed"),OR(H134="Accepted",H134="Not Needed")),"None",MID(IF(AND(I134&lt;&gt;"Accepted",I134&lt;&gt;"Not Needed"),", "&amp;I$1,"")&amp;IF(AND(H134&lt;&gt;"Accepted",H134&lt;&gt;"Not Needed"),", "&amp;H$1,""),3,400)),IF($Q134&gt;=Settings!$C$13,"None",MID(IF(AND(G134&lt;&gt;"Accepted",G134&lt;&gt;"Not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Confirmed",IF($E135="PTA",IF(AND(OR(I135="Accepted",I135="Not Needed"),OR(H135="Accepted",H135="Not Needed")),"Registered",IF(OR(OR(I135="Accepted",I135="Received",I135="Needs Correction"),OR(H135="Accepted",H135="Received",H135="Needs Correction")),"In Progress","Not Started")),IF($Q135&gt;=Settings!$C$13,"Legalized",IF($P135&gt;=Settings!$C$12,"Registered",IF($O135&gt;0,"In Progress","Not Started")))))))</f>
        <v/>
      </c>
      <c r="S135" s="32">
        <f>IF($B135="","",COUNTIF(G135:N135,"Received"))</f>
        <v/>
      </c>
      <c r="T135" s="32">
        <f>IF($B135="","",COUNTIF(G135:N135,"Needs Correction"))</f>
        <v/>
      </c>
      <c r="U135" s="33">
        <f>IF($B135="","",IF($D135&lt;&gt;"Yes","",IF($E135="PTA",IF(AND(OR(I135="Accepted",I135="Not Needed"),OR(H135="Accepted",H135="Not Needed")),"None",MID(IF(AND(I135&lt;&gt;"Accepted",I135&lt;&gt;"Not Needed"),", "&amp;I$1,"")&amp;IF(AND(H135&lt;&gt;"Accepted",H135&lt;&gt;"Not Needed"),", "&amp;H$1,""),3,400)),IF($Q135&gt;=Settings!$C$13,"None",MID(IF(AND(G135&lt;&gt;"Accepted",G135&lt;&gt;"Not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Confirmed",IF($E136="PTA",IF(AND(OR(I136="Accepted",I136="Not Needed"),OR(H136="Accepted",H136="Not Needed")),"Registered",IF(OR(OR(I136="Accepted",I136="Received",I136="Needs Correction"),OR(H136="Accepted",H136="Received",H136="Needs Correction")),"In Progress","Not Started")),IF($Q136&gt;=Settings!$C$13,"Legalized",IF($P136&gt;=Settings!$C$12,"Registered",IF($O136&gt;0,"In Progress","Not Started")))))))</f>
        <v/>
      </c>
      <c r="S136" s="32">
        <f>IF($B136="","",COUNTIF(G136:N136,"Received"))</f>
        <v/>
      </c>
      <c r="T136" s="32">
        <f>IF($B136="","",COUNTIF(G136:N136,"Needs Correction"))</f>
        <v/>
      </c>
      <c r="U136" s="33">
        <f>IF($B136="","",IF($D136&lt;&gt;"Yes","",IF($E136="PTA",IF(AND(OR(I136="Accepted",I136="Not Needed"),OR(H136="Accepted",H136="Not Needed")),"None",MID(IF(AND(I136&lt;&gt;"Accepted",I136&lt;&gt;"Not Needed"),", "&amp;I$1,"")&amp;IF(AND(H136&lt;&gt;"Accepted",H136&lt;&gt;"Not Needed"),", "&amp;H$1,""),3,400)),IF($Q136&gt;=Settings!$C$13,"None",MID(IF(AND(G136&lt;&gt;"Accepted",G136&lt;&gt;"Not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Confirmed",IF($E137="PTA",IF(AND(OR(I137="Accepted",I137="Not Needed"),OR(H137="Accepted",H137="Not Needed")),"Registered",IF(OR(OR(I137="Accepted",I137="Received",I137="Needs Correction"),OR(H137="Accepted",H137="Received",H137="Needs Correction")),"In Progress","Not Started")),IF($Q137&gt;=Settings!$C$13,"Legalized",IF($P137&gt;=Settings!$C$12,"Registered",IF($O137&gt;0,"In Progress","Not Started")))))))</f>
        <v/>
      </c>
      <c r="S137" s="32">
        <f>IF($B137="","",COUNTIF(G137:N137,"Received"))</f>
        <v/>
      </c>
      <c r="T137" s="32">
        <f>IF($B137="","",COUNTIF(G137:N137,"Needs Correction"))</f>
        <v/>
      </c>
      <c r="U137" s="33">
        <f>IF($B137="","",IF($D137&lt;&gt;"Yes","",IF($E137="PTA",IF(AND(OR(I137="Accepted",I137="Not Needed"),OR(H137="Accepted",H137="Not Needed")),"None",MID(IF(AND(I137&lt;&gt;"Accepted",I137&lt;&gt;"Not Needed"),", "&amp;I$1,"")&amp;IF(AND(H137&lt;&gt;"Accepted",H137&lt;&gt;"Not Needed"),", "&amp;H$1,""),3,400)),IF($Q137&gt;=Settings!$C$13,"None",MID(IF(AND(G137&lt;&gt;"Accepted",G137&lt;&gt;"Not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Yet Confirmed</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Confirmed",IF($E138="PTA",IF(AND(OR(I138="Accepted",I138="Not Needed"),OR(H138="Accepted",H138="Not Needed")),"Registered",IF(OR(OR(I138="Accepted",I138="Received",I138="Needs Correction"),OR(H138="Accepted",H138="Received",H138="Needs Correction")),"In Progress","Not Started")),IF($Q138&gt;=Settings!$C$13,"Legalized",IF($P138&gt;=Settings!$C$12,"Registered",IF($O138&gt;0,"In Progress","Not Started")))))))</f>
        <v/>
      </c>
      <c r="S138" s="32">
        <f>IF($B138="","",COUNTIF(G138:N138,"Received"))</f>
        <v/>
      </c>
      <c r="T138" s="32">
        <f>IF($B138="","",COUNTIF(G138:N138,"Needs Correction"))</f>
        <v/>
      </c>
      <c r="U138" s="33">
        <f>IF($B138="","",IF($D138&lt;&gt;"Yes","",IF($E138="PTA",IF(AND(OR(I138="Accepted",I138="Not Needed"),OR(H138="Accepted",H138="Not Needed")),"None",MID(IF(AND(I138&lt;&gt;"Accepted",I138&lt;&gt;"Not Needed"),", "&amp;I$1,"")&amp;IF(AND(H138&lt;&gt;"Accepted",H138&lt;&gt;"Not Needed"),", "&amp;H$1,""),3,400)),IF($Q138&gt;=Settings!$C$13,"None",MID(IF(AND(G138&lt;&gt;"Accepted",G138&lt;&gt;"Not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Confirmed",IF($E139="PTA",IF(AND(OR(I139="Accepted",I139="Not Needed"),OR(H139="Accepted",H139="Not Needed")),"Registered",IF(OR(OR(I139="Accepted",I139="Received",I139="Needs Correction"),OR(H139="Accepted",H139="Received",H139="Needs Correction")),"In Progress","Not Started")),IF($Q139&gt;=Settings!$C$13,"Legalized",IF($P139&gt;=Settings!$C$12,"Registered",IF($O139&gt;0,"In Progress","Not Started")))))))</f>
        <v/>
      </c>
      <c r="S139" s="32">
        <f>IF($B139="","",COUNTIF(G139:N139,"Received"))</f>
        <v/>
      </c>
      <c r="T139" s="32">
        <f>IF($B139="","",COUNTIF(G139:N139,"Needs Correction"))</f>
        <v/>
      </c>
      <c r="U139" s="33">
        <f>IF($B139="","",IF($D139&lt;&gt;"Yes","",IF($E139="PTA",IF(AND(OR(I139="Accepted",I139="Not Needed"),OR(H139="Accepted",H139="Not Needed")),"None",MID(IF(AND(I139&lt;&gt;"Accepted",I139&lt;&gt;"Not Needed"),", "&amp;I$1,"")&amp;IF(AND(H139&lt;&gt;"Accepted",H139&lt;&gt;"Not Needed"),", "&amp;H$1,""),3,400)),IF($Q139&gt;=Settings!$C$13,"None",MID(IF(AND(G139&lt;&gt;"Accepted",G139&lt;&gt;"Not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Confirmed",IF($E140="PTA",IF(AND(OR(I140="Accepted",I140="Not Needed"),OR(H140="Accepted",H140="Not Needed")),"Registered",IF(OR(OR(I140="Accepted",I140="Received",I140="Needs Correction"),OR(H140="Accepted",H140="Received",H140="Needs Correction")),"In Progress","Not Started")),IF($Q140&gt;=Settings!$C$13,"Legalized",IF($P140&gt;=Settings!$C$12,"Registered",IF($O140&gt;0,"In Progress","Not Started")))))))</f>
        <v/>
      </c>
      <c r="S140" s="32">
        <f>IF($B140="","",COUNTIF(G140:N140,"Received"))</f>
        <v/>
      </c>
      <c r="T140" s="32">
        <f>IF($B140="","",COUNTIF(G140:N140,"Needs Correction"))</f>
        <v/>
      </c>
      <c r="U140" s="33">
        <f>IF($B140="","",IF($D140&lt;&gt;"Yes","",IF($E140="PTA",IF(AND(OR(I140="Accepted",I140="Not Needed"),OR(H140="Accepted",H140="Not Needed")),"None",MID(IF(AND(I140&lt;&gt;"Accepted",I140&lt;&gt;"Not Needed"),", "&amp;I$1,"")&amp;IF(AND(H140&lt;&gt;"Accepted",H140&lt;&gt;"Not Needed"),", "&amp;H$1,""),3,400)),IF($Q140&gt;=Settings!$C$13,"None",MID(IF(AND(G140&lt;&gt;"Accepted",G140&lt;&gt;"Not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Confirmed",IF($E141="PTA",IF(AND(OR(I141="Accepted",I141="Not Needed"),OR(H141="Accepted",H141="Not Needed")),"Registered",IF(OR(OR(I141="Accepted",I141="Received",I141="Needs Correction"),OR(H141="Accepted",H141="Received",H141="Needs Correction")),"In Progress","Not Started")),IF($Q141&gt;=Settings!$C$13,"Legalized",IF($P141&gt;=Settings!$C$12,"Registered",IF($O141&gt;0,"In Progress","Not Started")))))))</f>
        <v/>
      </c>
      <c r="S141" s="32">
        <f>IF($B141="","",COUNTIF(G141:N141,"Received"))</f>
        <v/>
      </c>
      <c r="T141" s="32">
        <f>IF($B141="","",COUNTIF(G141:N141,"Needs Correction"))</f>
        <v/>
      </c>
      <c r="U141" s="33">
        <f>IF($B141="","",IF($D141&lt;&gt;"Yes","",IF($E141="PTA",IF(AND(OR(I141="Accepted",I141="Not Needed"),OR(H141="Accepted",H141="Not Needed")),"None",MID(IF(AND(I141&lt;&gt;"Accepted",I141&lt;&gt;"Not Needed"),", "&amp;I$1,"")&amp;IF(AND(H141&lt;&gt;"Accepted",H141&lt;&gt;"Not Needed"),", "&amp;H$1,""),3,400)),IF($Q141&gt;=Settings!$C$13,"None",MID(IF(AND(G141&lt;&gt;"Accepted",G141&lt;&gt;"Not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Confirmed",IF($E142="PTA",IF(AND(OR(I142="Accepted",I142="Not Needed"),OR(H142="Accepted",H142="Not Needed")),"Registered",IF(OR(OR(I142="Accepted",I142="Received",I142="Needs Correction"),OR(H142="Accepted",H142="Received",H142="Needs Correction")),"In Progress","Not Started")),IF($Q142&gt;=Settings!$C$13,"Legalized",IF($P142&gt;=Settings!$C$12,"Registered",IF($O142&gt;0,"In Progress","Not Started")))))))</f>
        <v/>
      </c>
      <c r="S142" s="32">
        <f>IF($B142="","",COUNTIF(G142:N142,"Received"))</f>
        <v/>
      </c>
      <c r="T142" s="32">
        <f>IF($B142="","",COUNTIF(G142:N142,"Needs Correction"))</f>
        <v/>
      </c>
      <c r="U142" s="33">
        <f>IF($B142="","",IF($D142&lt;&gt;"Yes","",IF($E142="PTA",IF(AND(OR(I142="Accepted",I142="Not Needed"),OR(H142="Accepted",H142="Not Needed")),"None",MID(IF(AND(I142&lt;&gt;"Accepted",I142&lt;&gt;"Not Needed"),", "&amp;I$1,"")&amp;IF(AND(H142&lt;&gt;"Accepted",H142&lt;&gt;"Not Needed"),", "&amp;H$1,""),3,400)),IF($Q142&gt;=Settings!$C$13,"None",MID(IF(AND(G142&lt;&gt;"Accepted",G142&lt;&gt;"Not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Confirmed",IF($E143="PTA",IF(AND(OR(I143="Accepted",I143="Not Needed"),OR(H143="Accepted",H143="Not Needed")),"Registered",IF(OR(OR(I143="Accepted",I143="Received",I143="Needs Correction"),OR(H143="Accepted",H143="Received",H143="Needs Correction")),"In Progress","Not Started")),IF($Q143&gt;=Settings!$C$13,"Legalized",IF($P143&gt;=Settings!$C$12,"Registered",IF($O143&gt;0,"In Progress","Not Started")))))))</f>
        <v/>
      </c>
      <c r="S143" s="32">
        <f>IF($B143="","",COUNTIF(G143:N143,"Received"))</f>
        <v/>
      </c>
      <c r="T143" s="32">
        <f>IF($B143="","",COUNTIF(G143:N143,"Needs Correction"))</f>
        <v/>
      </c>
      <c r="U143" s="33">
        <f>IF($B143="","",IF($D143&lt;&gt;"Yes","",IF($E143="PTA",IF(AND(OR(I143="Accepted",I143="Not Needed"),OR(H143="Accepted",H143="Not Needed")),"None",MID(IF(AND(I143&lt;&gt;"Accepted",I143&lt;&gt;"Not Needed"),", "&amp;I$1,"")&amp;IF(AND(H143&lt;&gt;"Accepted",H143&lt;&gt;"Not Needed"),", "&amp;H$1,""),3,400)),IF($Q143&gt;=Settings!$C$13,"None",MID(IF(AND(G143&lt;&gt;"Accepted",G143&lt;&gt;"Not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Confirmed",IF($E144="PTA",IF(AND(OR(I144="Accepted",I144="Not Needed"),OR(H144="Accepted",H144="Not Needed")),"Registered",IF(OR(OR(I144="Accepted",I144="Received",I144="Needs Correction"),OR(H144="Accepted",H144="Received",H144="Needs Correction")),"In Progress","Not Started")),IF($Q144&gt;=Settings!$C$13,"Legalized",IF($P144&gt;=Settings!$C$12,"Registered",IF($O144&gt;0,"In Progress","Not Started")))))))</f>
        <v/>
      </c>
      <c r="S144" s="32">
        <f>IF($B144="","",COUNTIF(G144:N144,"Received"))</f>
        <v/>
      </c>
      <c r="T144" s="32">
        <f>IF($B144="","",COUNTIF(G144:N144,"Needs Correction"))</f>
        <v/>
      </c>
      <c r="U144" s="33">
        <f>IF($B144="","",IF($D144&lt;&gt;"Yes","",IF($E144="PTA",IF(AND(OR(I144="Accepted",I144="Not Needed"),OR(H144="Accepted",H144="Not Needed")),"None",MID(IF(AND(I144&lt;&gt;"Accepted",I144&lt;&gt;"Not Needed"),", "&amp;I$1,"")&amp;IF(AND(H144&lt;&gt;"Accepted",H144&lt;&gt;"Not Needed"),", "&amp;H$1,""),3,400)),IF($Q144&gt;=Settings!$C$13,"None",MID(IF(AND(G144&lt;&gt;"Accepted",G144&lt;&gt;"Not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Confirmed",IF($E145="PTA",IF(AND(OR(I145="Accepted",I145="Not Needed"),OR(H145="Accepted",H145="Not Needed")),"Registered",IF(OR(OR(I145="Accepted",I145="Received",I145="Needs Correction"),OR(H145="Accepted",H145="Received",H145="Needs Correction")),"In Progress","Not Started")),IF($Q145&gt;=Settings!$C$13,"Legalized",IF($P145&gt;=Settings!$C$12,"Registered",IF($O145&gt;0,"In Progress","Not Started")))))))</f>
        <v/>
      </c>
      <c r="S145" s="32">
        <f>IF($B145="","",COUNTIF(G145:N145,"Received"))</f>
        <v/>
      </c>
      <c r="T145" s="32">
        <f>IF($B145="","",COUNTIF(G145:N145,"Needs Correction"))</f>
        <v/>
      </c>
      <c r="U145" s="33">
        <f>IF($B145="","",IF($D145&lt;&gt;"Yes","",IF($E145="PTA",IF(AND(OR(I145="Accepted",I145="Not Needed"),OR(H145="Accepted",H145="Not Needed")),"None",MID(IF(AND(I145&lt;&gt;"Accepted",I145&lt;&gt;"Not Needed"),", "&amp;I$1,"")&amp;IF(AND(H145&lt;&gt;"Accepted",H145&lt;&gt;"Not Needed"),", "&amp;H$1,""),3,400)),IF($Q145&gt;=Settings!$C$13,"None",MID(IF(AND(G145&lt;&gt;"Accepted",G145&lt;&gt;"Not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Confirmed",IF($E146="PTA",IF(AND(OR(I146="Accepted",I146="Not Needed"),OR(H146="Accepted",H146="Not Needed")),"Registered",IF(OR(OR(I146="Accepted",I146="Received",I146="Needs Correction"),OR(H146="Accepted",H146="Received",H146="Needs Correction")),"In Progress","Not Started")),IF($Q146&gt;=Settings!$C$13,"Legalized",IF($P146&gt;=Settings!$C$12,"Registered",IF($O146&gt;0,"In Progress","Not Started")))))))</f>
        <v/>
      </c>
      <c r="S146" s="32">
        <f>IF($B146="","",COUNTIF(G146:N146,"Received"))</f>
        <v/>
      </c>
      <c r="T146" s="32">
        <f>IF($B146="","",COUNTIF(G146:N146,"Needs Correction"))</f>
        <v/>
      </c>
      <c r="U146" s="33">
        <f>IF($B146="","",IF($D146&lt;&gt;"Yes","",IF($E146="PTA",IF(AND(OR(I146="Accepted",I146="Not Needed"),OR(H146="Accepted",H146="Not Needed")),"None",MID(IF(AND(I146&lt;&gt;"Accepted",I146&lt;&gt;"Not Needed"),", "&amp;I$1,"")&amp;IF(AND(H146&lt;&gt;"Accepted",H146&lt;&gt;"Not Needed"),", "&amp;H$1,""),3,400)),IF($Q146&gt;=Settings!$C$13,"None",MID(IF(AND(G146&lt;&gt;"Accepted",G146&lt;&gt;"Not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Confirmed",IF($E147="PTA",IF(AND(OR(I147="Accepted",I147="Not Needed"),OR(H147="Accepted",H147="Not Needed")),"Registered",IF(OR(OR(I147="Accepted",I147="Received",I147="Needs Correction"),OR(H147="Accepted",H147="Received",H147="Needs Correction")),"In Progress","Not Started")),IF($Q147&gt;=Settings!$C$13,"Legalized",IF($P147&gt;=Settings!$C$12,"Registered",IF($O147&gt;0,"In Progress","Not Started")))))))</f>
        <v/>
      </c>
      <c r="S147" s="32">
        <f>IF($B147="","",COUNTIF(G147:N147,"Received"))</f>
        <v/>
      </c>
      <c r="T147" s="32">
        <f>IF($B147="","",COUNTIF(G147:N147,"Needs Correction"))</f>
        <v/>
      </c>
      <c r="U147" s="33">
        <f>IF($B147="","",IF($D147&lt;&gt;"Yes","",IF($E147="PTA",IF(AND(OR(I147="Accepted",I147="Not Needed"),OR(H147="Accepted",H147="Not Needed")),"None",MID(IF(AND(I147&lt;&gt;"Accepted",I147&lt;&gt;"Not Needed"),", "&amp;I$1,"")&amp;IF(AND(H147&lt;&gt;"Accepted",H147&lt;&gt;"Not Needed"),", "&amp;H$1,""),3,400)),IF($Q147&gt;=Settings!$C$13,"None",MID(IF(AND(G147&lt;&gt;"Accepted",G147&lt;&gt;"Not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Confirmed",IF($E148="PTA",IF(AND(OR(I148="Accepted",I148="Not Needed"),OR(H148="Accepted",H148="Not Needed")),"Registered",IF(OR(OR(I148="Accepted",I148="Received",I148="Needs Correction"),OR(H148="Accepted",H148="Received",H148="Needs Correction")),"In Progress","Not Started")),IF($Q148&gt;=Settings!$C$13,"Legalized",IF($P148&gt;=Settings!$C$12,"Registered",IF($O148&gt;0,"In Progress","Not Started")))))))</f>
        <v/>
      </c>
      <c r="S148" s="32">
        <f>IF($B148="","",COUNTIF(G148:N148,"Received"))</f>
        <v/>
      </c>
      <c r="T148" s="32">
        <f>IF($B148="","",COUNTIF(G148:N148,"Needs Correction"))</f>
        <v/>
      </c>
      <c r="U148" s="33">
        <f>IF($B148="","",IF($D148&lt;&gt;"Yes","",IF($E148="PTA",IF(AND(OR(I148="Accepted",I148="Not Needed"),OR(H148="Accepted",H148="Not Needed")),"None",MID(IF(AND(I148&lt;&gt;"Accepted",I148&lt;&gt;"Not Needed"),", "&amp;I$1,"")&amp;IF(AND(H148&lt;&gt;"Accepted",H148&lt;&gt;"Not Needed"),", "&amp;H$1,""),3,400)),IF($Q148&gt;=Settings!$C$13,"None",MID(IF(AND(G148&lt;&gt;"Accepted",G148&lt;&gt;"Not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Confirmed",IF($E149="PTA",IF(AND(OR(I149="Accepted",I149="Not Needed"),OR(H149="Accepted",H149="Not Needed")),"Registered",IF(OR(OR(I149="Accepted",I149="Received",I149="Needs Correction"),OR(H149="Accepted",H149="Received",H149="Needs Correction")),"In Progress","Not Started")),IF($Q149&gt;=Settings!$C$13,"Legalized",IF($P149&gt;=Settings!$C$12,"Registered",IF($O149&gt;0,"In Progress","Not Started")))))))</f>
        <v/>
      </c>
      <c r="S149" s="32">
        <f>IF($B149="","",COUNTIF(G149:N149,"Received"))</f>
        <v/>
      </c>
      <c r="T149" s="32">
        <f>IF($B149="","",COUNTIF(G149:N149,"Needs Correction"))</f>
        <v/>
      </c>
      <c r="U149" s="33">
        <f>IF($B149="","",IF($D149&lt;&gt;"Yes","",IF($E149="PTA",IF(AND(OR(I149="Accepted",I149="Not Needed"),OR(H149="Accepted",H149="Not Needed")),"None",MID(IF(AND(I149&lt;&gt;"Accepted",I149&lt;&gt;"Not Needed"),", "&amp;I$1,"")&amp;IF(AND(H149&lt;&gt;"Accepted",H149&lt;&gt;"Not Needed"),", "&amp;H$1,""),3,400)),IF($Q149&gt;=Settings!$C$13,"None",MID(IF(AND(G149&lt;&gt;"Accepted",G149&lt;&gt;"Not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Programs/Charters</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Confirmed",IF($E150="PTA",IF(AND(OR(I150="Accepted",I150="Not Needed"),OR(H150="Accepted",H150="Not Needed")),"Registered",IF(OR(OR(I150="Accepted",I150="Received",I150="Needs Correction"),OR(H150="Accepted",H150="Received",H150="Needs Correction")),"In Progress","Not Started")),IF($Q150&gt;=Settings!$C$13,"Legalized",IF($P150&gt;=Settings!$C$12,"Registered",IF($O150&gt;0,"In Progress","Not Started")))))))</f>
        <v/>
      </c>
      <c r="S150" s="32">
        <f>IF($B150="","",COUNTIF(G150:N150,"Received"))</f>
        <v/>
      </c>
      <c r="T150" s="32">
        <f>IF($B150="","",COUNTIF(G150:N150,"Needs Correction"))</f>
        <v/>
      </c>
      <c r="U150" s="33">
        <f>IF($B150="","",IF($D150&lt;&gt;"Yes","",IF($E150="PTA",IF(AND(OR(I150="Accepted",I150="Not Needed"),OR(H150="Accepted",H150="Not Needed")),"None",MID(IF(AND(I150&lt;&gt;"Accepted",I150&lt;&gt;"Not Needed"),", "&amp;I$1,"")&amp;IF(AND(H150&lt;&gt;"Accepted",H150&lt;&gt;"Not Needed"),", "&amp;H$1,""),3,400)),IF($Q150&gt;=Settings!$C$13,"None",MID(IF(AND(G150&lt;&gt;"Accepted",G150&lt;&gt;"Not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Programs/Charters</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Confirmed",IF($E151="PTA",IF(AND(OR(I151="Accepted",I151="Not Needed"),OR(H151="Accepted",H151="Not Needed")),"Registered",IF(OR(OR(I151="Accepted",I151="Received",I151="Needs Correction"),OR(H151="Accepted",H151="Received",H151="Needs Correction")),"In Progress","Not Started")),IF($Q151&gt;=Settings!$C$13,"Legalized",IF($P151&gt;=Settings!$C$12,"Registered",IF($O151&gt;0,"In Progress","Not Started")))))))</f>
        <v/>
      </c>
      <c r="S151" s="32">
        <f>IF($B151="","",COUNTIF(G151:N151,"Received"))</f>
        <v/>
      </c>
      <c r="T151" s="32">
        <f>IF($B151="","",COUNTIF(G151:N151,"Needs Correction"))</f>
        <v/>
      </c>
      <c r="U151" s="33">
        <f>IF($B151="","",IF($D151&lt;&gt;"Yes","",IF($E151="PTA",IF(AND(OR(I151="Accepted",I151="Not Needed"),OR(H151="Accepted",H151="Not Needed")),"None",MID(IF(AND(I151&lt;&gt;"Accepted",I151&lt;&gt;"Not Needed"),", "&amp;I$1,"")&amp;IF(AND(H151&lt;&gt;"Accepted",H151&lt;&gt;"Not Needed"),", "&amp;H$1,""),3,400)),IF($Q151&gt;=Settings!$C$13,"None",MID(IF(AND(G151&lt;&gt;"Accepted",G151&lt;&gt;"Not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Programs/Charters</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Confirmed",IF($E152="PTA",IF(AND(OR(I152="Accepted",I152="Not Needed"),OR(H152="Accepted",H152="Not Needed")),"Registered",IF(OR(OR(I152="Accepted",I152="Received",I152="Needs Correction"),OR(H152="Accepted",H152="Received",H152="Needs Correction")),"In Progress","Not Started")),IF($Q152&gt;=Settings!$C$13,"Legalized",IF($P152&gt;=Settings!$C$12,"Registered",IF($O152&gt;0,"In Progress","Not Started")))))))</f>
        <v/>
      </c>
      <c r="S152" s="32">
        <f>IF($B152="","",COUNTIF(G152:N152,"Received"))</f>
        <v/>
      </c>
      <c r="T152" s="32">
        <f>IF($B152="","",COUNTIF(G152:N152,"Needs Correction"))</f>
        <v/>
      </c>
      <c r="U152" s="33">
        <f>IF($B152="","",IF($D152&lt;&gt;"Yes","",IF($E152="PTA",IF(AND(OR(I152="Accepted",I152="Not Needed"),OR(H152="Accepted",H152="Not Needed")),"None",MID(IF(AND(I152&lt;&gt;"Accepted",I152&lt;&gt;"Not Needed"),", "&amp;I$1,"")&amp;IF(AND(H152&lt;&gt;"Accepted",H152&lt;&gt;"Not Needed"),", "&amp;H$1,""),3,400)),IF($Q152&gt;=Settings!$C$13,"None",MID(IF(AND(G152&lt;&gt;"Accepted",G152&lt;&gt;"Not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Programs/Charters</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Confirmed",IF($E153="PTA",IF(AND(OR(I153="Accepted",I153="Not Needed"),OR(H153="Accepted",H153="Not Needed")),"Registered",IF(OR(OR(I153="Accepted",I153="Received",I153="Needs Correction"),OR(H153="Accepted",H153="Received",H153="Needs Correction")),"In Progress","Not Started")),IF($Q153&gt;=Settings!$C$13,"Legalized",IF($P153&gt;=Settings!$C$12,"Registered",IF($O153&gt;0,"In Progress","Not Started")))))))</f>
        <v/>
      </c>
      <c r="S153" s="32">
        <f>IF($B153="","",COUNTIF(G153:N153,"Received"))</f>
        <v/>
      </c>
      <c r="T153" s="32">
        <f>IF($B153="","",COUNTIF(G153:N153,"Needs Correction"))</f>
        <v/>
      </c>
      <c r="U153" s="33">
        <f>IF($B153="","",IF($D153&lt;&gt;"Yes","",IF($E153="PTA",IF(AND(OR(I153="Accepted",I153="Not Needed"),OR(H153="Accepted",H153="Not Needed")),"None",MID(IF(AND(I153&lt;&gt;"Accepted",I153&lt;&gt;"Not Needed"),", "&amp;I$1,"")&amp;IF(AND(H153&lt;&gt;"Accepted",H153&lt;&gt;"Not Needed"),", "&amp;H$1,""),3,400)),IF($Q153&gt;=Settings!$C$13,"None",MID(IF(AND(G153&lt;&gt;"Accepted",G153&lt;&gt;"Not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Henderson NQ ES</t>
        </is>
      </c>
      <c r="C154" s="31" t="n"/>
      <c r="D154" s="31" t="inlineStr">
        <is>
          <t>Not Yet Confirmed</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Confirmed",IF($E154="PTA",IF(AND(OR(I154="Accepted",I154="Not Needed"),OR(H154="Accepted",H154="Not Needed")),"Registered",IF(OR(OR(I154="Accepted",I154="Received",I154="Needs Correction"),OR(H154="Accepted",H154="Received",H154="Needs Correction")),"In Progress","Not Started")),IF($Q154&gt;=Settings!$C$13,"Legalized",IF($P154&gt;=Settings!$C$12,"Registered",IF($O154&gt;0,"In Progress","Not Started")))))))</f>
        <v/>
      </c>
      <c r="S154" s="32">
        <f>IF($B154="","",COUNTIF(G154:N154,"Received"))</f>
        <v/>
      </c>
      <c r="T154" s="32">
        <f>IF($B154="","",COUNTIF(G154:N154,"Needs Correction"))</f>
        <v/>
      </c>
      <c r="U154" s="33">
        <f>IF($B154="","",IF($D154&lt;&gt;"Yes","",IF($E154="PTA",IF(AND(OR(I154="Accepted",I154="Not Needed"),OR(H154="Accepted",H154="Not Needed")),"None",MID(IF(AND(I154&lt;&gt;"Accepted",I154&lt;&gt;"Not Needed"),", "&amp;I$1,"")&amp;IF(AND(H154&lt;&gt;"Accepted",H154&lt;&gt;"Not Needed"),", "&amp;H$1,""),3,400)),IF($Q154&gt;=Settings!$C$13,"None",MID(IF(AND(G154&lt;&gt;"Accepted",G154&lt;&gt;"Not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Middle College HS - Gulfton</t>
        </is>
      </c>
      <c r="C155" s="31" t="n"/>
      <c r="D155" s="31" t="inlineStr">
        <is>
          <t>Not Yet Confirmed</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Confirmed",IF($E155="PTA",IF(AND(OR(I155="Accepted",I155="Not Needed"),OR(H155="Accepted",H155="Not Needed")),"Registered",IF(OR(OR(I155="Accepted",I155="Received",I155="Needs Correction"),OR(H155="Accepted",H155="Received",H155="Needs Correction")),"In Progress","Not Started")),IF($Q155&gt;=Settings!$C$13,"Legalized",IF($P155&gt;=Settings!$C$12,"Registered",IF($O155&gt;0,"In Progress","Not Started")))))))</f>
        <v/>
      </c>
      <c r="S155" s="32">
        <f>IF($B155="","",COUNTIF(G155:N155,"Received"))</f>
        <v/>
      </c>
      <c r="T155" s="32">
        <f>IF($B155="","",COUNTIF(G155:N155,"Needs Correction"))</f>
        <v/>
      </c>
      <c r="U155" s="33">
        <f>IF($B155="","",IF($D155&lt;&gt;"Yes","",IF($E155="PTA",IF(AND(OR(I155="Accepted",I155="Not Needed"),OR(H155="Accepted",H155="Not Needed")),"None",MID(IF(AND(I155&lt;&gt;"Accepted",I155&lt;&gt;"Not Needed"),", "&amp;I$1,"")&amp;IF(AND(H155&lt;&gt;"Accepted",H155&lt;&gt;"Not Needed"),", "&amp;H$1,""),3,400)),IF($Q155&gt;=Settings!$C$13,"None",MID(IF(AND(G155&lt;&gt;"Accepted",G155&lt;&gt;"Not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Almeda ES</t>
        </is>
      </c>
      <c r="C156" s="31" t="inlineStr">
        <is>
          <t>NES Elementary</t>
        </is>
      </c>
      <c r="D156" s="31" t="inlineStr">
        <is>
          <t>Not Yet Confirmed</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Confirmed",IF($E156="PTA",IF(AND(OR(I156="Accepted",I156="Not Needed"),OR(H156="Accepted",H156="Not Needed")),"Registered",IF(OR(OR(I156="Accepted",I156="Received",I156="Needs Correction"),OR(H156="Accepted",H156="Received",H156="Needs Correction")),"In Progress","Not Started")),IF($Q156&gt;=Settings!$C$13,"Legalized",IF($P156&gt;=Settings!$C$12,"Registered",IF($O156&gt;0,"In Progress","Not Started")))))))</f>
        <v/>
      </c>
      <c r="S156" s="32">
        <f>IF($B156="","",COUNTIF(G156:N156,"Received"))</f>
        <v/>
      </c>
      <c r="T156" s="32">
        <f>IF($B156="","",COUNTIF(G156:N156,"Needs Correction"))</f>
        <v/>
      </c>
      <c r="U156" s="33">
        <f>IF($B156="","",IF($D156&lt;&gt;"Yes","",IF($E156="PTA",IF(AND(OR(I156="Accepted",I156="Not Needed"),OR(H156="Accepted",H156="Not Needed")),"None",MID(IF(AND(I156&lt;&gt;"Accepted",I156&lt;&gt;"Not Needed"),", "&amp;I$1,"")&amp;IF(AND(H156&lt;&gt;"Accepted",H156&lt;&gt;"Not Needed"),", "&amp;H$1,""),3,400)),IF($Q156&gt;=Settings!$C$13,"None",MID(IF(AND(G156&lt;&gt;"Accepted",G156&lt;&gt;"Not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Attucks MS</t>
        </is>
      </c>
      <c r="C157" s="31" t="inlineStr">
        <is>
          <t>EAS Secondary</t>
        </is>
      </c>
      <c r="D157" s="31" t="inlineStr">
        <is>
          <t>Not Yet Confirmed</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Confirmed",IF($E157="PTA",IF(AND(OR(I157="Accepted",I157="Not Needed"),OR(H157="Accepted",H157="Not Needed")),"Registered",IF(OR(OR(I157="Accepted",I157="Received",I157="Needs Correction"),OR(H157="Accepted",H157="Received",H157="Needs Correction")),"In Progress","Not Started")),IF($Q157&gt;=Settings!$C$13,"Legalized",IF($P157&gt;=Settings!$C$12,"Registered",IF($O157&gt;0,"In Progress","Not Started")))))))</f>
        <v/>
      </c>
      <c r="S157" s="32">
        <f>IF($B157="","",COUNTIF(G157:N157,"Received"))</f>
        <v/>
      </c>
      <c r="T157" s="32">
        <f>IF($B157="","",COUNTIF(G157:N157,"Needs Correction"))</f>
        <v/>
      </c>
      <c r="U157" s="33">
        <f>IF($B157="","",IF($D157&lt;&gt;"Yes","",IF($E157="PTA",IF(AND(OR(I157="Accepted",I157="Not Needed"),OR(H157="Accepted",H157="Not Needed")),"None",MID(IF(AND(I157&lt;&gt;"Accepted",I157&lt;&gt;"Not Needed"),", "&amp;I$1,"")&amp;IF(AND(H157&lt;&gt;"Accepted",H157&lt;&gt;"Not Needed"),", "&amp;H$1,""),3,400)),IF($Q157&gt;=Settings!$C$13,"None",MID(IF(AND(G157&lt;&gt;"Accepted",G157&lt;&gt;"Not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Austin HS</t>
        </is>
      </c>
      <c r="C158" s="31" t="inlineStr">
        <is>
          <t>NES Secondary</t>
        </is>
      </c>
      <c r="D158" s="31" t="inlineStr">
        <is>
          <t>Not Yet Confirmed</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Confirmed",IF($E158="PTA",IF(AND(OR(I158="Accepted",I158="Not Needed"),OR(H158="Accepted",H158="Not Needed")),"Registered",IF(OR(OR(I158="Accepted",I158="Received",I158="Needs Correction"),OR(H158="Accepted",H158="Received",H158="Needs Correction")),"In Progress","Not Started")),IF($Q158&gt;=Settings!$C$13,"Legalized",IF($P158&gt;=Settings!$C$12,"Registered",IF($O158&gt;0,"In Progress","Not Started")))))))</f>
        <v/>
      </c>
      <c r="S158" s="32">
        <f>IF($B158="","",COUNTIF(G158:N158,"Received"))</f>
        <v/>
      </c>
      <c r="T158" s="32">
        <f>IF($B158="","",COUNTIF(G158:N158,"Needs Correction"))</f>
        <v/>
      </c>
      <c r="U158" s="33">
        <f>IF($B158="","",IF($D158&lt;&gt;"Yes","",IF($E158="PTA",IF(AND(OR(I158="Accepted",I158="Not Needed"),OR(H158="Accepted",H158="Not Needed")),"None",MID(IF(AND(I158&lt;&gt;"Accepted",I158&lt;&gt;"Not Needed"),", "&amp;I$1,"")&amp;IF(AND(H158&lt;&gt;"Accepted",H158&lt;&gt;"Not Needed"),", "&amp;H$1,""),3,400)),IF($Q158&gt;=Settings!$C$13,"None",MID(IF(AND(G158&lt;&gt;"Accepted",G158&lt;&gt;"Not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Barbara Jordan Career Center</t>
        </is>
      </c>
      <c r="C159" s="31" t="inlineStr">
        <is>
          <t>Programs/Charters</t>
        </is>
      </c>
      <c r="D159" s="31" t="inlineStr">
        <is>
          <t>Not Yet Confirmed</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Confirmed",IF($E159="PTA",IF(AND(OR(I159="Accepted",I159="Not Needed"),OR(H159="Accepted",H159="Not Needed")),"Registered",IF(OR(OR(I159="Accepted",I159="Received",I159="Needs Correction"),OR(H159="Accepted",H159="Received",H159="Needs Correction")),"In Progress","Not Started")),IF($Q159&gt;=Settings!$C$13,"Legalized",IF($P159&gt;=Settings!$C$12,"Registered",IF($O159&gt;0,"In Progress","Not Started")))))))</f>
        <v/>
      </c>
      <c r="S159" s="32">
        <f>IF($B159="","",COUNTIF(G159:N159,"Received"))</f>
        <v/>
      </c>
      <c r="T159" s="32">
        <f>IF($B159="","",COUNTIF(G159:N159,"Needs Correction"))</f>
        <v/>
      </c>
      <c r="U159" s="33">
        <f>IF($B159="","",IF($D159&lt;&gt;"Yes","",IF($E159="PTA",IF(AND(OR(I159="Accepted",I159="Not Needed"),OR(H159="Accepted",H159="Not Needed")),"None",MID(IF(AND(I159&lt;&gt;"Accepted",I159&lt;&gt;"Not Needed"),", "&amp;I$1,"")&amp;IF(AND(H159&lt;&gt;"Accepted",H159&lt;&gt;"Not Needed"),", "&amp;H$1,""),3,400)),IF($Q159&gt;=Settings!$C$13,"None",MID(IF(AND(G159&lt;&gt;"Accepted",G159&lt;&gt;"Not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Bell ES</t>
        </is>
      </c>
      <c r="C160" s="31" t="inlineStr">
        <is>
          <t>NES Elementary</t>
        </is>
      </c>
      <c r="D160" s="31" t="inlineStr">
        <is>
          <t>Not Yet Confirmed</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Confirmed",IF($E160="PTA",IF(AND(OR(I160="Accepted",I160="Not Needed"),OR(H160="Accepted",H160="Not Needed")),"Registered",IF(OR(OR(I160="Accepted",I160="Received",I160="Needs Correction"),OR(H160="Accepted",H160="Received",H160="Needs Correction")),"In Progress","Not Started")),IF($Q160&gt;=Settings!$C$13,"Legalized",IF($P160&gt;=Settings!$C$12,"Registered",IF($O160&gt;0,"In Progress","Not Started")))))))</f>
        <v/>
      </c>
      <c r="S160" s="32">
        <f>IF($B160="","",COUNTIF(G160:N160,"Received"))</f>
        <v/>
      </c>
      <c r="T160" s="32">
        <f>IF($B160="","",COUNTIF(G160:N160,"Needs Correction"))</f>
        <v/>
      </c>
      <c r="U160" s="33">
        <f>IF($B160="","",IF($D160&lt;&gt;"Yes","",IF($E160="PTA",IF(AND(OR(I160="Accepted",I160="Not Needed"),OR(H160="Accepted",H160="Not Needed")),"None",MID(IF(AND(I160&lt;&gt;"Accepted",I160&lt;&gt;"Not Needed"),", "&amp;I$1,"")&amp;IF(AND(H160&lt;&gt;"Accepted",H160&lt;&gt;"Not Needed"),", "&amp;H$1,""),3,400)),IF($Q160&gt;=Settings!$C$13,"None",MID(IF(AND(G160&lt;&gt;"Accepted",G160&lt;&gt;"Not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Benavides ES</t>
        </is>
      </c>
      <c r="C161" s="31" t="inlineStr">
        <is>
          <t>NES Elementary</t>
        </is>
      </c>
      <c r="D161" s="31" t="inlineStr">
        <is>
          <t>Not Yet Confirmed</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Confirmed",IF($E161="PTA",IF(AND(OR(I161="Accepted",I161="Not Needed"),OR(H161="Accepted",H161="Not Needed")),"Registered",IF(OR(OR(I161="Accepted",I161="Received",I161="Needs Correction"),OR(H161="Accepted",H161="Received",H161="Needs Correction")),"In Progress","Not Started")),IF($Q161&gt;=Settings!$C$13,"Legalized",IF($P161&gt;=Settings!$C$12,"Registered",IF($O161&gt;0,"In Progress","Not Started")))))))</f>
        <v/>
      </c>
      <c r="S161" s="32">
        <f>IF($B161="","",COUNTIF(G161:N161,"Received"))</f>
        <v/>
      </c>
      <c r="T161" s="32">
        <f>IF($B161="","",COUNTIF(G161:N161,"Needs Correction"))</f>
        <v/>
      </c>
      <c r="U161" s="33">
        <f>IF($B161="","",IF($D161&lt;&gt;"Yes","",IF($E161="PTA",IF(AND(OR(I161="Accepted",I161="Not Needed"),OR(H161="Accepted",H161="Not Needed")),"None",MID(IF(AND(I161&lt;&gt;"Accepted",I161&lt;&gt;"Not Needed"),", "&amp;I$1,"")&amp;IF(AND(H161&lt;&gt;"Accepted",H161&lt;&gt;"Not Needed"),", "&amp;H$1,""),3,400)),IF($Q161&gt;=Settings!$C$13,"None",MID(IF(AND(G161&lt;&gt;"Accepted",G161&lt;&gt;"Not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Brookline ES</t>
        </is>
      </c>
      <c r="C162" s="31" t="inlineStr">
        <is>
          <t>NES Elementary</t>
        </is>
      </c>
      <c r="D162" s="31" t="inlineStr">
        <is>
          <t>Not Yet Confirmed</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Confirmed",IF($E162="PTA",IF(AND(OR(I162="Accepted",I162="Not Needed"),OR(H162="Accepted",H162="Not Needed")),"Registered",IF(OR(OR(I162="Accepted",I162="Received",I162="Needs Correction"),OR(H162="Accepted",H162="Received",H162="Needs Correction")),"In Progress","Not Started")),IF($Q162&gt;=Settings!$C$13,"Legalized",IF($P162&gt;=Settings!$C$12,"Registered",IF($O162&gt;0,"In Progress","Not Started")))))))</f>
        <v/>
      </c>
      <c r="S162" s="32">
        <f>IF($B162="","",COUNTIF(G162:N162,"Received"))</f>
        <v/>
      </c>
      <c r="T162" s="32">
        <f>IF($B162="","",COUNTIF(G162:N162,"Needs Correction"))</f>
        <v/>
      </c>
      <c r="U162" s="33">
        <f>IF($B162="","",IF($D162&lt;&gt;"Yes","",IF($E162="PTA",IF(AND(OR(I162="Accepted",I162="Not Needed"),OR(H162="Accepted",H162="Not Needed")),"None",MID(IF(AND(I162&lt;&gt;"Accepted",I162&lt;&gt;"Not Needed"),", "&amp;I$1,"")&amp;IF(AND(H162&lt;&gt;"Accepted",H162&lt;&gt;"Not Needed"),", "&amp;H$1,""),3,400)),IF($Q162&gt;=Settings!$C$13,"None",MID(IF(AND(G162&lt;&gt;"Accepted",G162&lt;&gt;"Not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Burnet ES</t>
        </is>
      </c>
      <c r="C163" s="31" t="inlineStr">
        <is>
          <t>NES Elementary</t>
        </is>
      </c>
      <c r="D163" s="31" t="inlineStr">
        <is>
          <t>Not Yet Confirmed</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Confirmed",IF($E163="PTA",IF(AND(OR(I163="Accepted",I163="Not Needed"),OR(H163="Accepted",H163="Not Needed")),"Registered",IF(OR(OR(I163="Accepted",I163="Received",I163="Needs Correction"),OR(H163="Accepted",H163="Received",H163="Needs Correction")),"In Progress","Not Started")),IF($Q163&gt;=Settings!$C$13,"Legalized",IF($P163&gt;=Settings!$C$12,"Registered",IF($O163&gt;0,"In Progress","Not Started")))))))</f>
        <v/>
      </c>
      <c r="S163" s="32">
        <f>IF($B163="","",COUNTIF(G163:N163,"Received"))</f>
        <v/>
      </c>
      <c r="T163" s="32">
        <f>IF($B163="","",COUNTIF(G163:N163,"Needs Correction"))</f>
        <v/>
      </c>
      <c r="U163" s="33">
        <f>IF($B163="","",IF($D163&lt;&gt;"Yes","",IF($E163="PTA",IF(AND(OR(I163="Accepted",I163="Not Needed"),OR(H163="Accepted",H163="Not Needed")),"None",MID(IF(AND(I163&lt;&gt;"Accepted",I163&lt;&gt;"Not Needed"),", "&amp;I$1,"")&amp;IF(AND(H163&lt;&gt;"Accepted",H163&lt;&gt;"Not Needed"),", "&amp;H$1,""),3,400)),IF($Q163&gt;=Settings!$C$13,"None",MID(IF(AND(G163&lt;&gt;"Accepted",G163&lt;&gt;"Not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Cage ES (@Lantrip ES)</t>
        </is>
      </c>
      <c r="C164" s="31" t="inlineStr">
        <is>
          <t>NES Elementary</t>
        </is>
      </c>
      <c r="D164" s="31" t="inlineStr">
        <is>
          <t>Not Yet Confirmed</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Confirmed",IF($E164="PTA",IF(AND(OR(I164="Accepted",I164="Not Needed"),OR(H164="Accepted",H164="Not Needed")),"Registered",IF(OR(OR(I164="Accepted",I164="Received",I164="Needs Correction"),OR(H164="Accepted",H164="Received",H164="Needs Correction")),"In Progress","Not Started")),IF($Q164&gt;=Settings!$C$13,"Legalized",IF($P164&gt;=Settings!$C$12,"Registered",IF($O164&gt;0,"In Progress","Not Started")))))))</f>
        <v/>
      </c>
      <c r="S164" s="32">
        <f>IF($B164="","",COUNTIF(G164:N164,"Received"))</f>
        <v/>
      </c>
      <c r="T164" s="32">
        <f>IF($B164="","",COUNTIF(G164:N164,"Needs Correction"))</f>
        <v/>
      </c>
      <c r="U164" s="33">
        <f>IF($B164="","",IF($D164&lt;&gt;"Yes","",IF($E164="PTA",IF(AND(OR(I164="Accepted",I164="Not Needed"),OR(H164="Accepted",H164="Not Needed")),"None",MID(IF(AND(I164&lt;&gt;"Accepted",I164&lt;&gt;"Not Needed"),", "&amp;I$1,"")&amp;IF(AND(H164&lt;&gt;"Accepted",H164&lt;&gt;"Not Needed"),", "&amp;H$1,""),3,400)),IF($Q164&gt;=Settings!$C$13,"None",MID(IF(AND(G164&lt;&gt;"Accepted",G164&lt;&gt;"Not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Chavez HS</t>
        </is>
      </c>
      <c r="C165" s="31" t="inlineStr">
        <is>
          <t>EAS Secondary</t>
        </is>
      </c>
      <c r="D165" s="31" t="inlineStr">
        <is>
          <t>Not Yet Confirmed</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Confirmed",IF($E165="PTA",IF(AND(OR(I165="Accepted",I165="Not Needed"),OR(H165="Accepted",H165="Not Needed")),"Registered",IF(OR(OR(I165="Accepted",I165="Received",I165="Needs Correction"),OR(H165="Accepted",H165="Received",H165="Needs Correction")),"In Progress","Not Started")),IF($Q165&gt;=Settings!$C$13,"Legalized",IF($P165&gt;=Settings!$C$12,"Registered",IF($O165&gt;0,"In Progress","Not Started")))))))</f>
        <v/>
      </c>
      <c r="S165" s="32">
        <f>IF($B165="","",COUNTIF(G165:N165,"Received"))</f>
        <v/>
      </c>
      <c r="T165" s="32">
        <f>IF($B165="","",COUNTIF(G165:N165,"Needs Correction"))</f>
        <v/>
      </c>
      <c r="U165" s="33">
        <f>IF($B165="","",IF($D165&lt;&gt;"Yes","",IF($E165="PTA",IF(AND(OR(I165="Accepted",I165="Not Needed"),OR(H165="Accepted",H165="Not Needed")),"None",MID(IF(AND(I165&lt;&gt;"Accepted",I165&lt;&gt;"Not Needed"),", "&amp;I$1,"")&amp;IF(AND(H165&lt;&gt;"Accepted",H165&lt;&gt;"Not Needed"),", "&amp;H$1,""),3,400)),IF($Q165&gt;=Settings!$C$13,"None",MID(IF(AND(G165&lt;&gt;"Accepted",G165&lt;&gt;"Not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Codwell ES</t>
        </is>
      </c>
      <c r="C166" s="31" t="inlineStr">
        <is>
          <t>NES Elementary</t>
        </is>
      </c>
      <c r="D166" s="31" t="inlineStr">
        <is>
          <t>Not Yet Confirmed</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Confirmed",IF($E166="PTA",IF(AND(OR(I166="Accepted",I166="Not Needed"),OR(H166="Accepted",H166="Not Needed")),"Registered",IF(OR(OR(I166="Accepted",I166="Received",I166="Needs Correction"),OR(H166="Accepted",H166="Received",H166="Needs Correction")),"In Progress","Not Started")),IF($Q166&gt;=Settings!$C$13,"Legalized",IF($P166&gt;=Settings!$C$12,"Registered",IF($O166&gt;0,"In Progress","Not Started")))))))</f>
        <v/>
      </c>
      <c r="S166" s="32">
        <f>IF($B166="","",COUNTIF(G166:N166,"Received"))</f>
        <v/>
      </c>
      <c r="T166" s="32">
        <f>IF($B166="","",COUNTIF(G166:N166,"Needs Correction"))</f>
        <v/>
      </c>
      <c r="U166" s="33">
        <f>IF($B166="","",IF($D166&lt;&gt;"Yes","",IF($E166="PTA",IF(AND(OR(I166="Accepted",I166="Not Needed"),OR(H166="Accepted",H166="Not Needed")),"None",MID(IF(AND(I166&lt;&gt;"Accepted",I166&lt;&gt;"Not Needed"),", "&amp;I$1,"")&amp;IF(AND(H166&lt;&gt;"Accepted",H166&lt;&gt;"Not Needed"),", "&amp;H$1,""),3,400)),IF($Q166&gt;=Settings!$C$13,"None",MID(IF(AND(G166&lt;&gt;"Accepted",G166&lt;&gt;"Not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Community Services</t>
        </is>
      </c>
      <c r="C167" s="31" t="inlineStr">
        <is>
          <t>Programs/Charters</t>
        </is>
      </c>
      <c r="D167" s="31" t="inlineStr">
        <is>
          <t>Not Yet Confirmed</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Confirmed",IF($E167="PTA",IF(AND(OR(I167="Accepted",I167="Not Needed"),OR(H167="Accepted",H167="Not Needed")),"Registered",IF(OR(OR(I167="Accepted",I167="Received",I167="Needs Correction"),OR(H167="Accepted",H167="Received",H167="Needs Correction")),"In Progress","Not Started")),IF($Q167&gt;=Settings!$C$13,"Legalized",IF($P167&gt;=Settings!$C$12,"Registered",IF($O167&gt;0,"In Progress","Not Started")))))))</f>
        <v/>
      </c>
      <c r="S167" s="32">
        <f>IF($B167="","",COUNTIF(G167:N167,"Received"))</f>
        <v/>
      </c>
      <c r="T167" s="32">
        <f>IF($B167="","",COUNTIF(G167:N167,"Needs Correction"))</f>
        <v/>
      </c>
      <c r="U167" s="33">
        <f>IF($B167="","",IF($D167&lt;&gt;"Yes","",IF($E167="PTA",IF(AND(OR(I167="Accepted",I167="Not Needed"),OR(H167="Accepted",H167="Not Needed")),"None",MID(IF(AND(I167&lt;&gt;"Accepted",I167&lt;&gt;"Not Needed"),", "&amp;I$1,"")&amp;IF(AND(H167&lt;&gt;"Accepted",H167&lt;&gt;"Not Needed"),", "&amp;H$1,""),3,400)),IF($Q167&gt;=Settings!$C$13,"None",MID(IF(AND(G167&lt;&gt;"Accepted",G167&lt;&gt;"Not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Cook ES</t>
        </is>
      </c>
      <c r="C168" s="31" t="inlineStr">
        <is>
          <t>NES Elementary</t>
        </is>
      </c>
      <c r="D168" s="31" t="inlineStr">
        <is>
          <t>Not Yet Confirmed</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Confirmed",IF($E168="PTA",IF(AND(OR(I168="Accepted",I168="Not Needed"),OR(H168="Accepted",H168="Not Needed")),"Registered",IF(OR(OR(I168="Accepted",I168="Received",I168="Needs Correction"),OR(H168="Accepted",H168="Received",H168="Needs Correction")),"In Progress","Not Started")),IF($Q168&gt;=Settings!$C$13,"Legalized",IF($P168&gt;=Settings!$C$12,"Registered",IF($O168&gt;0,"In Progress","Not Started")))))))</f>
        <v/>
      </c>
      <c r="S168" s="32">
        <f>IF($B168="","",COUNTIF(G168:N168,"Received"))</f>
        <v/>
      </c>
      <c r="T168" s="32">
        <f>IF($B168="","",COUNTIF(G168:N168,"Needs Correction"))</f>
        <v/>
      </c>
      <c r="U168" s="33">
        <f>IF($B168="","",IF($D168&lt;&gt;"Yes","",IF($E168="PTA",IF(AND(OR(I168="Accepted",I168="Not Needed"),OR(H168="Accepted",H168="Not Needed")),"None",MID(IF(AND(I168&lt;&gt;"Accepted",I168&lt;&gt;"Not Needed"),", "&amp;I$1,"")&amp;IF(AND(H168&lt;&gt;"Accepted",H168&lt;&gt;"Not Needed"),", "&amp;H$1,""),3,400)),IF($Q168&gt;=Settings!$C$13,"None",MID(IF(AND(G168&lt;&gt;"Accepted",G168&lt;&gt;"Not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DAEP EL</t>
        </is>
      </c>
      <c r="C169" s="31" t="inlineStr">
        <is>
          <t>Programs/Charters</t>
        </is>
      </c>
      <c r="D169" s="31" t="inlineStr">
        <is>
          <t>Not Yet Confirmed</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Confirmed",IF($E169="PTA",IF(AND(OR(I169="Accepted",I169="Not Needed"),OR(H169="Accepted",H169="Not Needed")),"Registered",IF(OR(OR(I169="Accepted",I169="Received",I169="Needs Correction"),OR(H169="Accepted",H169="Received",H169="Needs Correction")),"In Progress","Not Started")),IF($Q169&gt;=Settings!$C$13,"Legalized",IF($P169&gt;=Settings!$C$12,"Registered",IF($O169&gt;0,"In Progress","Not Started")))))))</f>
        <v/>
      </c>
      <c r="S169" s="32">
        <f>IF($B169="","",COUNTIF(G169:N169,"Received"))</f>
        <v/>
      </c>
      <c r="T169" s="32">
        <f>IF($B169="","",COUNTIF(G169:N169,"Needs Correction"))</f>
        <v/>
      </c>
      <c r="U169" s="33">
        <f>IF($B169="","",IF($D169&lt;&gt;"Yes","",IF($E169="PTA",IF(AND(OR(I169="Accepted",I169="Not Needed"),OR(H169="Accepted",H169="Not Needed")),"None",MID(IF(AND(I169&lt;&gt;"Accepted",I169&lt;&gt;"Not Needed"),", "&amp;I$1,"")&amp;IF(AND(H169&lt;&gt;"Accepted",H169&lt;&gt;"Not Needed"),", "&amp;H$1,""),3,400)),IF($Q169&gt;=Settings!$C$13,"None",MID(IF(AND(G169&lt;&gt;"Accepted",G169&lt;&gt;"Not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Deady MS</t>
        </is>
      </c>
      <c r="C170" s="31" t="inlineStr">
        <is>
          <t>NES Secondary</t>
        </is>
      </c>
      <c r="D170" s="31" t="inlineStr">
        <is>
          <t>Not Yet Confirmed</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Confirmed",IF($E170="PTA",IF(AND(OR(I170="Accepted",I170="Not Needed"),OR(H170="Accepted",H170="Not Needed")),"Registered",IF(OR(OR(I170="Accepted",I170="Received",I170="Needs Correction"),OR(H170="Accepted",H170="Received",H170="Needs Correction")),"In Progress","Not Started")),IF($Q170&gt;=Settings!$C$13,"Legalized",IF($P170&gt;=Settings!$C$12,"Registered",IF($O170&gt;0,"In Progress","Not Started")))))))</f>
        <v/>
      </c>
      <c r="S170" s="32">
        <f>IF($B170="","",COUNTIF(G170:N170,"Received"))</f>
        <v/>
      </c>
      <c r="T170" s="32">
        <f>IF($B170="","",COUNTIF(G170:N170,"Needs Correction"))</f>
        <v/>
      </c>
      <c r="U170" s="33">
        <f>IF($B170="","",IF($D170&lt;&gt;"Yes","",IF($E170="PTA",IF(AND(OR(I170="Accepted",I170="Not Needed"),OR(H170="Accepted",H170="Not Needed")),"None",MID(IF(AND(I170&lt;&gt;"Accepted",I170&lt;&gt;"Not Needed"),", "&amp;I$1,"")&amp;IF(AND(H170&lt;&gt;"Accepted",H170&lt;&gt;"Not Needed"),", "&amp;H$1,""),3,400)),IF($Q170&gt;=Settings!$C$13,"None",MID(IF(AND(G170&lt;&gt;"Accepted",G170&lt;&gt;"Not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Dogan ES</t>
        </is>
      </c>
      <c r="C171" s="31" t="inlineStr">
        <is>
          <t>NES Elementary</t>
        </is>
      </c>
      <c r="D171" s="31" t="inlineStr">
        <is>
          <t>Not Yet Confirmed</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Confirmed",IF($E171="PTA",IF(AND(OR(I171="Accepted",I171="Not Needed"),OR(H171="Accepted",H171="Not Needed")),"Registered",IF(OR(OR(I171="Accepted",I171="Received",I171="Needs Correction"),OR(H171="Accepted",H171="Received",H171="Needs Correction")),"In Progress","Not Started")),IF($Q171&gt;=Settings!$C$13,"Legalized",IF($P171&gt;=Settings!$C$12,"Registered",IF($O171&gt;0,"In Progress","Not Started")))))))</f>
        <v/>
      </c>
      <c r="S171" s="32">
        <f>IF($B171="","",COUNTIF(G171:N171,"Received"))</f>
        <v/>
      </c>
      <c r="T171" s="32">
        <f>IF($B171="","",COUNTIF(G171:N171,"Needs Correction"))</f>
        <v/>
      </c>
      <c r="U171" s="33">
        <f>IF($B171="","",IF($D171&lt;&gt;"Yes","",IF($E171="PTA",IF(AND(OR(I171="Accepted",I171="Not Needed"),OR(H171="Accepted",H171="Not Needed")),"None",MID(IF(AND(I171&lt;&gt;"Accepted",I171&lt;&gt;"Not Needed"),", "&amp;I$1,"")&amp;IF(AND(H171&lt;&gt;"Accepted",H171&lt;&gt;"Not Needed"),", "&amp;H$1,""),3,400)),IF($Q171&gt;=Settings!$C$13,"None",MID(IF(AND(G171&lt;&gt;"Accepted",G171&lt;&gt;"Not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Durkee ES</t>
        </is>
      </c>
      <c r="C172" s="31" t="inlineStr">
        <is>
          <t>NES Elementary</t>
        </is>
      </c>
      <c r="D172" s="31" t="inlineStr">
        <is>
          <t>Not Yet Confirmed</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Confirmed",IF($E172="PTA",IF(AND(OR(I172="Accepted",I172="Not Needed"),OR(H172="Accepted",H172="Not Needed")),"Registered",IF(OR(OR(I172="Accepted",I172="Received",I172="Needs Correction"),OR(H172="Accepted",H172="Received",H172="Needs Correction")),"In Progress","Not Started")),IF($Q172&gt;=Settings!$C$13,"Legalized",IF($P172&gt;=Settings!$C$12,"Registered",IF($O172&gt;0,"In Progress","Not Started")))))))</f>
        <v/>
      </c>
      <c r="S172" s="32">
        <f>IF($B172="","",COUNTIF(G172:N172,"Received"))</f>
        <v/>
      </c>
      <c r="T172" s="32">
        <f>IF($B172="","",COUNTIF(G172:N172,"Needs Correction"))</f>
        <v/>
      </c>
      <c r="U172" s="33">
        <f>IF($B172="","",IF($D172&lt;&gt;"Yes","",IF($E172="PTA",IF(AND(OR(I172="Accepted",I172="Not Needed"),OR(H172="Accepted",H172="Not Needed")),"None",MID(IF(AND(I172&lt;&gt;"Accepted",I172&lt;&gt;"Not Needed"),", "&amp;I$1,"")&amp;IF(AND(H172&lt;&gt;"Accepted",H172&lt;&gt;"Not Needed"),", "&amp;H$1,""),3,400)),IF($Q172&gt;=Settings!$C$13,"None",MID(IF(AND(G172&lt;&gt;"Accepted",G172&lt;&gt;"Not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ECC</t>
        </is>
      </c>
      <c r="C173" s="31" t="inlineStr">
        <is>
          <t>Programs/Charters</t>
        </is>
      </c>
      <c r="D173" s="31" t="inlineStr">
        <is>
          <t>Not Yet Confirmed</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Confirmed",IF($E173="PTA",IF(AND(OR(I173="Accepted",I173="Not Needed"),OR(H173="Accepted",H173="Not Needed")),"Registered",IF(OR(OR(I173="Accepted",I173="Received",I173="Needs Correction"),OR(H173="Accepted",H173="Received",H173="Needs Correction")),"In Progress","Not Started")),IF($Q173&gt;=Settings!$C$13,"Legalized",IF($P173&gt;=Settings!$C$12,"Registered",IF($O173&gt;0,"In Progress","Not Started")))))))</f>
        <v/>
      </c>
      <c r="S173" s="32">
        <f>IF($B173="","",COUNTIF(G173:N173,"Received"))</f>
        <v/>
      </c>
      <c r="T173" s="32">
        <f>IF($B173="","",COUNTIF(G173:N173,"Needs Correction"))</f>
        <v/>
      </c>
      <c r="U173" s="33">
        <f>IF($B173="","",IF($D173&lt;&gt;"Yes","",IF($E173="PTA",IF(AND(OR(I173="Accepted",I173="Not Needed"),OR(H173="Accepted",H173="Not Needed")),"None",MID(IF(AND(I173&lt;&gt;"Accepted",I173&lt;&gt;"Not Needed"),", "&amp;I$1,"")&amp;IF(AND(H173&lt;&gt;"Accepted",H173&lt;&gt;"Not Needed"),", "&amp;H$1,""),3,400)),IF($Q173&gt;=Settings!$C$13,"None",MID(IF(AND(G173&lt;&gt;"Accepted",G173&lt;&gt;"Not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ES</t>
        </is>
      </c>
      <c r="C174" s="31" t="inlineStr">
        <is>
          <t>Programs/Charters</t>
        </is>
      </c>
      <c r="D174" s="31" t="inlineStr">
        <is>
          <t>Not Yet Confirmed</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Confirmed",IF($E174="PTA",IF(AND(OR(I174="Accepted",I174="Not Needed"),OR(H174="Accepted",H174="Not Needed")),"Registered",IF(OR(OR(I174="Accepted",I174="Received",I174="Needs Correction"),OR(H174="Accepted",H174="Received",H174="Needs Correction")),"In Progress","Not Started")),IF($Q174&gt;=Settings!$C$13,"Legalized",IF($P174&gt;=Settings!$C$12,"Registered",IF($O174&gt;0,"In Progress","Not Started")))))))</f>
        <v/>
      </c>
      <c r="S174" s="32">
        <f>IF($B174="","",COUNTIF(G174:N174,"Received"))</f>
        <v/>
      </c>
      <c r="T174" s="32">
        <f>IF($B174="","",COUNTIF(G174:N174,"Needs Correction"))</f>
        <v/>
      </c>
      <c r="U174" s="33">
        <f>IF($B174="","",IF($D174&lt;&gt;"Yes","",IF($E174="PTA",IF(AND(OR(I174="Accepted",I174="Not Needed"),OR(H174="Accepted",H174="Not Needed")),"None",MID(IF(AND(I174&lt;&gt;"Accepted",I174&lt;&gt;"Not Needed"),", "&amp;I$1,"")&amp;IF(AND(H174&lt;&gt;"Accepted",H174&lt;&gt;"Not Needed"),", "&amp;H$1,""),3,400)),IF($Q174&gt;=Settings!$C$13,"None",MID(IF(AND(G174&lt;&gt;"Accepted",G174&lt;&gt;"Not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Energized for STEM Acad HS</t>
        </is>
      </c>
      <c r="C175" s="31" t="inlineStr">
        <is>
          <t>Programs/Charters</t>
        </is>
      </c>
      <c r="D175" s="31" t="inlineStr">
        <is>
          <t>Not Yet Confirmed</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Confirmed",IF($E175="PTA",IF(AND(OR(I175="Accepted",I175="Not Needed"),OR(H175="Accepted",H175="Not Needed")),"Registered",IF(OR(OR(I175="Accepted",I175="Received",I175="Needs Correction"),OR(H175="Accepted",H175="Received",H175="Needs Correction")),"In Progress","Not Started")),IF($Q175&gt;=Settings!$C$13,"Legalized",IF($P175&gt;=Settings!$C$12,"Registered",IF($O175&gt;0,"In Progress","Not Started")))))))</f>
        <v/>
      </c>
      <c r="S175" s="32">
        <f>IF($B175="","",COUNTIF(G175:N175,"Received"))</f>
        <v/>
      </c>
      <c r="T175" s="32">
        <f>IF($B175="","",COUNTIF(G175:N175,"Needs Correction"))</f>
        <v/>
      </c>
      <c r="U175" s="33">
        <f>IF($B175="","",IF($D175&lt;&gt;"Yes","",IF($E175="PTA",IF(AND(OR(I175="Accepted",I175="Not Needed"),OR(H175="Accepted",H175="Not Needed")),"None",MID(IF(AND(I175&lt;&gt;"Accepted",I175&lt;&gt;"Not Needed"),", "&amp;I$1,"")&amp;IF(AND(H175&lt;&gt;"Accepted",H175&lt;&gt;"Not Needed"),", "&amp;H$1,""),3,400)),IF($Q175&gt;=Settings!$C$13,"None",MID(IF(AND(G175&lt;&gt;"Accepted",G175&lt;&gt;"Not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Energized for STEM Acad MS</t>
        </is>
      </c>
      <c r="C176" s="31" t="inlineStr">
        <is>
          <t>Programs/Charters</t>
        </is>
      </c>
      <c r="D176" s="31" t="inlineStr">
        <is>
          <t>Not Yet Confirmed</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Confirmed",IF($E176="PTA",IF(AND(OR(I176="Accepted",I176="Not Needed"),OR(H176="Accepted",H176="Not Needed")),"Registered",IF(OR(OR(I176="Accepted",I176="Received",I176="Needs Correction"),OR(H176="Accepted",H176="Received",H176="Needs Correction")),"In Progress","Not Started")),IF($Q176&gt;=Settings!$C$13,"Legalized",IF($P176&gt;=Settings!$C$12,"Registered",IF($O176&gt;0,"In Progress","Not Started")))))))</f>
        <v/>
      </c>
      <c r="S176" s="32">
        <f>IF($B176="","",COUNTIF(G176:N176,"Received"))</f>
        <v/>
      </c>
      <c r="T176" s="32">
        <f>IF($B176="","",COUNTIF(G176:N176,"Needs Correction"))</f>
        <v/>
      </c>
      <c r="U176" s="33">
        <f>IF($B176="","",IF($D176&lt;&gt;"Yes","",IF($E176="PTA",IF(AND(OR(I176="Accepted",I176="Not Needed"),OR(H176="Accepted",H176="Not Needed")),"None",MID(IF(AND(I176&lt;&gt;"Accepted",I176&lt;&gt;"Not Needed"),", "&amp;I$1,"")&amp;IF(AND(H176&lt;&gt;"Accepted",H176&lt;&gt;"Not Needed"),", "&amp;H$1,""),3,400)),IF($Q176&gt;=Settings!$C$13,"None",MID(IF(AND(G176&lt;&gt;"Accepted",G176&lt;&gt;"Not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Energized MS</t>
        </is>
      </c>
      <c r="C177" s="31" t="inlineStr">
        <is>
          <t>Programs/Charters</t>
        </is>
      </c>
      <c r="D177" s="31" t="inlineStr">
        <is>
          <t>Not Yet Confirmed</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Confirmed",IF($E177="PTA",IF(AND(OR(I177="Accepted",I177="Not Needed"),OR(H177="Accepted",H177="Not Needed")),"Registered",IF(OR(OR(I177="Accepted",I177="Received",I177="Needs Correction"),OR(H177="Accepted",H177="Received",H177="Needs Correction")),"In Progress","Not Started")),IF($Q177&gt;=Settings!$C$13,"Legalized",IF($P177&gt;=Settings!$C$12,"Registered",IF($O177&gt;0,"In Progress","Not Started")))))))</f>
        <v/>
      </c>
      <c r="S177" s="32">
        <f>IF($B177="","",COUNTIF(G177:N177,"Received"))</f>
        <v/>
      </c>
      <c r="T177" s="32">
        <f>IF($B177="","",COUNTIF(G177:N177,"Needs Correction"))</f>
        <v/>
      </c>
      <c r="U177" s="33">
        <f>IF($B177="","",IF($D177&lt;&gt;"Yes","",IF($E177="PTA",IF(AND(OR(I177="Accepted",I177="Not Needed"),OR(H177="Accepted",H177="Not Needed")),"None",MID(IF(AND(I177&lt;&gt;"Accepted",I177&lt;&gt;"Not Needed"),", "&amp;I$1,"")&amp;IF(AND(H177&lt;&gt;"Accepted",H177&lt;&gt;"Not Needed"),", "&amp;H$1,""),3,400)),IF($Q177&gt;=Settings!$C$13,"None",MID(IF(AND(G177&lt;&gt;"Accepted",G177&lt;&gt;"Not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Foerster ES</t>
        </is>
      </c>
      <c r="C178" s="31" t="inlineStr">
        <is>
          <t>NES Elementary</t>
        </is>
      </c>
      <c r="D178" s="31" t="inlineStr">
        <is>
          <t>Not Yet Confirmed</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Confirmed",IF($E178="PTA",IF(AND(OR(I178="Accepted",I178="Not Needed"),OR(H178="Accepted",H178="Not Needed")),"Registered",IF(OR(OR(I178="Accepted",I178="Received",I178="Needs Correction"),OR(H178="Accepted",H178="Received",H178="Needs Correction")),"In Progress","Not Started")),IF($Q178&gt;=Settings!$C$13,"Legalized",IF($P178&gt;=Settings!$C$12,"Registered",IF($O178&gt;0,"In Progress","Not Started")))))))</f>
        <v/>
      </c>
      <c r="S178" s="32">
        <f>IF($B178="","",COUNTIF(G178:N178,"Received"))</f>
        <v/>
      </c>
      <c r="T178" s="32">
        <f>IF($B178="","",COUNTIF(G178:N178,"Needs Correction"))</f>
        <v/>
      </c>
      <c r="U178" s="33">
        <f>IF($B178="","",IF($D178&lt;&gt;"Yes","",IF($E178="PTA",IF(AND(OR(I178="Accepted",I178="Not Needed"),OR(H178="Accepted",H178="Not Needed")),"None",MID(IF(AND(I178&lt;&gt;"Accepted",I178&lt;&gt;"Not Needed"),", "&amp;I$1,"")&amp;IF(AND(H178&lt;&gt;"Accepted",H178&lt;&gt;"Not Needed"),", "&amp;H$1,""),3,400)),IF($Q178&gt;=Settings!$C$13,"None",MID(IF(AND(G178&lt;&gt;"Accepted",G178&lt;&gt;"Not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Fondern ES</t>
        </is>
      </c>
      <c r="C179" s="31" t="inlineStr">
        <is>
          <t>EAS Elementary</t>
        </is>
      </c>
      <c r="D179" s="31" t="inlineStr">
        <is>
          <t>Not Yet Confirmed</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Confirmed",IF($E179="PTA",IF(AND(OR(I179="Accepted",I179="Not Needed"),OR(H179="Accepted",H179="Not Needed")),"Registered",IF(OR(OR(I179="Accepted",I179="Received",I179="Needs Correction"),OR(H179="Accepted",H179="Received",H179="Needs Correction")),"In Progress","Not Started")),IF($Q179&gt;=Settings!$C$13,"Legalized",IF($P179&gt;=Settings!$C$12,"Registered",IF($O179&gt;0,"In Progress","Not Started")))))))</f>
        <v/>
      </c>
      <c r="S179" s="32">
        <f>IF($B179="","",COUNTIF(G179:N179,"Received"))</f>
        <v/>
      </c>
      <c r="T179" s="32">
        <f>IF($B179="","",COUNTIF(G179:N179,"Needs Correction"))</f>
        <v/>
      </c>
      <c r="U179" s="33">
        <f>IF($B179="","",IF($D179&lt;&gt;"Yes","",IF($E179="PTA",IF(AND(OR(I179="Accepted",I179="Not Needed"),OR(H179="Accepted",H179="Not Needed")),"None",MID(IF(AND(I179&lt;&gt;"Accepted",I179&lt;&gt;"Not Needed"),", "&amp;I$1,"")&amp;IF(AND(H179&lt;&gt;"Accepted",H179&lt;&gt;"Not Needed"),", "&amp;H$1,""),3,400)),IF($Q179&gt;=Settings!$C$13,"None",MID(IF(AND(G179&lt;&gt;"Accepted",G179&lt;&gt;"Not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Fondren MS</t>
        </is>
      </c>
      <c r="C180" s="31" t="inlineStr">
        <is>
          <t>NES Secondary</t>
        </is>
      </c>
      <c r="D180" s="31" t="inlineStr">
        <is>
          <t>Not Yet Confirmed</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Confirmed",IF($E180="PTA",IF(AND(OR(I180="Accepted",I180="Not Needed"),OR(H180="Accepted",H180="Not Needed")),"Registered",IF(OR(OR(I180="Accepted",I180="Received",I180="Needs Correction"),OR(H180="Accepted",H180="Received",H180="Needs Correction")),"In Progress","Not Started")),IF($Q180&gt;=Settings!$C$13,"Legalized",IF($P180&gt;=Settings!$C$12,"Registered",IF($O180&gt;0,"In Progress","Not Started")))))))</f>
        <v/>
      </c>
      <c r="S180" s="32">
        <f>IF($B180="","",COUNTIF(G180:N180,"Received"))</f>
        <v/>
      </c>
      <c r="T180" s="32">
        <f>IF($B180="","",COUNTIF(G180:N180,"Needs Correction"))</f>
        <v/>
      </c>
      <c r="U180" s="33">
        <f>IF($B180="","",IF($D180&lt;&gt;"Yes","",IF($E180="PTA",IF(AND(OR(I180="Accepted",I180="Not Needed"),OR(H180="Accepted",H180="Not Needed")),"None",MID(IF(AND(I180&lt;&gt;"Accepted",I180&lt;&gt;"Not Needed"),", "&amp;I$1,"")&amp;IF(AND(H180&lt;&gt;"Accepted",H180&lt;&gt;"Not Needed"),", "&amp;H$1,""),3,400)),IF($Q180&gt;=Settings!$C$13,"None",MID(IF(AND(G180&lt;&gt;"Accepted",G180&lt;&gt;"Not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Forest Brook MS</t>
        </is>
      </c>
      <c r="C181" s="31" t="inlineStr">
        <is>
          <t>NES Secondary</t>
        </is>
      </c>
      <c r="D181" s="31" t="inlineStr">
        <is>
          <t>Not Yet Confirmed</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Confirmed",IF($E181="PTA",IF(AND(OR(I181="Accepted",I181="Not Needed"),OR(H181="Accepted",H181="Not Needed")),"Registered",IF(OR(OR(I181="Accepted",I181="Received",I181="Needs Correction"),OR(H181="Accepted",H181="Received",H181="Needs Correction")),"In Progress","Not Started")),IF($Q181&gt;=Settings!$C$13,"Legalized",IF($P181&gt;=Settings!$C$12,"Registered",IF($O181&gt;0,"In Progress","Not Started")))))))</f>
        <v/>
      </c>
      <c r="S181" s="32">
        <f>IF($B181="","",COUNTIF(G181:N181,"Received"))</f>
        <v/>
      </c>
      <c r="T181" s="32">
        <f>IF($B181="","",COUNTIF(G181:N181,"Needs Correction"))</f>
        <v/>
      </c>
      <c r="U181" s="33">
        <f>IF($B181="","",IF($D181&lt;&gt;"Yes","",IF($E181="PTA",IF(AND(OR(I181="Accepted",I181="Not Needed"),OR(H181="Accepted",H181="Not Needed")),"None",MID(IF(AND(I181&lt;&gt;"Accepted",I181&lt;&gt;"Not Needed"),", "&amp;I$1,"")&amp;IF(AND(H181&lt;&gt;"Accepted",H181&lt;&gt;"Not Needed"),", "&amp;H$1,""),3,400)),IF($Q181&gt;=Settings!$C$13,"None",MID(IF(AND(G181&lt;&gt;"Accepted",G181&lt;&gt;"Not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Foster ES</t>
        </is>
      </c>
      <c r="C182" s="31" t="inlineStr">
        <is>
          <t>NES Elementary</t>
        </is>
      </c>
      <c r="D182" s="31" t="inlineStr">
        <is>
          <t>Not Yet Confirmed</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Confirmed",IF($E182="PTA",IF(AND(OR(I182="Accepted",I182="Not Needed"),OR(H182="Accepted",H182="Not Needed")),"Registered",IF(OR(OR(I182="Accepted",I182="Received",I182="Needs Correction"),OR(H182="Accepted",H182="Received",H182="Needs Correction")),"In Progress","Not Started")),IF($Q182&gt;=Settings!$C$13,"Legalized",IF($P182&gt;=Settings!$C$12,"Registered",IF($O182&gt;0,"In Progress","Not Started")))))))</f>
        <v/>
      </c>
      <c r="S182" s="32">
        <f>IF($B182="","",COUNTIF(G182:N182,"Received"))</f>
        <v/>
      </c>
      <c r="T182" s="32">
        <f>IF($B182="","",COUNTIF(G182:N182,"Needs Correction"))</f>
        <v/>
      </c>
      <c r="U182" s="33">
        <f>IF($B182="","",IF($D182&lt;&gt;"Yes","",IF($E182="PTA",IF(AND(OR(I182="Accepted",I182="Not Needed"),OR(H182="Accepted",H182="Not Needed")),"None",MID(IF(AND(I182&lt;&gt;"Accepted",I182&lt;&gt;"Not Needed"),", "&amp;I$1,"")&amp;IF(AND(H182&lt;&gt;"Accepted",H182&lt;&gt;"Not Needed"),", "&amp;H$1,""),3,400)),IF($Q182&gt;=Settings!$C$13,"None",MID(IF(AND(G182&lt;&gt;"Accepted",G182&lt;&gt;"Not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Frost ES</t>
        </is>
      </c>
      <c r="C183" s="31" t="inlineStr">
        <is>
          <t>NES Elementary</t>
        </is>
      </c>
      <c r="D183" s="31" t="inlineStr">
        <is>
          <t>Not Yet Confirmed</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Confirmed",IF($E183="PTA",IF(AND(OR(I183="Accepted",I183="Not Needed"),OR(H183="Accepted",H183="Not Needed")),"Registered",IF(OR(OR(I183="Accepted",I183="Received",I183="Needs Correction"),OR(H183="Accepted",H183="Received",H183="Needs Correction")),"In Progress","Not Started")),IF($Q183&gt;=Settings!$C$13,"Legalized",IF($P183&gt;=Settings!$C$12,"Registered",IF($O183&gt;0,"In Progress","Not Started")))))))</f>
        <v/>
      </c>
      <c r="S183" s="32">
        <f>IF($B183="","",COUNTIF(G183:N183,"Received"))</f>
        <v/>
      </c>
      <c r="T183" s="32">
        <f>IF($B183="","",COUNTIF(G183:N183,"Needs Correction"))</f>
        <v/>
      </c>
      <c r="U183" s="33">
        <f>IF($B183="","",IF($D183&lt;&gt;"Yes","",IF($E183="PTA",IF(AND(OR(I183="Accepted",I183="Not Needed"),OR(H183="Accepted",H183="Not Needed")),"None",MID(IF(AND(I183&lt;&gt;"Accepted",I183&lt;&gt;"Not Needed"),", "&amp;I$1,"")&amp;IF(AND(H183&lt;&gt;"Accepted",H183&lt;&gt;"Not Needed"),", "&amp;H$1,""),3,400)),IF($Q183&gt;=Settings!$C$13,"None",MID(IF(AND(G183&lt;&gt;"Accepted",G183&lt;&gt;"Not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Furr HS</t>
        </is>
      </c>
      <c r="C184" s="31" t="inlineStr">
        <is>
          <t>NES Secondary</t>
        </is>
      </c>
      <c r="D184" s="31" t="inlineStr">
        <is>
          <t>Not Yet Confirmed</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Confirmed",IF($E184="PTA",IF(AND(OR(I184="Accepted",I184="Not Needed"),OR(H184="Accepted",H184="Not Needed")),"Registered",IF(OR(OR(I184="Accepted",I184="Received",I184="Needs Correction"),OR(H184="Accepted",H184="Received",H184="Needs Correction")),"In Progress","Not Started")),IF($Q184&gt;=Settings!$C$13,"Legalized",IF($P184&gt;=Settings!$C$12,"Registered",IF($O184&gt;0,"In Progress","Not Started")))))))</f>
        <v/>
      </c>
      <c r="S184" s="32">
        <f>IF($B184="","",COUNTIF(G184:N184,"Received"))</f>
        <v/>
      </c>
      <c r="T184" s="32">
        <f>IF($B184="","",COUNTIF(G184:N184,"Needs Correction"))</f>
        <v/>
      </c>
      <c r="U184" s="33">
        <f>IF($B184="","",IF($D184&lt;&gt;"Yes","",IF($E184="PTA",IF(AND(OR(I184="Accepted",I184="Not Needed"),OR(H184="Accepted",H184="Not Needed")),"None",MID(IF(AND(I184&lt;&gt;"Accepted",I184&lt;&gt;"Not Needed"),", "&amp;I$1,"")&amp;IF(AND(H184&lt;&gt;"Accepted",H184&lt;&gt;"Not Needed"),", "&amp;H$1,""),3,400)),IF($Q184&gt;=Settings!$C$13,"None",MID(IF(AND(G184&lt;&gt;"Accepted",G184&lt;&gt;"Not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Garcia ES</t>
        </is>
      </c>
      <c r="C185" s="31" t="inlineStr">
        <is>
          <t>NES Elementary</t>
        </is>
      </c>
      <c r="D185" s="31" t="inlineStr">
        <is>
          <t>Not Yet Confirmed</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Confirmed",IF($E185="PTA",IF(AND(OR(I185="Accepted",I185="Not Needed"),OR(H185="Accepted",H185="Not Needed")),"Registered",IF(OR(OR(I185="Accepted",I185="Received",I185="Needs Correction"),OR(H185="Accepted",H185="Received",H185="Needs Correction")),"In Progress","Not Started")),IF($Q185&gt;=Settings!$C$13,"Legalized",IF($P185&gt;=Settings!$C$12,"Registered",IF($O185&gt;0,"In Progress","Not Started")))))))</f>
        <v/>
      </c>
      <c r="S185" s="32">
        <f>IF($B185="","",COUNTIF(G185:N185,"Received"))</f>
        <v/>
      </c>
      <c r="T185" s="32">
        <f>IF($B185="","",COUNTIF(G185:N185,"Needs Correction"))</f>
        <v/>
      </c>
      <c r="U185" s="33">
        <f>IF($B185="","",IF($D185&lt;&gt;"Yes","",IF($E185="PTA",IF(AND(OR(I185="Accepted",I185="Not Needed"),OR(H185="Accepted",H185="Not Needed")),"None",MID(IF(AND(I185&lt;&gt;"Accepted",I185&lt;&gt;"Not Needed"),", "&amp;I$1,"")&amp;IF(AND(H185&lt;&gt;"Accepted",H185&lt;&gt;"Not Needed"),", "&amp;H$1,""),3,400)),IF($Q185&gt;=Settings!$C$13,"None",MID(IF(AND(G185&lt;&gt;"Accepted",G185&lt;&gt;"Not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Gregg ES</t>
        </is>
      </c>
      <c r="C186" s="31" t="inlineStr">
        <is>
          <t>NES Elementary</t>
        </is>
      </c>
      <c r="D186" s="31" t="inlineStr">
        <is>
          <t>Not Yet Confirmed</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Confirmed",IF($E186="PTA",IF(AND(OR(I186="Accepted",I186="Not Needed"),OR(H186="Accepted",H186="Not Needed")),"Registered",IF(OR(OR(I186="Accepted",I186="Received",I186="Needs Correction"),OR(H186="Accepted",H186="Received",H186="Needs Correction")),"In Progress","Not Started")),IF($Q186&gt;=Settings!$C$13,"Legalized",IF($P186&gt;=Settings!$C$12,"Registered",IF($O186&gt;0,"In Progress","Not Started")))))))</f>
        <v/>
      </c>
      <c r="S186" s="32">
        <f>IF($B186="","",COUNTIF(G186:N186,"Received"))</f>
        <v/>
      </c>
      <c r="T186" s="32">
        <f>IF($B186="","",COUNTIF(G186:N186,"Needs Correction"))</f>
        <v/>
      </c>
      <c r="U186" s="33">
        <f>IF($B186="","",IF($D186&lt;&gt;"Yes","",IF($E186="PTA",IF(AND(OR(I186="Accepted",I186="Not Needed"),OR(H186="Accepted",H186="Not Needed")),"None",MID(IF(AND(I186&lt;&gt;"Accepted",I186&lt;&gt;"Not Needed"),", "&amp;I$1,"")&amp;IF(AND(H186&lt;&gt;"Accepted",H186&lt;&gt;"Not Needed"),", "&amp;H$1,""),3,400)),IF($Q186&gt;=Settings!$C$13,"None",MID(IF(AND(G186&lt;&gt;"Accepted",G186&lt;&gt;"Not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Gregory Lincoln ES</t>
        </is>
      </c>
      <c r="C187" s="31" t="inlineStr">
        <is>
          <t>NES Elementary</t>
        </is>
      </c>
      <c r="D187" s="31" t="inlineStr">
        <is>
          <t>Not Yet Confirmed</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Confirmed",IF($E187="PTA",IF(AND(OR(I187="Accepted",I187="Not Needed"),OR(H187="Accepted",H187="Not Needed")),"Registered",IF(OR(OR(I187="Accepted",I187="Received",I187="Needs Correction"),OR(H187="Accepted",H187="Received",H187="Needs Correction")),"In Progress","Not Started")),IF($Q187&gt;=Settings!$C$13,"Legalized",IF($P187&gt;=Settings!$C$12,"Registered",IF($O187&gt;0,"In Progress","Not Started")))))))</f>
        <v/>
      </c>
      <c r="S187" s="32">
        <f>IF($B187="","",COUNTIF(G187:N187,"Received"))</f>
        <v/>
      </c>
      <c r="T187" s="32">
        <f>IF($B187="","",COUNTIF(G187:N187,"Needs Correction"))</f>
        <v/>
      </c>
      <c r="U187" s="33">
        <f>IF($B187="","",IF($D187&lt;&gt;"Yes","",IF($E187="PTA",IF(AND(OR(I187="Accepted",I187="Not Needed"),OR(H187="Accepted",H187="Not Needed")),"None",MID(IF(AND(I187&lt;&gt;"Accepted",I187&lt;&gt;"Not Needed"),", "&amp;I$1,"")&amp;IF(AND(H187&lt;&gt;"Accepted",H187&lt;&gt;"Not Needed"),", "&amp;H$1,""),3,400)),IF($Q187&gt;=Settings!$C$13,"None",MID(IF(AND(G187&lt;&gt;"Accepted",G187&lt;&gt;"Not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Grissom ES</t>
        </is>
      </c>
      <c r="C188" s="31" t="inlineStr">
        <is>
          <t>NES Elementary</t>
        </is>
      </c>
      <c r="D188" s="31" t="inlineStr">
        <is>
          <t>Not Yet Confirmed</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Confirmed",IF($E188="PTA",IF(AND(OR(I188="Accepted",I188="Not Needed"),OR(H188="Accepted",H188="Not Needed")),"Registered",IF(OR(OR(I188="Accepted",I188="Received",I188="Needs Correction"),OR(H188="Accepted",H188="Received",H188="Needs Correction")),"In Progress","Not Started")),IF($Q188&gt;=Settings!$C$13,"Legalized",IF($P188&gt;=Settings!$C$12,"Registered",IF($O188&gt;0,"In Progress","Not Started")))))))</f>
        <v/>
      </c>
      <c r="S188" s="32">
        <f>IF($B188="","",COUNTIF(G188:N188,"Received"))</f>
        <v/>
      </c>
      <c r="T188" s="32">
        <f>IF($B188="","",COUNTIF(G188:N188,"Needs Correction"))</f>
        <v/>
      </c>
      <c r="U188" s="33">
        <f>IF($B188="","",IF($D188&lt;&gt;"Yes","",IF($E188="PTA",IF(AND(OR(I188="Accepted",I188="Not Needed"),OR(H188="Accepted",H188="Not Needed")),"None",MID(IF(AND(I188&lt;&gt;"Accepted",I188&lt;&gt;"Not Needed"),", "&amp;I$1,"")&amp;IF(AND(H188&lt;&gt;"Accepted",H188&lt;&gt;"Not Needed"),", "&amp;H$1,""),3,400)),IF($Q188&gt;=Settings!$C$13,"None",MID(IF(AND(G188&lt;&gt;"Accepted",G188&lt;&gt;"Not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Halpin ECC</t>
        </is>
      </c>
      <c r="C189" s="31" t="inlineStr">
        <is>
          <t>EAS Elementary</t>
        </is>
      </c>
      <c r="D189" s="31" t="inlineStr">
        <is>
          <t>Not Yet Confirmed</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Confirmed",IF($E189="PTA",IF(AND(OR(I189="Accepted",I189="Not Needed"),OR(H189="Accepted",H189="Not Needed")),"Registered",IF(OR(OR(I189="Accepted",I189="Received",I189="Needs Correction"),OR(H189="Accepted",H189="Received",H189="Needs Correction")),"In Progress","Not Started")),IF($Q189&gt;=Settings!$C$13,"Legalized",IF($P189&gt;=Settings!$C$12,"Registered",IF($O189&gt;0,"In Progress","Not Started")))))))</f>
        <v/>
      </c>
      <c r="S189" s="32">
        <f>IF($B189="","",COUNTIF(G189:N189,"Received"))</f>
        <v/>
      </c>
      <c r="T189" s="32">
        <f>IF($B189="","",COUNTIF(G189:N189,"Needs Correction"))</f>
        <v/>
      </c>
      <c r="U189" s="33">
        <f>IF($B189="","",IF($D189&lt;&gt;"Yes","",IF($E189="PTA",IF(AND(OR(I189="Accepted",I189="Not Needed"),OR(H189="Accepted",H189="Not Needed")),"None",MID(IF(AND(I189&lt;&gt;"Accepted",I189&lt;&gt;"Not Needed"),", "&amp;I$1,"")&amp;IF(AND(H189&lt;&gt;"Accepted",H189&lt;&gt;"Not Needed"),", "&amp;H$1,""),3,400)),IF($Q189&gt;=Settings!$C$13,"None",MID(IF(AND(G189&lt;&gt;"Accepted",G189&lt;&gt;"Not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Harper/Secondary DAEP</t>
        </is>
      </c>
      <c r="C190" s="31" t="inlineStr">
        <is>
          <t>Programs/Charters</t>
        </is>
      </c>
      <c r="D190" s="31" t="inlineStr">
        <is>
          <t>Not Yet Confirmed</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Confirmed",IF($E190="PTA",IF(AND(OR(I190="Accepted",I190="Not Needed"),OR(H190="Accepted",H190="Not Needed")),"Registered",IF(OR(OR(I190="Accepted",I190="Received",I190="Needs Correction"),OR(H190="Accepted",H190="Received",H190="Needs Correction")),"In Progress","Not Started")),IF($Q190&gt;=Settings!$C$13,"Legalized",IF($P190&gt;=Settings!$C$12,"Registered",IF($O190&gt;0,"In Progress","Not Started")))))))</f>
        <v/>
      </c>
      <c r="S190" s="32">
        <f>IF($B190="","",COUNTIF(G190:N190,"Received"))</f>
        <v/>
      </c>
      <c r="T190" s="32">
        <f>IF($B190="","",COUNTIF(G190:N190,"Needs Correction"))</f>
        <v/>
      </c>
      <c r="U190" s="33">
        <f>IF($B190="","",IF($D190&lt;&gt;"Yes","",IF($E190="PTA",IF(AND(OR(I190="Accepted",I190="Not Needed"),OR(H190="Accepted",H190="Not Needed")),"None",MID(IF(AND(I190&lt;&gt;"Accepted",I190&lt;&gt;"Not Needed"),", "&amp;I$1,"")&amp;IF(AND(H190&lt;&gt;"Accepted",H190&lt;&gt;"Not Needed"),", "&amp;H$1,""),3,400)),IF($Q190&gt;=Settings!$C$13,"None",MID(IF(AND(G190&lt;&gt;"Accepted",G190&lt;&gt;"Not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Harris, JR ES</t>
        </is>
      </c>
      <c r="C191" s="31" t="inlineStr">
        <is>
          <t>NES Elementary</t>
        </is>
      </c>
      <c r="D191" s="31" t="inlineStr">
        <is>
          <t>Not Yet Confirmed</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Confirmed",IF($E191="PTA",IF(AND(OR(I191="Accepted",I191="Not Needed"),OR(H191="Accepted",H191="Not Needed")),"Registered",IF(OR(OR(I191="Accepted",I191="Received",I191="Needs Correction"),OR(H191="Accepted",H191="Received",H191="Needs Correction")),"In Progress","Not Started")),IF($Q191&gt;=Settings!$C$13,"Legalized",IF($P191&gt;=Settings!$C$12,"Registered",IF($O191&gt;0,"In Progress","Not Started")))))))</f>
        <v/>
      </c>
      <c r="S191" s="32">
        <f>IF($B191="","",COUNTIF(G191:N191,"Received"))</f>
        <v/>
      </c>
      <c r="T191" s="32">
        <f>IF($B191="","",COUNTIF(G191:N191,"Needs Correction"))</f>
        <v/>
      </c>
      <c r="U191" s="33">
        <f>IF($B191="","",IF($D191&lt;&gt;"Yes","",IF($E191="PTA",IF(AND(OR(I191="Accepted",I191="Not Needed"),OR(H191="Accepted",H191="Not Needed")),"None",MID(IF(AND(I191&lt;&gt;"Accepted",I191&lt;&gt;"Not Needed"),", "&amp;I$1,"")&amp;IF(AND(H191&lt;&gt;"Accepted",H191&lt;&gt;"Not Needed"),", "&amp;H$1,""),3,400)),IF($Q191&gt;=Settings!$C$13,"None",MID(IF(AND(G191&lt;&gt;"Accepted",G191&lt;&gt;"Not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Hartman MS</t>
        </is>
      </c>
      <c r="C192" s="31" t="inlineStr">
        <is>
          <t>NES Secondary</t>
        </is>
      </c>
      <c r="D192" s="31" t="inlineStr">
        <is>
          <t>Not Yet Confirmed</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Confirmed",IF($E192="PTA",IF(AND(OR(I192="Accepted",I192="Not Needed"),OR(H192="Accepted",H192="Not Needed")),"Registered",IF(OR(OR(I192="Accepted",I192="Received",I192="Needs Correction"),OR(H192="Accepted",H192="Received",H192="Needs Correction")),"In Progress","Not Started")),IF($Q192&gt;=Settings!$C$13,"Legalized",IF($P192&gt;=Settings!$C$12,"Registered",IF($O192&gt;0,"In Progress","Not Started")))))))</f>
        <v/>
      </c>
      <c r="S192" s="32">
        <f>IF($B192="","",COUNTIF(G192:N192,"Received"))</f>
        <v/>
      </c>
      <c r="T192" s="32">
        <f>IF($B192="","",COUNTIF(G192:N192,"Needs Correction"))</f>
        <v/>
      </c>
      <c r="U192" s="33">
        <f>IF($B192="","",IF($D192&lt;&gt;"Yes","",IF($E192="PTA",IF(AND(OR(I192="Accepted",I192="Not Needed"),OR(H192="Accepted",H192="Not Needed")),"None",MID(IF(AND(I192&lt;&gt;"Accepted",I192&lt;&gt;"Not Needed"),", "&amp;I$1,"")&amp;IF(AND(H192&lt;&gt;"Accepted",H192&lt;&gt;"Not Needed"),", "&amp;H$1,""),3,400)),IF($Q192&gt;=Settings!$C$13,"None",MID(IF(AND(G192&lt;&gt;"Accepted",G192&lt;&gt;"Not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Henry MS</t>
        </is>
      </c>
      <c r="C193" s="31" t="inlineStr">
        <is>
          <t>NES Secondary</t>
        </is>
      </c>
      <c r="D193" s="31" t="inlineStr">
        <is>
          <t>Not Yet Confirmed</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Confirmed",IF($E193="PTA",IF(AND(OR(I193="Accepted",I193="Not Needed"),OR(H193="Accepted",H193="Not Needed")),"Registered",IF(OR(OR(I193="Accepted",I193="Received",I193="Needs Correction"),OR(H193="Accepted",H193="Received",H193="Needs Correction")),"In Progress","Not Started")),IF($Q193&gt;=Settings!$C$13,"Legalized",IF($P193&gt;=Settings!$C$12,"Registered",IF($O193&gt;0,"In Progress","Not Started")))))))</f>
        <v/>
      </c>
      <c r="S193" s="32">
        <f>IF($B193="","",COUNTIF(G193:N193,"Received"))</f>
        <v/>
      </c>
      <c r="T193" s="32">
        <f>IF($B193="","",COUNTIF(G193:N193,"Needs Correction"))</f>
        <v/>
      </c>
      <c r="U193" s="33">
        <f>IF($B193="","",IF($D193&lt;&gt;"Yes","",IF($E193="PTA",IF(AND(OR(I193="Accepted",I193="Not Needed"),OR(H193="Accepted",H193="Not Needed")),"None",MID(IF(AND(I193&lt;&gt;"Accepted",I193&lt;&gt;"Not Needed"),", "&amp;I$1,"")&amp;IF(AND(H193&lt;&gt;"Accepted",H193&lt;&gt;"Not Needed"),", "&amp;H$1,""),3,400)),IF($Q193&gt;=Settings!$C$13,"None",MID(IF(AND(G193&lt;&gt;"Accepted",G193&lt;&gt;"Not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Hobby ES (@Lawson MS)</t>
        </is>
      </c>
      <c r="C194" s="31" t="inlineStr">
        <is>
          <t>NES Elementary</t>
        </is>
      </c>
      <c r="D194" s="31" t="inlineStr">
        <is>
          <t>Not Yet Confirmed</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Confirmed",IF($E194="PTA",IF(AND(OR(I194="Accepted",I194="Not Needed"),OR(H194="Accepted",H194="Not Needed")),"Registered",IF(OR(OR(I194="Accepted",I194="Received",I194="Needs Correction"),OR(H194="Accepted",H194="Received",H194="Needs Correction")),"In Progress","Not Started")),IF($Q194&gt;=Settings!$C$13,"Legalized",IF($P194&gt;=Settings!$C$12,"Registered",IF($O194&gt;0,"In Progress","Not Started")))))))</f>
        <v/>
      </c>
      <c r="S194" s="32">
        <f>IF($B194="","",COUNTIF(G194:N194,"Received"))</f>
        <v/>
      </c>
      <c r="T194" s="32">
        <f>IF($B194="","",COUNTIF(G194:N194,"Needs Correction"))</f>
        <v/>
      </c>
      <c r="U194" s="33">
        <f>IF($B194="","",IF($D194&lt;&gt;"Yes","",IF($E194="PTA",IF(AND(OR(I194="Accepted",I194="Not Needed"),OR(H194="Accepted",H194="Not Needed")),"None",MID(IF(AND(I194&lt;&gt;"Accepted",I194&lt;&gt;"Not Needed"),", "&amp;I$1,"")&amp;IF(AND(H194&lt;&gt;"Accepted",H194&lt;&gt;"Not Needed"),", "&amp;H$1,""),3,400)),IF($Q194&gt;=Settings!$C$13,"None",MID(IF(AND(G194&lt;&gt;"Accepted",G194&lt;&gt;"Not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Holland MS</t>
        </is>
      </c>
      <c r="C195" s="31" t="inlineStr">
        <is>
          <t>NES Secondary</t>
        </is>
      </c>
      <c r="D195" s="31" t="inlineStr">
        <is>
          <t>Not Yet Confirmed</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Confirmed",IF($E195="PTA",IF(AND(OR(I195="Accepted",I195="Not Needed"),OR(H195="Accepted",H195="Not Needed")),"Registered",IF(OR(OR(I195="Accepted",I195="Received",I195="Needs Correction"),OR(H195="Accepted",H195="Received",H195="Needs Correction")),"In Progress","Not Started")),IF($Q195&gt;=Settings!$C$13,"Legalized",IF($P195&gt;=Settings!$C$12,"Registered",IF($O195&gt;0,"In Progress","Not Started")))))))</f>
        <v/>
      </c>
      <c r="S195" s="32">
        <f>IF($B195="","",COUNTIF(G195:N195,"Received"))</f>
        <v/>
      </c>
      <c r="T195" s="32">
        <f>IF($B195="","",COUNTIF(G195:N195,"Needs Correction"))</f>
        <v/>
      </c>
      <c r="U195" s="33">
        <f>IF($B195="","",IF($D195&lt;&gt;"Yes","",IF($E195="PTA",IF(AND(OR(I195="Accepted",I195="Not Needed"),OR(H195="Accepted",H195="Not Needed")),"None",MID(IF(AND(I195&lt;&gt;"Accepted",I195&lt;&gt;"Not Needed"),", "&amp;I$1,"")&amp;IF(AND(H195&lt;&gt;"Accepted",H195&lt;&gt;"Not Needed"),", "&amp;H$1,""),3,400)),IF($Q195&gt;=Settings!$C$13,"None",MID(IF(AND(G195&lt;&gt;"Accepted",G195&lt;&gt;"Not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Isaacs ES</t>
        </is>
      </c>
      <c r="C196" s="31" t="inlineStr">
        <is>
          <t>NES Elementary</t>
        </is>
      </c>
      <c r="D196" s="31" t="inlineStr">
        <is>
          <t>Not Yet Confirmed</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Confirmed",IF($E196="PTA",IF(AND(OR(I196="Accepted",I196="Not Needed"),OR(H196="Accepted",H196="Not Needed")),"Registered",IF(OR(OR(I196="Accepted",I196="Received",I196="Needs Correction"),OR(H196="Accepted",H196="Received",H196="Needs Correction")),"In Progress","Not Started")),IF($Q196&gt;=Settings!$C$13,"Legalized",IF($P196&gt;=Settings!$C$12,"Registered",IF($O196&gt;0,"In Progress","Not Started")))))))</f>
        <v/>
      </c>
      <c r="S196" s="32">
        <f>IF($B196="","",COUNTIF(G196:N196,"Received"))</f>
        <v/>
      </c>
      <c r="T196" s="32">
        <f>IF($B196="","",COUNTIF(G196:N196,"Needs Correction"))</f>
        <v/>
      </c>
      <c r="U196" s="33">
        <f>IF($B196="","",IF($D196&lt;&gt;"Yes","",IF($E196="PTA",IF(AND(OR(I196="Accepted",I196="Not Needed"),OR(H196="Accepted",H196="Not Needed")),"None",MID(IF(AND(I196&lt;&gt;"Accepted",I196&lt;&gt;"Not Needed"),", "&amp;I$1,"")&amp;IF(AND(H196&lt;&gt;"Accepted",H196&lt;&gt;"Not Needed"),", "&amp;H$1,""),3,400)),IF($Q196&gt;=Settings!$C$13,"None",MID(IF(AND(G196&lt;&gt;"Accepted",G196&lt;&gt;"Not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Janowski ES</t>
        </is>
      </c>
      <c r="C197" s="31" t="inlineStr">
        <is>
          <t>EAS Elementary</t>
        </is>
      </c>
      <c r="D197" s="31" t="inlineStr">
        <is>
          <t>Not Yet Confirmed</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Confirmed",IF($E197="PTA",IF(AND(OR(I197="Accepted",I197="Not Needed"),OR(H197="Accepted",H197="Not Needed")),"Registered",IF(OR(OR(I197="Accepted",I197="Received",I197="Needs Correction"),OR(H197="Accepted",H197="Received",H197="Needs Correction")),"In Progress","Not Started")),IF($Q197&gt;=Settings!$C$13,"Legalized",IF($P197&gt;=Settings!$C$12,"Registered",IF($O197&gt;0,"In Progress","Not Started")))))))</f>
        <v/>
      </c>
      <c r="S197" s="32">
        <f>IF($B197="","",COUNTIF(G197:N197,"Received"))</f>
        <v/>
      </c>
      <c r="T197" s="32">
        <f>IF($B197="","",COUNTIF(G197:N197,"Needs Correction"))</f>
        <v/>
      </c>
      <c r="U197" s="33">
        <f>IF($B197="","",IF($D197&lt;&gt;"Yes","",IF($E197="PTA",IF(AND(OR(I197="Accepted",I197="Not Needed"),OR(H197="Accepted",H197="Not Needed")),"None",MID(IF(AND(I197&lt;&gt;"Accepted",I197&lt;&gt;"Not Needed"),", "&amp;I$1,"")&amp;IF(AND(H197&lt;&gt;"Accepted",H197&lt;&gt;"Not Needed"),", "&amp;H$1,""),3,400)),IF($Q197&gt;=Settings!$C$13,"None",MID(IF(AND(G197&lt;&gt;"Accepted",G197&lt;&gt;"Not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Jefferson ES</t>
        </is>
      </c>
      <c r="C198" s="31" t="inlineStr">
        <is>
          <t>NES Elementary</t>
        </is>
      </c>
      <c r="D198" s="31" t="inlineStr">
        <is>
          <t>Not Yet Confirmed</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Confirmed",IF($E198="PTA",IF(AND(OR(I198="Accepted",I198="Not Needed"),OR(H198="Accepted",H198="Not Needed")),"Registered",IF(OR(OR(I198="Accepted",I198="Received",I198="Needs Correction"),OR(H198="Accepted",H198="Received",H198="Needs Correction")),"In Progress","Not Started")),IF($Q198&gt;=Settings!$C$13,"Legalized",IF($P198&gt;=Settings!$C$12,"Registered",IF($O198&gt;0,"In Progress","Not Started")))))))</f>
        <v/>
      </c>
      <c r="S198" s="32">
        <f>IF($B198="","",COUNTIF(G198:N198,"Received"))</f>
        <v/>
      </c>
      <c r="T198" s="32">
        <f>IF($B198="","",COUNTIF(G198:N198,"Needs Correction"))</f>
        <v/>
      </c>
      <c r="U198" s="33">
        <f>IF($B198="","",IF($D198&lt;&gt;"Yes","",IF($E198="PTA",IF(AND(OR(I198="Accepted",I198="Not Needed"),OR(H198="Accepted",H198="Not Needed")),"None",MID(IF(AND(I198&lt;&gt;"Accepted",I198&lt;&gt;"Not Needed"),", "&amp;I$1,"")&amp;IF(AND(H198&lt;&gt;"Accepted",H198&lt;&gt;"Not Needed"),", "&amp;H$1,""),3,400)),IF($Q198&gt;=Settings!$C$13,"None",MID(IF(AND(G198&lt;&gt;"Accepted",G198&lt;&gt;"Not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JJAEP</t>
        </is>
      </c>
      <c r="C199" s="31" t="inlineStr">
        <is>
          <t>Programs/Charters</t>
        </is>
      </c>
      <c r="D199" s="31" t="inlineStr">
        <is>
          <t>Not Yet Confirmed</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Confirmed",IF($E199="PTA",IF(AND(OR(I199="Accepted",I199="Not Needed"),OR(H199="Accepted",H199="Not Needed")),"Registered",IF(OR(OR(I199="Accepted",I199="Received",I199="Needs Correction"),OR(H199="Accepted",H199="Received",H199="Needs Correction")),"In Progress","Not Started")),IF($Q199&gt;=Settings!$C$13,"Legalized",IF($P199&gt;=Settings!$C$12,"Registered",IF($O199&gt;0,"In Progress","Not Started")))))))</f>
        <v/>
      </c>
      <c r="S199" s="32">
        <f>IF($B199="","",COUNTIF(G199:N199,"Received"))</f>
        <v/>
      </c>
      <c r="T199" s="32">
        <f>IF($B199="","",COUNTIF(G199:N199,"Needs Correction"))</f>
        <v/>
      </c>
      <c r="U199" s="33">
        <f>IF($B199="","",IF($D199&lt;&gt;"Yes","",IF($E199="PTA",IF(AND(OR(I199="Accepted",I199="Not Needed"),OR(H199="Accepted",H199="Not Needed")),"None",MID(IF(AND(I199&lt;&gt;"Accepted",I199&lt;&gt;"Not Needed"),", "&amp;I$1,"")&amp;IF(AND(H199&lt;&gt;"Accepted",H199&lt;&gt;"Not Needed"),", "&amp;H$1,""),3,400)),IF($Q199&gt;=Settings!$C$13,"None",MID(IF(AND(G199&lt;&gt;"Accepted",G199&lt;&gt;"Not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Jones Futures HS</t>
        </is>
      </c>
      <c r="C200" s="31" t="inlineStr">
        <is>
          <t>EAS Secondary</t>
        </is>
      </c>
      <c r="D200" s="31" t="inlineStr">
        <is>
          <t>Not Yet Confirmed</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Confirmed",IF($E200="PTA",IF(AND(OR(I200="Accepted",I200="Not Needed"),OR(H200="Accepted",H200="Not Needed")),"Registered",IF(OR(OR(I200="Accepted",I200="Received",I200="Needs Correction"),OR(H200="Accepted",H200="Received",H200="Needs Correction")),"In Progress","Not Started")),IF($Q200&gt;=Settings!$C$13,"Legalized",IF($P200&gt;=Settings!$C$12,"Registered",IF($O200&gt;0,"In Progress","Not Started")))))))</f>
        <v/>
      </c>
      <c r="S200" s="32">
        <f>IF($B200="","",COUNTIF(G200:N200,"Received"))</f>
        <v/>
      </c>
      <c r="T200" s="32">
        <f>IF($B200="","",COUNTIF(G200:N200,"Needs Correction"))</f>
        <v/>
      </c>
      <c r="U200" s="33">
        <f>IF($B200="","",IF($D200&lt;&gt;"Yes","",IF($E200="PTA",IF(AND(OR(I200="Accepted",I200="Not Needed"),OR(H200="Accepted",H200="Not Needed")),"None",MID(IF(AND(I200&lt;&gt;"Accepted",I200&lt;&gt;"Not Needed"),", "&amp;I$1,"")&amp;IF(AND(H200&lt;&gt;"Accepted",H200&lt;&gt;"Not Needed"),", "&amp;H$1,""),3,400)),IF($Q200&gt;=Settings!$C$13,"None",MID(IF(AND(G200&lt;&gt;"Accepted",G200&lt;&gt;"Not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Kashmere Gardens ES</t>
        </is>
      </c>
      <c r="C201" s="31" t="inlineStr">
        <is>
          <t>NES Elementary</t>
        </is>
      </c>
      <c r="D201" s="31" t="inlineStr">
        <is>
          <t>Not Yet Confirmed</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Confirmed",IF($E201="PTA",IF(AND(OR(I201="Accepted",I201="Not Needed"),OR(H201="Accepted",H201="Not Needed")),"Registered",IF(OR(OR(I201="Accepted",I201="Received",I201="Needs Correction"),OR(H201="Accepted",H201="Received",H201="Needs Correction")),"In Progress","Not Started")),IF($Q201&gt;=Settings!$C$13,"Legalized",IF($P201&gt;=Settings!$C$12,"Registered",IF($O201&gt;0,"In Progress","Not Started")))))))</f>
        <v/>
      </c>
      <c r="S201" s="32">
        <f>IF($B201="","",COUNTIF(G201:N201,"Received"))</f>
        <v/>
      </c>
      <c r="T201" s="32">
        <f>IF($B201="","",COUNTIF(G201:N201,"Needs Correction"))</f>
        <v/>
      </c>
      <c r="U201" s="33">
        <f>IF($B201="","",IF($D201&lt;&gt;"Yes","",IF($E201="PTA",IF(AND(OR(I201="Accepted",I201="Not Needed"),OR(H201="Accepted",H201="Not Needed")),"None",MID(IF(AND(I201&lt;&gt;"Accepted",I201&lt;&gt;"Not Needed"),", "&amp;I$1,"")&amp;IF(AND(H201&lt;&gt;"Accepted",H201&lt;&gt;"Not Needed"),", "&amp;H$1,""),3,400)),IF($Q201&gt;=Settings!$C$13,"None",MID(IF(AND(G201&lt;&gt;"Accepted",G201&lt;&gt;"Not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Kashmere HS</t>
        </is>
      </c>
      <c r="C202" s="31" t="inlineStr">
        <is>
          <t>NES Secondary</t>
        </is>
      </c>
      <c r="D202" s="31" t="inlineStr">
        <is>
          <t>Not Yet Confirmed</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Confirmed",IF($E202="PTA",IF(AND(OR(I202="Accepted",I202="Not Needed"),OR(H202="Accepted",H202="Not Needed")),"Registered",IF(OR(OR(I202="Accepted",I202="Received",I202="Needs Correction"),OR(H202="Accepted",H202="Received",H202="Needs Correction")),"In Progress","Not Started")),IF($Q202&gt;=Settings!$C$13,"Legalized",IF($P202&gt;=Settings!$C$12,"Registered",IF($O202&gt;0,"In Progress","Not Started")))))))</f>
        <v/>
      </c>
      <c r="S202" s="32">
        <f>IF($B202="","",COUNTIF(G202:N202,"Received"))</f>
        <v/>
      </c>
      <c r="T202" s="32">
        <f>IF($B202="","",COUNTIF(G202:N202,"Needs Correction"))</f>
        <v/>
      </c>
      <c r="U202" s="33">
        <f>IF($B202="","",IF($D202&lt;&gt;"Yes","",IF($E202="PTA",IF(AND(OR(I202="Accepted",I202="Not Needed"),OR(H202="Accepted",H202="Not Needed")),"None",MID(IF(AND(I202&lt;&gt;"Accepted",I202&lt;&gt;"Not Needed"),", "&amp;I$1,"")&amp;IF(AND(H202&lt;&gt;"Accepted",H202&lt;&gt;"Not Needed"),", "&amp;H$1,""),3,400)),IF($Q202&gt;=Settings!$C$13,"None",MID(IF(AND(G202&lt;&gt;"Accepted",G202&lt;&gt;"Not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Kelso ES</t>
        </is>
      </c>
      <c r="C203" s="31" t="inlineStr">
        <is>
          <t>NES Elementary</t>
        </is>
      </c>
      <c r="D203" s="31" t="inlineStr">
        <is>
          <t>Not Yet Confirmed</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Confirmed",IF($E203="PTA",IF(AND(OR(I203="Accepted",I203="Not Needed"),OR(H203="Accepted",H203="Not Needed")),"Registered",IF(OR(OR(I203="Accepted",I203="Received",I203="Needs Correction"),OR(H203="Accepted",H203="Received",H203="Needs Correction")),"In Progress","Not Started")),IF($Q203&gt;=Settings!$C$13,"Legalized",IF($P203&gt;=Settings!$C$12,"Registered",IF($O203&gt;0,"In Progress","Not Started")))))))</f>
        <v/>
      </c>
      <c r="S203" s="32">
        <f>IF($B203="","",COUNTIF(G203:N203,"Received"))</f>
        <v/>
      </c>
      <c r="T203" s="32">
        <f>IF($B203="","",COUNTIF(G203:N203,"Needs Correction"))</f>
        <v/>
      </c>
      <c r="U203" s="33">
        <f>IF($B203="","",IF($D203&lt;&gt;"Yes","",IF($E203="PTA",IF(AND(OR(I203="Accepted",I203="Not Needed"),OR(H203="Accepted",H203="Not Needed")),"None",MID(IF(AND(I203&lt;&gt;"Accepted",I203&lt;&gt;"Not Needed"),", "&amp;I$1,"")&amp;IF(AND(H203&lt;&gt;"Accepted",H203&lt;&gt;"Not Needed"),", "&amp;H$1,""),3,400)),IF($Q203&gt;=Settings!$C$13,"None",MID(IF(AND(G203&lt;&gt;"Accepted",G203&lt;&gt;"Not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Key MS</t>
        </is>
      </c>
      <c r="C204" s="31" t="inlineStr">
        <is>
          <t>NES Secondary</t>
        </is>
      </c>
      <c r="D204" s="31" t="inlineStr">
        <is>
          <t>Not Yet Confirmed</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Confirmed",IF($E204="PTA",IF(AND(OR(I204="Accepted",I204="Not Needed"),OR(H204="Accepted",H204="Not Needed")),"Registered",IF(OR(OR(I204="Accepted",I204="Received",I204="Needs Correction"),OR(H204="Accepted",H204="Received",H204="Needs Correction")),"In Progress","Not Started")),IF($Q204&gt;=Settings!$C$13,"Legalized",IF($P204&gt;=Settings!$C$12,"Registered",IF($O204&gt;0,"In Progress","Not Started")))))))</f>
        <v/>
      </c>
      <c r="S204" s="32">
        <f>IF($B204="","",COUNTIF(G204:N204,"Received"))</f>
        <v/>
      </c>
      <c r="T204" s="32">
        <f>IF($B204="","",COUNTIF(G204:N204,"Needs Correction"))</f>
        <v/>
      </c>
      <c r="U204" s="33">
        <f>IF($B204="","",IF($D204&lt;&gt;"Yes","",IF($E204="PTA",IF(AND(OR(I204="Accepted",I204="Not Needed"),OR(H204="Accepted",H204="Not Needed")),"None",MID(IF(AND(I204&lt;&gt;"Accepted",I204&lt;&gt;"Not Needed"),", "&amp;I$1,"")&amp;IF(AND(H204&lt;&gt;"Accepted",H204&lt;&gt;"Not Needed"),", "&amp;H$1,""),3,400)),IF($Q204&gt;=Settings!$C$13,"None",MID(IF(AND(G204&lt;&gt;"Accepted",G204&lt;&gt;"Not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Law &amp; Justice HS</t>
        </is>
      </c>
      <c r="C205" s="31" t="inlineStr">
        <is>
          <t>EAS Secondary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Confirmed",IF($E205="PTA",IF(AND(OR(I205="Accepted",I205="Not Needed"),OR(H205="Accepted",H205="Not Needed")),"Registered",IF(OR(OR(I205="Accepted",I205="Received",I205="Needs Correction"),OR(H205="Accepted",H205="Received",H205="Needs Correction")),"In Progress","Not Started")),IF($Q205&gt;=Settings!$C$13,"Legalized",IF($P205&gt;=Settings!$C$12,"Registered",IF($O205&gt;0,"In Progress","Not Started")))))))</f>
        <v/>
      </c>
      <c r="S205" s="32">
        <f>IF($B205="","",COUNTIF(G205:N205,"Received"))</f>
        <v/>
      </c>
      <c r="T205" s="32">
        <f>IF($B205="","",COUNTIF(G205:N205,"Needs Correction"))</f>
        <v/>
      </c>
      <c r="U205" s="33">
        <f>IF($B205="","",IF($D205&lt;&gt;"Yes","",IF($E205="PTA",IF(AND(OR(I205="Accepted",I205="Not Needed"),OR(H205="Accepted",H205="Not Needed")),"None",MID(IF(AND(I205&lt;&gt;"Accepted",I205&lt;&gt;"Not Needed"),", "&amp;I$1,"")&amp;IF(AND(H205&lt;&gt;"Accepted",H205&lt;&gt;"Not Needed"),", "&amp;H$1,""),3,400)),IF($Q205&gt;=Settings!$C$13,"None",MID(IF(AND(G205&lt;&gt;"Accepted",G205&lt;&gt;"Not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Law ES</t>
        </is>
      </c>
      <c r="C206" s="31" t="inlineStr">
        <is>
          <t>NES Elementary</t>
        </is>
      </c>
      <c r="D206" s="31" t="inlineStr">
        <is>
          <t>Not Yet Confirmed</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Confirmed",IF($E206="PTA",IF(AND(OR(I206="Accepted",I206="Not Needed"),OR(H206="Accepted",H206="Not Needed")),"Registered",IF(OR(OR(I206="Accepted",I206="Received",I206="Needs Correction"),OR(H206="Accepted",H206="Received",H206="Needs Correction")),"In Progress","Not Started")),IF($Q206&gt;=Settings!$C$13,"Legalized",IF($P206&gt;=Settings!$C$12,"Registered",IF($O206&gt;0,"In Progress","Not Started")))))))</f>
        <v/>
      </c>
      <c r="S206" s="32">
        <f>IF($B206="","",COUNTIF(G206:N206,"Received"))</f>
        <v/>
      </c>
      <c r="T206" s="32">
        <f>IF($B206="","",COUNTIF(G206:N206,"Needs Correction"))</f>
        <v/>
      </c>
      <c r="U206" s="33">
        <f>IF($B206="","",IF($D206&lt;&gt;"Yes","",IF($E206="PTA",IF(AND(OR(I206="Accepted",I206="Not Needed"),OR(H206="Accepted",H206="Not Needed")),"None",MID(IF(AND(I206&lt;&gt;"Accepted",I206&lt;&gt;"Not Needed"),", "&amp;I$1,"")&amp;IF(AND(H206&lt;&gt;"Accepted",H206&lt;&gt;"Not Needed"),", "&amp;H$1,""),3,400)),IF($Q206&gt;=Settings!$C$13,"None",MID(IF(AND(G206&lt;&gt;"Accepted",G206&lt;&gt;"Not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Lawson MS</t>
        </is>
      </c>
      <c r="C207" s="31" t="inlineStr">
        <is>
          <t>NES Secondary</t>
        </is>
      </c>
      <c r="D207" s="31" t="inlineStr">
        <is>
          <t>Not Yet Confirmed</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Confirmed",IF($E207="PTA",IF(AND(OR(I207="Accepted",I207="Not Needed"),OR(H207="Accepted",H207="Not Needed")),"Registered",IF(OR(OR(I207="Accepted",I207="Received",I207="Needs Correction"),OR(H207="Accepted",H207="Received",H207="Needs Correction")),"In Progress","Not Started")),IF($Q207&gt;=Settings!$C$13,"Legalized",IF($P207&gt;=Settings!$C$12,"Registered",IF($O207&gt;0,"In Progress","Not Started")))))))</f>
        <v/>
      </c>
      <c r="S207" s="32">
        <f>IF($B207="","",COUNTIF(G207:N207,"Received"))</f>
        <v/>
      </c>
      <c r="T207" s="32">
        <f>IF($B207="","",COUNTIF(G207:N207,"Needs Correction"))</f>
        <v/>
      </c>
      <c r="U207" s="33">
        <f>IF($B207="","",IF($D207&lt;&gt;"Yes","",IF($E207="PTA",IF(AND(OR(I207="Accepted",I207="Not Needed"),OR(H207="Accepted",H207="Not Needed")),"None",MID(IF(AND(I207&lt;&gt;"Accepted",I207&lt;&gt;"Not Needed"),", "&amp;I$1,"")&amp;IF(AND(H207&lt;&gt;"Accepted",H207&lt;&gt;"Not Needed"),", "&amp;H$1,""),3,400)),IF($Q207&gt;=Settings!$C$13,"None",MID(IF(AND(G207&lt;&gt;"Accepted",G207&lt;&gt;"Not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Lewis ES</t>
        </is>
      </c>
      <c r="C208" s="31" t="inlineStr">
        <is>
          <t>NES Elementary</t>
        </is>
      </c>
      <c r="D208" s="31" t="inlineStr">
        <is>
          <t>Not Yet Confirmed</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Confirmed",IF($E208="PTA",IF(AND(OR(I208="Accepted",I208="Not Needed"),OR(H208="Accepted",H208="Not Needed")),"Registered",IF(OR(OR(I208="Accepted",I208="Received",I208="Needs Correction"),OR(H208="Accepted",H208="Received",H208="Needs Correction")),"In Progress","Not Started")),IF($Q208&gt;=Settings!$C$13,"Legalized",IF($P208&gt;=Settings!$C$12,"Registered",IF($O208&gt;0,"In Progress","Not Started")))))))</f>
        <v/>
      </c>
      <c r="S208" s="32">
        <f>IF($B208="","",COUNTIF(G208:N208,"Received"))</f>
        <v/>
      </c>
      <c r="T208" s="32">
        <f>IF($B208="","",COUNTIF(G208:N208,"Needs Correction"))</f>
        <v/>
      </c>
      <c r="U208" s="33">
        <f>IF($B208="","",IF($D208&lt;&gt;"Yes","",IF($E208="PTA",IF(AND(OR(I208="Accepted",I208="Not Needed"),OR(H208="Accepted",H208="Not Needed")),"None",MID(IF(AND(I208&lt;&gt;"Accepted",I208&lt;&gt;"Not Needed"),", "&amp;I$1,"")&amp;IF(AND(H208&lt;&gt;"Accepted",H208&lt;&gt;"Not Needed"),", "&amp;H$1,""),3,400)),IF($Q208&gt;=Settings!$C$13,"None",MID(IF(AND(G208&lt;&gt;"Accepted",G208&lt;&gt;"Not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Long Acad</t>
        </is>
      </c>
      <c r="C209" s="31" t="inlineStr">
        <is>
          <t>NES Secondary</t>
        </is>
      </c>
      <c r="D209" s="31" t="inlineStr">
        <is>
          <t>Not Yet Confirmed</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Confirmed",IF($E209="PTA",IF(AND(OR(I209="Accepted",I209="Not Needed"),OR(H209="Accepted",H209="Not Needed")),"Registered",IF(OR(OR(I209="Accepted",I209="Received",I209="Needs Correction"),OR(H209="Accepted",H209="Received",H209="Needs Correction")),"In Progress","Not Started")),IF($Q209&gt;=Settings!$C$13,"Legalized",IF($P209&gt;=Settings!$C$12,"Registered",IF($O209&gt;0,"In Progress","Not Started")))))))</f>
        <v/>
      </c>
      <c r="S209" s="32">
        <f>IF($B209="","",COUNTIF(G209:N209,"Received"))</f>
        <v/>
      </c>
      <c r="T209" s="32">
        <f>IF($B209="","",COUNTIF(G209:N209,"Needs Correction"))</f>
        <v/>
      </c>
      <c r="U209" s="33">
        <f>IF($B209="","",IF($D209&lt;&gt;"Yes","",IF($E209="PTA",IF(AND(OR(I209="Accepted",I209="Not Needed"),OR(H209="Accepted",H209="Not Needed")),"None",MID(IF(AND(I209&lt;&gt;"Accepted",I209&lt;&gt;"Not Needed"),", "&amp;I$1,"")&amp;IF(AND(H209&lt;&gt;"Accepted",H209&lt;&gt;"Not Needed"),", "&amp;H$1,""),3,400)),IF($Q209&gt;=Settings!$C$13,"None",MID(IF(AND(G209&lt;&gt;"Accepted",G209&lt;&gt;"Not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Looscan ES</t>
        </is>
      </c>
      <c r="C210" s="31" t="inlineStr">
        <is>
          <t>NES Elementary</t>
        </is>
      </c>
      <c r="D210" s="31" t="inlineStr">
        <is>
          <t>Not Yet Confirmed</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Confirmed",IF($E210="PTA",IF(AND(OR(I210="Accepted",I210="Not Needed"),OR(H210="Accepted",H210="Not Needed")),"Registered",IF(OR(OR(I210="Accepted",I210="Received",I210="Needs Correction"),OR(H210="Accepted",H210="Received",H210="Needs Correction")),"In Progress","Not Started")),IF($Q210&gt;=Settings!$C$13,"Legalized",IF($P210&gt;=Settings!$C$12,"Registered",IF($O210&gt;0,"In Progress","Not Started")))))))</f>
        <v/>
      </c>
      <c r="S210" s="32">
        <f>IF($B210="","",COUNTIF(G210:N210,"Received"))</f>
        <v/>
      </c>
      <c r="T210" s="32">
        <f>IF($B210="","",COUNTIF(G210:N210,"Needs Correction"))</f>
        <v/>
      </c>
      <c r="U210" s="33">
        <f>IF($B210="","",IF($D210&lt;&gt;"Yes","",IF($E210="PTA",IF(AND(OR(I210="Accepted",I210="Not Needed"),OR(H210="Accepted",H210="Not Needed")),"None",MID(IF(AND(I210&lt;&gt;"Accepted",I210&lt;&gt;"Not Needed"),", "&amp;I$1,"")&amp;IF(AND(H210&lt;&gt;"Accepted",H210&lt;&gt;"Not Needed"),", "&amp;H$1,""),3,400)),IF($Q210&gt;=Settings!$C$13,"None",MID(IF(AND(G210&lt;&gt;"Accepted",G210&lt;&gt;"Not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Mading ES</t>
        </is>
      </c>
      <c r="C211" s="31" t="inlineStr">
        <is>
          <t>NES Elementary</t>
        </is>
      </c>
      <c r="D211" s="31" t="inlineStr">
        <is>
          <t>Not Yet Confirmed</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Confirmed",IF($E211="PTA",IF(AND(OR(I211="Accepted",I211="Not Needed"),OR(H211="Accepted",H211="Not Needed")),"Registered",IF(OR(OR(I211="Accepted",I211="Received",I211="Needs Correction"),OR(H211="Accepted",H211="Received",H211="Needs Correction")),"In Progress","Not Started")),IF($Q211&gt;=Settings!$C$13,"Legalized",IF($P211&gt;=Settings!$C$12,"Registered",IF($O211&gt;0,"In Progress","Not Started")))))))</f>
        <v/>
      </c>
      <c r="S211" s="32">
        <f>IF($B211="","",COUNTIF(G211:N211,"Received"))</f>
        <v/>
      </c>
      <c r="T211" s="32">
        <f>IF($B211="","",COUNTIF(G211:N211,"Needs Correction"))</f>
        <v/>
      </c>
      <c r="U211" s="33">
        <f>IF($B211="","",IF($D211&lt;&gt;"Yes","",IF($E211="PTA",IF(AND(OR(I211="Accepted",I211="Not Needed"),OR(H211="Accepted",H211="Not Needed")),"None",MID(IF(AND(I211&lt;&gt;"Accepted",I211&lt;&gt;"Not Needed"),", "&amp;I$1,"")&amp;IF(AND(H211&lt;&gt;"Accepted",H211&lt;&gt;"Not Needed"),", "&amp;H$1,""),3,400)),IF($Q211&gt;=Settings!$C$13,"None",MID(IF(AND(G211&lt;&gt;"Accepted",G211&lt;&gt;"Not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Madison HS</t>
        </is>
      </c>
      <c r="C212" s="31" t="inlineStr">
        <is>
          <t>NES Secondary</t>
        </is>
      </c>
      <c r="D212" s="31" t="inlineStr">
        <is>
          <t>Not Yet Confirmed</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Confirmed",IF($E212="PTA",IF(AND(OR(I212="Accepted",I212="Not Needed"),OR(H212="Accepted",H212="Not Needed")),"Registered",IF(OR(OR(I212="Accepted",I212="Received",I212="Needs Correction"),OR(H212="Accepted",H212="Received",H212="Needs Correction")),"In Progress","Not Started")),IF($Q212&gt;=Settings!$C$13,"Legalized",IF($P212&gt;=Settings!$C$12,"Registered",IF($O212&gt;0,"In Progress","Not Started")))))))</f>
        <v/>
      </c>
      <c r="S212" s="32">
        <f>IF($B212="","",COUNTIF(G212:N212,"Received"))</f>
        <v/>
      </c>
      <c r="T212" s="32">
        <f>IF($B212="","",COUNTIF(G212:N212,"Needs Correction"))</f>
        <v/>
      </c>
      <c r="U212" s="33">
        <f>IF($B212="","",IF($D212&lt;&gt;"Yes","",IF($E212="PTA",IF(AND(OR(I212="Accepted",I212="Not Needed"),OR(H212="Accepted",H212="Not Needed")),"None",MID(IF(AND(I212&lt;&gt;"Accepted",I212&lt;&gt;"Not Needed"),", "&amp;I$1,"")&amp;IF(AND(H212&lt;&gt;"Accepted",H212&lt;&gt;"Not Needed"),", "&amp;H$1,""),3,400)),IF($Q212&gt;=Settings!$C$13,"None",MID(IF(AND(G212&lt;&gt;"Accepted",G212&lt;&gt;"Not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Marshall ES</t>
        </is>
      </c>
      <c r="C213" s="31" t="inlineStr">
        <is>
          <t>NES Elementary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Confirmed",IF($E213="PTA",IF(AND(OR(I213="Accepted",I213="Not Needed"),OR(H213="Accepted",H213="Not Needed")),"Registered",IF(OR(OR(I213="Accepted",I213="Received",I213="Needs Correction"),OR(H213="Accepted",H213="Received",H213="Needs Correction")),"In Progress","Not Started")),IF($Q213&gt;=Settings!$C$13,"Legalized",IF($P213&gt;=Settings!$C$12,"Registered",IF($O213&gt;0,"In Progress","Not Started")))))))</f>
        <v/>
      </c>
      <c r="S213" s="32">
        <f>IF($B213="","",COUNTIF(G213:N213,"Received"))</f>
        <v/>
      </c>
      <c r="T213" s="32">
        <f>IF($B213="","",COUNTIF(G213:N213,"Needs Correction"))</f>
        <v/>
      </c>
      <c r="U213" s="33">
        <f>IF($B213="","",IF($D213&lt;&gt;"Yes","",IF($E213="PTA",IF(AND(OR(I213="Accepted",I213="Not Needed"),OR(H213="Accepted",H213="Not Needed")),"None",MID(IF(AND(I213&lt;&gt;"Accepted",I213&lt;&gt;"Not Needed"),", "&amp;I$1,"")&amp;IF(AND(H213&lt;&gt;"Accepted",H213&lt;&gt;"Not Needed"),", "&amp;H$1,""),3,400)),IF($Q213&gt;=Settings!$C$13,"None",MID(IF(AND(G213&lt;&gt;"Accepted",G213&lt;&gt;"Not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Marshall MS</t>
        </is>
      </c>
      <c r="C214" s="31" t="inlineStr">
        <is>
          <t>NES Secondary</t>
        </is>
      </c>
      <c r="D214" s="31" t="inlineStr">
        <is>
          <t>Not Yet Confirmed</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Confirmed",IF($E214="PTA",IF(AND(OR(I214="Accepted",I214="Not Needed"),OR(H214="Accepted",H214="Not Needed")),"Registered",IF(OR(OR(I214="Accepted",I214="Received",I214="Needs Correction"),OR(H214="Accepted",H214="Received",H214="Needs Correction")),"In Progress","Not Started")),IF($Q214&gt;=Settings!$C$13,"Legalized",IF($P214&gt;=Settings!$C$12,"Registered",IF($O214&gt;0,"In Progress","Not Started")))))))</f>
        <v/>
      </c>
      <c r="S214" s="32">
        <f>IF($B214="","",COUNTIF(G214:N214,"Received"))</f>
        <v/>
      </c>
      <c r="T214" s="32">
        <f>IF($B214="","",COUNTIF(G214:N214,"Needs Correction"))</f>
        <v/>
      </c>
      <c r="U214" s="33">
        <f>IF($B214="","",IF($D214&lt;&gt;"Yes","",IF($E214="PTA",IF(AND(OR(I214="Accepted",I214="Not Needed"),OR(H214="Accepted",H214="Not Needed")),"None",MID(IF(AND(I214&lt;&gt;"Accepted",I214&lt;&gt;"Not Needed"),", "&amp;I$1,"")&amp;IF(AND(H214&lt;&gt;"Accepted",H214&lt;&gt;"Not Needed"),", "&amp;H$1,""),3,400)),IF($Q214&gt;=Settings!$C$13,"None",MID(IF(AND(G214&lt;&gt;"Accepted",G214&lt;&gt;"Not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Martinez, C. ES</t>
        </is>
      </c>
      <c r="C215" s="31" t="inlineStr">
        <is>
          <t>NES Elementary</t>
        </is>
      </c>
      <c r="D215" s="31" t="inlineStr">
        <is>
          <t>Not Yet Confirmed</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Confirmed",IF($E215="PTA",IF(AND(OR(I215="Accepted",I215="Not Needed"),OR(H215="Accepted",H215="Not Needed")),"Registered",IF(OR(OR(I215="Accepted",I215="Received",I215="Needs Correction"),OR(H215="Accepted",H215="Received",H215="Needs Correction")),"In Progress","Not Started")),IF($Q215&gt;=Settings!$C$13,"Legalized",IF($P215&gt;=Settings!$C$12,"Registered",IF($O215&gt;0,"In Progress","Not Started")))))))</f>
        <v/>
      </c>
      <c r="S215" s="32">
        <f>IF($B215="","",COUNTIF(G215:N215,"Received"))</f>
        <v/>
      </c>
      <c r="T215" s="32">
        <f>IF($B215="","",COUNTIF(G215:N215,"Needs Correction"))</f>
        <v/>
      </c>
      <c r="U215" s="33">
        <f>IF($B215="","",IF($D215&lt;&gt;"Yes","",IF($E215="PTA",IF(AND(OR(I215="Accepted",I215="Not Needed"),OR(H215="Accepted",H215="Not Needed")),"None",MID(IF(AND(I215&lt;&gt;"Accepted",I215&lt;&gt;"Not Needed"),", "&amp;I$1,"")&amp;IF(AND(H215&lt;&gt;"Accepted",H215&lt;&gt;"Not Needed"),", "&amp;H$1,""),3,400)),IF($Q215&gt;=Settings!$C$13,"None",MID(IF(AND(G215&lt;&gt;"Accepted",G215&lt;&gt;"Not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MC Fraga EC HS</t>
        </is>
      </c>
      <c r="C216" s="31" t="inlineStr">
        <is>
          <t>EAS Secondary</t>
        </is>
      </c>
      <c r="D216" s="31" t="inlineStr">
        <is>
          <t>Not Yet Confirmed</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Confirmed",IF($E216="PTA",IF(AND(OR(I216="Accepted",I216="Not Needed"),OR(H216="Accepted",H216="Not Needed")),"Registered",IF(OR(OR(I216="Accepted",I216="Received",I216="Needs Correction"),OR(H216="Accepted",H216="Received",H216="Needs Correction")),"In Progress","Not Started")),IF($Q216&gt;=Settings!$C$13,"Legalized",IF($P216&gt;=Settings!$C$12,"Registered",IF($O216&gt;0,"In Progress","Not Started")))))))</f>
        <v/>
      </c>
      <c r="S216" s="32">
        <f>IF($B216="","",COUNTIF(G216:N216,"Received"))</f>
        <v/>
      </c>
      <c r="T216" s="32">
        <f>IF($B216="","",COUNTIF(G216:N216,"Needs Correction"))</f>
        <v/>
      </c>
      <c r="U216" s="33">
        <f>IF($B216="","",IF($D216&lt;&gt;"Yes","",IF($E216="PTA",IF(AND(OR(I216="Accepted",I216="Not Needed"),OR(H216="Accepted",H216="Not Needed")),"None",MID(IF(AND(I216&lt;&gt;"Accepted",I216&lt;&gt;"Not Needed"),", "&amp;I$1,"")&amp;IF(AND(H216&lt;&gt;"Accepted",H216&lt;&gt;"Not Needed"),", "&amp;H$1,""),3,400)),IF($Q216&gt;=Settings!$C$13,"None",MID(IF(AND(G216&lt;&gt;"Accepted",G216&lt;&gt;"Not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McGowen ES</t>
        </is>
      </c>
      <c r="C217" s="31" t="inlineStr">
        <is>
          <t>NES Elementary</t>
        </is>
      </c>
      <c r="D217" s="31" t="inlineStr">
        <is>
          <t>Not Yet Confirmed</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Confirmed",IF($E217="PTA",IF(AND(OR(I217="Accepted",I217="Not Needed"),OR(H217="Accepted",H217="Not Needed")),"Registered",IF(OR(OR(I217="Accepted",I217="Received",I217="Needs Correction"),OR(H217="Accepted",H217="Received",H217="Needs Correction")),"In Progress","Not Started")),IF($Q217&gt;=Settings!$C$13,"Legalized",IF($P217&gt;=Settings!$C$12,"Registered",IF($O217&gt;0,"In Progress","Not Started")))))))</f>
        <v/>
      </c>
      <c r="S217" s="32">
        <f>IF($B217="","",COUNTIF(G217:N217,"Received"))</f>
        <v/>
      </c>
      <c r="T217" s="32">
        <f>IF($B217="","",COUNTIF(G217:N217,"Needs Correction"))</f>
        <v/>
      </c>
      <c r="U217" s="33">
        <f>IF($B217="","",IF($D217&lt;&gt;"Yes","",IF($E217="PTA",IF(AND(OR(I217="Accepted",I217="Not Needed"),OR(H217="Accepted",H217="Not Needed")),"None",MID(IF(AND(I217&lt;&gt;"Accepted",I217&lt;&gt;"Not Needed"),", "&amp;I$1,"")&amp;IF(AND(H217&lt;&gt;"Accepted",H217&lt;&gt;"Not Needed"),", "&amp;H$1,""),3,400)),IF($Q217&gt;=Settings!$C$13,"None",MID(IF(AND(G217&lt;&gt;"Accepted",G217&lt;&gt;"Not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Milne ES</t>
        </is>
      </c>
      <c r="C218" s="31" t="inlineStr">
        <is>
          <t>NES Elementary</t>
        </is>
      </c>
      <c r="D218" s="31" t="inlineStr">
        <is>
          <t>Not Yet Confirmed</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Confirmed",IF($E218="PTA",IF(AND(OR(I218="Accepted",I218="Not Needed"),OR(H218="Accepted",H218="Not Needed")),"Registered",IF(OR(OR(I218="Accepted",I218="Received",I218="Needs Correction"),OR(H218="Accepted",H218="Received",H218="Needs Correction")),"In Progress","Not Started")),IF($Q218&gt;=Settings!$C$13,"Legalized",IF($P218&gt;=Settings!$C$12,"Registered",IF($O218&gt;0,"In Progress","Not Started")))))))</f>
        <v/>
      </c>
      <c r="S218" s="32">
        <f>IF($B218="","",COUNTIF(G218:N218,"Received"))</f>
        <v/>
      </c>
      <c r="T218" s="32">
        <f>IF($B218="","",COUNTIF(G218:N218,"Needs Correction"))</f>
        <v/>
      </c>
      <c r="U218" s="33">
        <f>IF($B218="","",IF($D218&lt;&gt;"Yes","",IF($E218="PTA",IF(AND(OR(I218="Accepted",I218="Not Needed"),OR(H218="Accepted",H218="Not Needed")),"None",MID(IF(AND(I218&lt;&gt;"Accepted",I218&lt;&gt;"Not Needed"),", "&amp;I$1,"")&amp;IF(AND(H218&lt;&gt;"Accepted",H218&lt;&gt;"Not Needed"),", "&amp;H$1,""),3,400)),IF($Q218&gt;=Settings!$C$13,"None",MID(IF(AND(G218&lt;&gt;"Accepted",G218&lt;&gt;"Not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MLK ECC</t>
        </is>
      </c>
      <c r="C219" s="31" t="inlineStr">
        <is>
          <t>EAS Elementary</t>
        </is>
      </c>
      <c r="D219" s="31" t="inlineStr">
        <is>
          <t>Not Yet Confirmed</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Confirmed",IF($E219="PTA",IF(AND(OR(I219="Accepted",I219="Not Needed"),OR(H219="Accepted",H219="Not Needed")),"Registered",IF(OR(OR(I219="Accepted",I219="Received",I219="Needs Correction"),OR(H219="Accepted",H219="Received",H219="Needs Correction")),"In Progress","Not Started")),IF($Q219&gt;=Settings!$C$13,"Legalized",IF($P219&gt;=Settings!$C$12,"Registered",IF($O219&gt;0,"In Progress","Not Started")))))))</f>
        <v/>
      </c>
      <c r="S219" s="32">
        <f>IF($B219="","",COUNTIF(G219:N219,"Received"))</f>
        <v/>
      </c>
      <c r="T219" s="32">
        <f>IF($B219="","",COUNTIF(G219:N219,"Needs Correction"))</f>
        <v/>
      </c>
      <c r="U219" s="33">
        <f>IF($B219="","",IF($D219&lt;&gt;"Yes","",IF($E219="PTA",IF(AND(OR(I219="Accepted",I219="Not Needed"),OR(H219="Accepted",H219="Not Needed")),"None",MID(IF(AND(I219&lt;&gt;"Accepted",I219&lt;&gt;"Not Needed"),", "&amp;I$1,"")&amp;IF(AND(H219&lt;&gt;"Accepted",H219&lt;&gt;"Not Needed"),", "&amp;H$1,""),3,400)),IF($Q219&gt;=Settings!$C$13,"None",MID(IF(AND(G219&lt;&gt;"Accepted",G219&lt;&gt;"Not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Montgomery ES</t>
        </is>
      </c>
      <c r="C220" s="31" t="inlineStr">
        <is>
          <t>NES Elementary</t>
        </is>
      </c>
      <c r="D220" s="31" t="inlineStr">
        <is>
          <t>Not Yet Confirmed</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Confirmed",IF($E220="PTA",IF(AND(OR(I220="Accepted",I220="Not Needed"),OR(H220="Accepted",H220="Not Needed")),"Registered",IF(OR(OR(I220="Accepted",I220="Received",I220="Needs Correction"),OR(H220="Accepted",H220="Received",H220="Needs Correction")),"In Progress","Not Started")),IF($Q220&gt;=Settings!$C$13,"Legalized",IF($P220&gt;=Settings!$C$12,"Registered",IF($O220&gt;0,"In Progress","Not Started")))))))</f>
        <v/>
      </c>
      <c r="S220" s="32">
        <f>IF($B220="","",COUNTIF(G220:N220,"Received"))</f>
        <v/>
      </c>
      <c r="T220" s="32">
        <f>IF($B220="","",COUNTIF(G220:N220,"Needs Correction"))</f>
        <v/>
      </c>
      <c r="U220" s="33">
        <f>IF($B220="","",IF($D220&lt;&gt;"Yes","",IF($E220="PTA",IF(AND(OR(I220="Accepted",I220="Not Needed"),OR(H220="Accepted",H220="Not Needed")),"None",MID(IF(AND(I220&lt;&gt;"Accepted",I220&lt;&gt;"Not Needed"),", "&amp;I$1,"")&amp;IF(AND(H220&lt;&gt;"Accepted",H220&lt;&gt;"Not Needed"),", "&amp;H$1,""),3,400)),IF($Q220&gt;=Settings!$C$13,"None",MID(IF(AND(G220&lt;&gt;"Accepted",G220&lt;&gt;"Not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Navarro MS</t>
        </is>
      </c>
      <c r="C221" s="31" t="inlineStr">
        <is>
          <t>NES Secondary</t>
        </is>
      </c>
      <c r="D221" s="31" t="inlineStr">
        <is>
          <t>Not Yet Confirmed</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Confirmed",IF($E221="PTA",IF(AND(OR(I221="Accepted",I221="Not Needed"),OR(H221="Accepted",H221="Not Needed")),"Registered",IF(OR(OR(I221="Accepted",I221="Received",I221="Needs Correction"),OR(H221="Accepted",H221="Received",H221="Needs Correction")),"In Progress","Not Started")),IF($Q221&gt;=Settings!$C$13,"Legalized",IF($P221&gt;=Settings!$C$12,"Registered",IF($O221&gt;0,"In Progress","Not Started")))))))</f>
        <v/>
      </c>
      <c r="S221" s="32">
        <f>IF($B221="","",COUNTIF(G221:N221,"Received"))</f>
        <v/>
      </c>
      <c r="T221" s="32">
        <f>IF($B221="","",COUNTIF(G221:N221,"Needs Correction"))</f>
        <v/>
      </c>
      <c r="U221" s="33">
        <f>IF($B221="","",IF($D221&lt;&gt;"Yes","",IF($E221="PTA",IF(AND(OR(I221="Accepted",I221="Not Needed"),OR(H221="Accepted",H221="Not Needed")),"None",MID(IF(AND(I221&lt;&gt;"Accepted",I221&lt;&gt;"Not Needed"),", "&amp;I$1,"")&amp;IF(AND(H221&lt;&gt;"Accepted",H221&lt;&gt;"Not Needed"),", "&amp;H$1,""),3,400)),IF($Q221&gt;=Settings!$C$13,"None",MID(IF(AND(G221&lt;&gt;"Accepted",G221&lt;&gt;"Not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Neff ES</t>
        </is>
      </c>
      <c r="C222" s="31" t="inlineStr">
        <is>
          <t>NES Elementary</t>
        </is>
      </c>
      <c r="D222" s="31" t="inlineStr">
        <is>
          <t>Not Yet Confirmed</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Confirmed",IF($E222="PTA",IF(AND(OR(I222="Accepted",I222="Not Needed"),OR(H222="Accepted",H222="Not Needed")),"Registered",IF(OR(OR(I222="Accepted",I222="Received",I222="Needs Correction"),OR(H222="Accepted",H222="Received",H222="Needs Correction")),"In Progress","Not Started")),IF($Q222&gt;=Settings!$C$13,"Legalized",IF($P222&gt;=Settings!$C$12,"Registered",IF($O222&gt;0,"In Progress","Not Started")))))))</f>
        <v/>
      </c>
      <c r="S222" s="32">
        <f>IF($B222="","",COUNTIF(G222:N222,"Received"))</f>
        <v/>
      </c>
      <c r="T222" s="32">
        <f>IF($B222="","",COUNTIF(G222:N222,"Needs Correction"))</f>
        <v/>
      </c>
      <c r="U222" s="33">
        <f>IF($B222="","",IF($D222&lt;&gt;"Yes","",IF($E222="PTA",IF(AND(OR(I222="Accepted",I222="Not Needed"),OR(H222="Accepted",H222="Not Needed")),"None",MID(IF(AND(I222&lt;&gt;"Accepted",I222&lt;&gt;"Not Needed"),", "&amp;I$1,"")&amp;IF(AND(H222&lt;&gt;"Accepted",H222&lt;&gt;"Not Needed"),", "&amp;H$1,""),3,400)),IF($Q222&gt;=Settings!$C$13,"None",MID(IF(AND(G222&lt;&gt;"Accepted",G222&lt;&gt;"Not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 Forest HS</t>
        </is>
      </c>
      <c r="C223" s="31" t="inlineStr">
        <is>
          <t>NES Secondary</t>
        </is>
      </c>
      <c r="D223" s="31" t="inlineStr">
        <is>
          <t>Not Yet Confirmed</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Confirmed",IF($E223="PTA",IF(AND(OR(I223="Accepted",I223="Not Needed"),OR(H223="Accepted",H223="Not Needed")),"Registered",IF(OR(OR(I223="Accepted",I223="Received",I223="Needs Correction"),OR(H223="Accepted",H223="Received",H223="Needs Correction")),"In Progress","Not Started")),IF($Q223&gt;=Settings!$C$13,"Legalized",IF($P223&gt;=Settings!$C$12,"Registered",IF($O223&gt;0,"In Progress","Not Started")))))))</f>
        <v/>
      </c>
      <c r="S223" s="32">
        <f>IF($B223="","",COUNTIF(G223:N223,"Received"))</f>
        <v/>
      </c>
      <c r="T223" s="32">
        <f>IF($B223="","",COUNTIF(G223:N223,"Needs Correction"))</f>
        <v/>
      </c>
      <c r="U223" s="33">
        <f>IF($B223="","",IF($D223&lt;&gt;"Yes","",IF($E223="PTA",IF(AND(OR(I223="Accepted",I223="Not Needed"),OR(H223="Accepted",H223="Not Needed")),"None",MID(IF(AND(I223&lt;&gt;"Accepted",I223&lt;&gt;"Not Needed"),", "&amp;I$1,"")&amp;IF(AND(H223&lt;&gt;"Accepted",H223&lt;&gt;"Not Needed"),", "&amp;H$1,""),3,400)),IF($Q223&gt;=Settings!$C$13,"None",MID(IF(AND(G223&lt;&gt;"Accepted",G223&lt;&gt;"Not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North Houston EC HS</t>
        </is>
      </c>
      <c r="C224" s="31" t="inlineStr">
        <is>
          <t>EAS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Confirmed",IF($E224="PTA",IF(AND(OR(I224="Accepted",I224="Not Needed"),OR(H224="Accepted",H224="Not Needed")),"Registered",IF(OR(OR(I224="Accepted",I224="Received",I224="Needs Correction"),OR(H224="Accepted",H224="Received",H224="Needs Correction")),"In Progress","Not Started")),IF($Q224&gt;=Settings!$C$13,"Legalized",IF($P224&gt;=Settings!$C$12,"Registered",IF($O224&gt;0,"In Progress","Not Started")))))))</f>
        <v/>
      </c>
      <c r="S224" s="32">
        <f>IF($B224="","",COUNTIF(G224:N224,"Received"))</f>
        <v/>
      </c>
      <c r="T224" s="32">
        <f>IF($B224="","",COUNTIF(G224:N224,"Needs Correction"))</f>
        <v/>
      </c>
      <c r="U224" s="33">
        <f>IF($B224="","",IF($D224&lt;&gt;"Yes","",IF($E224="PTA",IF(AND(OR(I224="Accepted",I224="Not Needed"),OR(H224="Accepted",H224="Not Needed")),"None",MID(IF(AND(I224&lt;&gt;"Accepted",I224&lt;&gt;"Not Needed"),", "&amp;I$1,"")&amp;IF(AND(H224&lt;&gt;"Accepted",H224&lt;&gt;"Not Needed"),", "&amp;H$1,""),3,400)),IF($Q224&gt;=Settings!$C$13,"None",MID(IF(AND(G224&lt;&gt;"Accepted",G224&lt;&gt;"Not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Northline ES</t>
        </is>
      </c>
      <c r="C225" s="31" t="inlineStr">
        <is>
          <t>NES Elementary</t>
        </is>
      </c>
      <c r="D225" s="31" t="inlineStr">
        <is>
          <t>Not Yet Confirmed</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Confirmed",IF($E225="PTA",IF(AND(OR(I225="Accepted",I225="Not Needed"),OR(H225="Accepted",H225="Not Needed")),"Registered",IF(OR(OR(I225="Accepted",I225="Received",I225="Needs Correction"),OR(H225="Accepted",H225="Received",H225="Needs Correction")),"In Progress","Not Started")),IF($Q225&gt;=Settings!$C$13,"Legalized",IF($P225&gt;=Settings!$C$12,"Registered",IF($O225&gt;0,"In Progress","Not Started")))))))</f>
        <v/>
      </c>
      <c r="S225" s="32">
        <f>IF($B225="","",COUNTIF(G225:N225,"Received"))</f>
        <v/>
      </c>
      <c r="T225" s="32">
        <f>IF($B225="","",COUNTIF(G225:N225,"Needs Correction"))</f>
        <v/>
      </c>
      <c r="U225" s="33">
        <f>IF($B225="","",IF($D225&lt;&gt;"Yes","",IF($E225="PTA",IF(AND(OR(I225="Accepted",I225="Not Needed"),OR(H225="Accepted",H225="Not Needed")),"None",MID(IF(AND(I225&lt;&gt;"Accepted",I225&lt;&gt;"Not Needed"),", "&amp;I$1,"")&amp;IF(AND(H225&lt;&gt;"Accepted",H225&lt;&gt;"Not Needed"),", "&amp;H$1,""),3,400)),IF($Q225&gt;=Settings!$C$13,"None",MID(IF(AND(G225&lt;&gt;"Accepted",G225&lt;&gt;"Not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Northside HS</t>
        </is>
      </c>
      <c r="C226" s="31" t="inlineStr">
        <is>
          <t>NES Secondary</t>
        </is>
      </c>
      <c r="D226" s="31" t="inlineStr">
        <is>
          <t>Not Yet Confirmed</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Confirmed",IF($E226="PTA",IF(AND(OR(I226="Accepted",I226="Not Needed"),OR(H226="Accepted",H226="Not Needed")),"Registered",IF(OR(OR(I226="Accepted",I226="Received",I226="Needs Correction"),OR(H226="Accepted",H226="Received",H226="Needs Correction")),"In Progress","Not Started")),IF($Q226&gt;=Settings!$C$13,"Legalized",IF($P226&gt;=Settings!$C$12,"Registered",IF($O226&gt;0,"In Progress","Not Started")))))))</f>
        <v/>
      </c>
      <c r="S226" s="32">
        <f>IF($B226="","",COUNTIF(G226:N226,"Received"))</f>
        <v/>
      </c>
      <c r="T226" s="32">
        <f>IF($B226="","",COUNTIF(G226:N226,"Needs Correction"))</f>
        <v/>
      </c>
      <c r="U226" s="33">
        <f>IF($B226="","",IF($D226&lt;&gt;"Yes","",IF($E226="PTA",IF(AND(OR(I226="Accepted",I226="Not Needed"),OR(H226="Accepted",H226="Not Needed")),"None",MID(IF(AND(I226&lt;&gt;"Accepted",I226&lt;&gt;"Not Needed"),", "&amp;I$1,"")&amp;IF(AND(H226&lt;&gt;"Accepted",H226&lt;&gt;"Not Needed"),", "&amp;H$1,""),3,400)),IF($Q226&gt;=Settings!$C$13,"None",MID(IF(AND(G226&lt;&gt;"Accepted",G226&lt;&gt;"Not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Ortiz MS</t>
        </is>
      </c>
      <c r="C227" s="31" t="inlineStr">
        <is>
          <t>NES Secondary</t>
        </is>
      </c>
      <c r="D227" s="31" t="inlineStr">
        <is>
          <t>Not Yet Confirmed</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Confirmed",IF($E227="PTA",IF(AND(OR(I227="Accepted",I227="Not Needed"),OR(H227="Accepted",H227="Not Needed")),"Registered",IF(OR(OR(I227="Accepted",I227="Received",I227="Needs Correction"),OR(H227="Accepted",H227="Received",H227="Needs Correction")),"In Progress","Not Started")),IF($Q227&gt;=Settings!$C$13,"Legalized",IF($P227&gt;=Settings!$C$12,"Registered",IF($O227&gt;0,"In Progress","Not Started")))))))</f>
        <v/>
      </c>
      <c r="S227" s="32">
        <f>IF($B227="","",COUNTIF(G227:N227,"Received"))</f>
        <v/>
      </c>
      <c r="T227" s="32">
        <f>IF($B227="","",COUNTIF(G227:N227,"Needs Correction"))</f>
        <v/>
      </c>
      <c r="U227" s="33">
        <f>IF($B227="","",IF($D227&lt;&gt;"Yes","",IF($E227="PTA",IF(AND(OR(I227="Accepted",I227="Not Needed"),OR(H227="Accepted",H227="Not Needed")),"None",MID(IF(AND(I227&lt;&gt;"Accepted",I227&lt;&gt;"Not Needed"),", "&amp;I$1,"")&amp;IF(AND(H227&lt;&gt;"Accepted",H227&lt;&gt;"Not Needed"),", "&amp;H$1,""),3,400)),IF($Q227&gt;=Settings!$C$13,"None",MID(IF(AND(G227&lt;&gt;"Accepted",G227&lt;&gt;"Not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Paige ES</t>
        </is>
      </c>
      <c r="C228" s="31" t="inlineStr">
        <is>
          <t>NES Elementary</t>
        </is>
      </c>
      <c r="D228" s="31" t="inlineStr">
        <is>
          <t>Not Yet Confirmed</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Confirmed",IF($E228="PTA",IF(AND(OR(I228="Accepted",I228="Not Needed"),OR(H228="Accepted",H228="Not Needed")),"Registered",IF(OR(OR(I228="Accepted",I228="Received",I228="Needs Correction"),OR(H228="Accepted",H228="Received",H228="Needs Correction")),"In Progress","Not Started")),IF($Q228&gt;=Settings!$C$13,"Legalized",IF($P228&gt;=Settings!$C$12,"Registered",IF($O228&gt;0,"In Progress","Not Started")))))))</f>
        <v/>
      </c>
      <c r="S228" s="32">
        <f>IF($B228="","",COUNTIF(G228:N228,"Received"))</f>
        <v/>
      </c>
      <c r="T228" s="32">
        <f>IF($B228="","",COUNTIF(G228:N228,"Needs Correction"))</f>
        <v/>
      </c>
      <c r="U228" s="33">
        <f>IF($B228="","",IF($D228&lt;&gt;"Yes","",IF($E228="PTA",IF(AND(OR(I228="Accepted",I228="Not Needed"),OR(H228="Accepted",H228="Not Needed")),"None",MID(IF(AND(I228&lt;&gt;"Accepted",I228&lt;&gt;"Not Needed"),", "&amp;I$1,"")&amp;IF(AND(H228&lt;&gt;"Accepted",H228&lt;&gt;"Not Needed"),", "&amp;H$1,""),3,400)),IF($Q228&gt;=Settings!$C$13,"None",MID(IF(AND(G228&lt;&gt;"Accepted",G228&lt;&gt;"Not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Petersen ES</t>
        </is>
      </c>
      <c r="C229" s="31" t="inlineStr">
        <is>
          <t>NES Elementary</t>
        </is>
      </c>
      <c r="D229" s="31" t="inlineStr">
        <is>
          <t>Not Yet Confirmed</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Confirmed",IF($E229="PTA",IF(AND(OR(I229="Accepted",I229="Not Needed"),OR(H229="Accepted",H229="Not Needed")),"Registered",IF(OR(OR(I229="Accepted",I229="Received",I229="Needs Correction"),OR(H229="Accepted",H229="Received",H229="Needs Correction")),"In Progress","Not Started")),IF($Q229&gt;=Settings!$C$13,"Legalized",IF($P229&gt;=Settings!$C$12,"Registered",IF($O229&gt;0,"In Progress","Not Started")))))))</f>
        <v/>
      </c>
      <c r="S229" s="32">
        <f>IF($B229="","",COUNTIF(G229:N229,"Received"))</f>
        <v/>
      </c>
      <c r="T229" s="32">
        <f>IF($B229="","",COUNTIF(G229:N229,"Needs Correction"))</f>
        <v/>
      </c>
      <c r="U229" s="33">
        <f>IF($B229="","",IF($D229&lt;&gt;"Yes","",IF($E229="PTA",IF(AND(OR(I229="Accepted",I229="Not Needed"),OR(H229="Accepted",H229="Not Needed")),"None",MID(IF(AND(I229&lt;&gt;"Accepted",I229&lt;&gt;"Not Needed"),", "&amp;I$1,"")&amp;IF(AND(H229&lt;&gt;"Accepted",H229&lt;&gt;"Not Needed"),", "&amp;H$1,""),3,400)),IF($Q229&gt;=Settings!$C$13,"None",MID(IF(AND(G229&lt;&gt;"Accepted",G229&lt;&gt;"Not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Pilgrim Acad</t>
        </is>
      </c>
      <c r="C230" s="31" t="inlineStr">
        <is>
          <t>EAS Elementary</t>
        </is>
      </c>
      <c r="D230" s="31" t="inlineStr">
        <is>
          <t>Not Yet Confirmed</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Confirmed",IF($E230="PTA",IF(AND(OR(I230="Accepted",I230="Not Needed"),OR(H230="Accepted",H230="Not Needed")),"Registered",IF(OR(OR(I230="Accepted",I230="Received",I230="Needs Correction"),OR(H230="Accepted",H230="Received",H230="Needs Correction")),"In Progress","Not Started")),IF($Q230&gt;=Settings!$C$13,"Legalized",IF($P230&gt;=Settings!$C$12,"Registered",IF($O230&gt;0,"In Progress","Not Started")))))))</f>
        <v/>
      </c>
      <c r="S230" s="32">
        <f>IF($B230="","",COUNTIF(G230:N230,"Received"))</f>
        <v/>
      </c>
      <c r="T230" s="32">
        <f>IF($B230="","",COUNTIF(G230:N230,"Needs Correction"))</f>
        <v/>
      </c>
      <c r="U230" s="33">
        <f>IF($B230="","",IF($D230&lt;&gt;"Yes","",IF($E230="PTA",IF(AND(OR(I230="Accepted",I230="Not Needed"),OR(H230="Accepted",H230="Not Needed")),"None",MID(IF(AND(I230&lt;&gt;"Accepted",I230&lt;&gt;"Not Needed"),", "&amp;I$1,"")&amp;IF(AND(H230&lt;&gt;"Accepted",H230&lt;&gt;"Not Needed"),", "&amp;H$1,""),3,400)),IF($Q230&gt;=Settings!$C$13,"None",MID(IF(AND(G230&lt;&gt;"Accepted",G230&lt;&gt;"Not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Pleasantville ES</t>
        </is>
      </c>
      <c r="C231" s="31" t="inlineStr">
        <is>
          <t>NES Elementary</t>
        </is>
      </c>
      <c r="D231" s="31" t="inlineStr">
        <is>
          <t>Not Yet Confirmed</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Confirmed",IF($E231="PTA",IF(AND(OR(I231="Accepted",I231="Not Needed"),OR(H231="Accepted",H231="Not Needed")),"Registered",IF(OR(OR(I231="Accepted",I231="Received",I231="Needs Correction"),OR(H231="Accepted",H231="Received",H231="Needs Correction")),"In Progress","Not Started")),IF($Q231&gt;=Settings!$C$13,"Legalized",IF($P231&gt;=Settings!$C$12,"Registered",IF($O231&gt;0,"In Progress","Not Started")))))))</f>
        <v/>
      </c>
      <c r="S231" s="32">
        <f>IF($B231="","",COUNTIF(G231:N231,"Received"))</f>
        <v/>
      </c>
      <c r="T231" s="32">
        <f>IF($B231="","",COUNTIF(G231:N231,"Needs Correction"))</f>
        <v/>
      </c>
      <c r="U231" s="33">
        <f>IF($B231="","",IF($D231&lt;&gt;"Yes","",IF($E231="PTA",IF(AND(OR(I231="Accepted",I231="Not Needed"),OR(H231="Accepted",H231="Not Needed")),"None",MID(IF(AND(I231&lt;&gt;"Accepted",I231&lt;&gt;"Not Needed"),", "&amp;I$1,"")&amp;IF(AND(H231&lt;&gt;"Accepted",H231&lt;&gt;"Not Needed"),", "&amp;H$1,""),3,400)),IF($Q231&gt;=Settings!$C$13,"None",MID(IF(AND(G231&lt;&gt;"Accepted",G231&lt;&gt;"Not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Pugh ES</t>
        </is>
      </c>
      <c r="C232" s="31" t="inlineStr">
        <is>
          <t>NES Elementary</t>
        </is>
      </c>
      <c r="D232" s="31" t="inlineStr">
        <is>
          <t>Not Yet Confirmed</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Confirmed",IF($E232="PTA",IF(AND(OR(I232="Accepted",I232="Not Needed"),OR(H232="Accepted",H232="Not Needed")),"Registered",IF(OR(OR(I232="Accepted",I232="Received",I232="Needs Correction"),OR(H232="Accepted",H232="Received",H232="Needs Correction")),"In Progress","Not Started")),IF($Q232&gt;=Settings!$C$13,"Legalized",IF($P232&gt;=Settings!$C$12,"Registered",IF($O232&gt;0,"In Progress","Not Started")))))))</f>
        <v/>
      </c>
      <c r="S232" s="32">
        <f>IF($B232="","",COUNTIF(G232:N232,"Received"))</f>
        <v/>
      </c>
      <c r="T232" s="32">
        <f>IF($B232="","",COUNTIF(G232:N232,"Needs Correction"))</f>
        <v/>
      </c>
      <c r="U232" s="33">
        <f>IF($B232="","",IF($D232&lt;&gt;"Yes","",IF($E232="PTA",IF(AND(OR(I232="Accepted",I232="Not Needed"),OR(H232="Accepted",H232="Not Needed")),"None",MID(IF(AND(I232&lt;&gt;"Accepted",I232&lt;&gt;"Not Needed"),", "&amp;I$1,"")&amp;IF(AND(H232&lt;&gt;"Accepted",H232&lt;&gt;"Not Needed"),", "&amp;H$1,""),3,400)),IF($Q232&gt;=Settings!$C$13,"None",MID(IF(AND(G232&lt;&gt;"Accepted",G232&lt;&gt;"Not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Reagan K-8</t>
        </is>
      </c>
      <c r="C233" s="31" t="inlineStr">
        <is>
          <t>NES Elementary</t>
        </is>
      </c>
      <c r="D233" s="31" t="inlineStr">
        <is>
          <t>Not Yet Confirmed</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Confirmed",IF($E233="PTA",IF(AND(OR(I233="Accepted",I233="Not Needed"),OR(H233="Accepted",H233="Not Needed")),"Registered",IF(OR(OR(I233="Accepted",I233="Received",I233="Needs Correction"),OR(H233="Accepted",H233="Received",H233="Needs Correction")),"In Progress","Not Started")),IF($Q233&gt;=Settings!$C$13,"Legalized",IF($P233&gt;=Settings!$C$12,"Registered",IF($O233&gt;0,"In Progress","Not Started")))))))</f>
        <v/>
      </c>
      <c r="S233" s="32">
        <f>IF($B233="","",COUNTIF(G233:N233,"Received"))</f>
        <v/>
      </c>
      <c r="T233" s="32">
        <f>IF($B233="","",COUNTIF(G233:N233,"Needs Correction"))</f>
        <v/>
      </c>
      <c r="U233" s="33">
        <f>IF($B233="","",IF($D233&lt;&gt;"Yes","",IF($E233="PTA",IF(AND(OR(I233="Accepted",I233="Not Needed"),OR(H233="Accepted",H233="Not Needed")),"None",MID(IF(AND(I233&lt;&gt;"Accepted",I233&lt;&gt;"Not Needed"),", "&amp;I$1,"")&amp;IF(AND(H233&lt;&gt;"Accepted",H233&lt;&gt;"Not Needed"),", "&amp;H$1,""),3,400)),IF($Q233&gt;=Settings!$C$13,"None",MID(IF(AND(G233&lt;&gt;"Accepted",G233&lt;&gt;"Not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Revere MS</t>
        </is>
      </c>
      <c r="C234" s="31" t="inlineStr">
        <is>
          <t>NES Secondary</t>
        </is>
      </c>
      <c r="D234" s="31" t="inlineStr">
        <is>
          <t>Not Yet Confirmed</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Confirmed",IF($E234="PTA",IF(AND(OR(I234="Accepted",I234="Not Needed"),OR(H234="Accepted",H234="Not Needed")),"Registered",IF(OR(OR(I234="Accepted",I234="Received",I234="Needs Correction"),OR(H234="Accepted",H234="Received",H234="Needs Correction")),"In Progress","Not Started")),IF($Q234&gt;=Settings!$C$13,"Legalized",IF($P234&gt;=Settings!$C$12,"Registered",IF($O234&gt;0,"In Progress","Not Started")))))))</f>
        <v/>
      </c>
      <c r="S234" s="32">
        <f>IF($B234="","",COUNTIF(G234:N234,"Received"))</f>
        <v/>
      </c>
      <c r="T234" s="32">
        <f>IF($B234="","",COUNTIF(G234:N234,"Needs Correction"))</f>
        <v/>
      </c>
      <c r="U234" s="33">
        <f>IF($B234="","",IF($D234&lt;&gt;"Yes","",IF($E234="PTA",IF(AND(OR(I234="Accepted",I234="Not Needed"),OR(H234="Accepted",H234="Not Needed")),"None",MID(IF(AND(I234&lt;&gt;"Accepted",I234&lt;&gt;"Not Needed"),", "&amp;I$1,"")&amp;IF(AND(H234&lt;&gt;"Accepted",H234&lt;&gt;"Not Needed"),", "&amp;H$1,""),3,400)),IF($Q234&gt;=Settings!$C$13,"None",MID(IF(AND(G234&lt;&gt;"Accepted",G234&lt;&gt;"Not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Reynolds ES</t>
        </is>
      </c>
      <c r="C235" s="31" t="inlineStr">
        <is>
          <t>NES Elementary</t>
        </is>
      </c>
      <c r="D235" s="31" t="inlineStr">
        <is>
          <t>Not Yet Confirmed</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Confirmed",IF($E235="PTA",IF(AND(OR(I235="Accepted",I235="Not Needed"),OR(H235="Accepted",H235="Not Needed")),"Registered",IF(OR(OR(I235="Accepted",I235="Received",I235="Needs Correction"),OR(H235="Accepted",H235="Received",H235="Needs Correction")),"In Progress","Not Started")),IF($Q235&gt;=Settings!$C$13,"Legalized",IF($P235&gt;=Settings!$C$12,"Registered",IF($O235&gt;0,"In Progress","Not Started")))))))</f>
        <v/>
      </c>
      <c r="S235" s="32">
        <f>IF($B235="","",COUNTIF(G235:N235,"Received"))</f>
        <v/>
      </c>
      <c r="T235" s="32">
        <f>IF($B235="","",COUNTIF(G235:N235,"Needs Correction"))</f>
        <v/>
      </c>
      <c r="U235" s="33">
        <f>IF($B235="","",IF($D235&lt;&gt;"Yes","",IF($E235="PTA",IF(AND(OR(I235="Accepted",I235="Not Needed"),OR(H235="Accepted",H235="Not Needed")),"None",MID(IF(AND(I235&lt;&gt;"Accepted",I235&lt;&gt;"Not Needed"),", "&amp;I$1,"")&amp;IF(AND(H235&lt;&gt;"Accepted",H235&lt;&gt;"Not Needed"),", "&amp;H$1,""),3,400)),IF($Q235&gt;=Settings!$C$13,"None",MID(IF(AND(G235&lt;&gt;"Accepted",G235&lt;&gt;"Not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Robinson ES</t>
        </is>
      </c>
      <c r="C236" s="31" t="inlineStr">
        <is>
          <t>NES Elementary</t>
        </is>
      </c>
      <c r="D236" s="31" t="inlineStr">
        <is>
          <t>Not Yet Confirmed</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Confirmed",IF($E236="PTA",IF(AND(OR(I236="Accepted",I236="Not Needed"),OR(H236="Accepted",H236="Not Needed")),"Registered",IF(OR(OR(I236="Accepted",I236="Received",I236="Needs Correction"),OR(H236="Accepted",H236="Received",H236="Needs Correction")),"In Progress","Not Started")),IF($Q236&gt;=Settings!$C$13,"Legalized",IF($P236&gt;=Settings!$C$12,"Registered",IF($O236&gt;0,"In Progress","Not Started")))))))</f>
        <v/>
      </c>
      <c r="S236" s="32">
        <f>IF($B236="","",COUNTIF(G236:N236,"Received"))</f>
        <v/>
      </c>
      <c r="T236" s="32">
        <f>IF($B236="","",COUNTIF(G236:N236,"Needs Correction"))</f>
        <v/>
      </c>
      <c r="U236" s="33">
        <f>IF($B236="","",IF($D236&lt;&gt;"Yes","",IF($E236="PTA",IF(AND(OR(I236="Accepted",I236="Not Needed"),OR(H236="Accepted",H236="Not Needed")),"None",MID(IF(AND(I236&lt;&gt;"Accepted",I236&lt;&gt;"Not Needed"),", "&amp;I$1,"")&amp;IF(AND(H236&lt;&gt;"Accepted",H236&lt;&gt;"Not Needed"),", "&amp;H$1,""),3,400)),IF($Q236&gt;=Settings!$C$13,"None",MID(IF(AND(G236&lt;&gt;"Accepted",G236&lt;&gt;"Not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Rodriguez ES</t>
        </is>
      </c>
      <c r="C237" s="31" t="inlineStr">
        <is>
          <t>EAS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Confirmed",IF($E237="PTA",IF(AND(OR(I237="Accepted",I237="Not Needed"),OR(H237="Accepted",H237="Not Needed")),"Registered",IF(OR(OR(I237="Accepted",I237="Received",I237="Needs Correction"),OR(H237="Accepted",H237="Received",H237="Needs Correction")),"In Progress","Not Started")),IF($Q237&gt;=Settings!$C$13,"Legalized",IF($P237&gt;=Settings!$C$12,"Registered",IF($O237&gt;0,"In Progress","Not Started")))))))</f>
        <v/>
      </c>
      <c r="S237" s="32">
        <f>IF($B237="","",COUNTIF(G237:N237,"Received"))</f>
        <v/>
      </c>
      <c r="T237" s="32">
        <f>IF($B237="","",COUNTIF(G237:N237,"Needs Correction"))</f>
        <v/>
      </c>
      <c r="U237" s="33">
        <f>IF($B237="","",IF($D237&lt;&gt;"Yes","",IF($E237="PTA",IF(AND(OR(I237="Accepted",I237="Not Needed"),OR(H237="Accepted",H237="Not Needed")),"None",MID(IF(AND(I237&lt;&gt;"Accepted",I237&lt;&gt;"Not Needed"),", "&amp;I$1,"")&amp;IF(AND(H237&lt;&gt;"Accepted",H237&lt;&gt;"Not Needed"),", "&amp;H$1,""),3,400)),IF($Q237&gt;=Settings!$C$13,"None",MID(IF(AND(G237&lt;&gt;"Accepted",G237&lt;&gt;"Not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Sanchez ES</t>
        </is>
      </c>
      <c r="C238" s="31" t="inlineStr">
        <is>
          <t>NES Elementary</t>
        </is>
      </c>
      <c r="D238" s="31" t="inlineStr">
        <is>
          <t>Not Yet Confirmed</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Confirmed",IF($E238="PTA",IF(AND(OR(I238="Accepted",I238="Not Needed"),OR(H238="Accepted",H238="Not Needed")),"Registered",IF(OR(OR(I238="Accepted",I238="Received",I238="Needs Correction"),OR(H238="Accepted",H238="Received",H238="Needs Correction")),"In Progress","Not Started")),IF($Q238&gt;=Settings!$C$13,"Legalized",IF($P238&gt;=Settings!$C$12,"Registered",IF($O238&gt;0,"In Progress","Not Started")))))))</f>
        <v/>
      </c>
      <c r="S238" s="32">
        <f>IF($B238="","",COUNTIF(G238:N238,"Received"))</f>
        <v/>
      </c>
      <c r="T238" s="32">
        <f>IF($B238="","",COUNTIF(G238:N238,"Needs Correction"))</f>
        <v/>
      </c>
      <c r="U238" s="33">
        <f>IF($B238="","",IF($D238&lt;&gt;"Yes","",IF($E238="PTA",IF(AND(OR(I238="Accepted",I238="Not Needed"),OR(H238="Accepted",H238="Not Needed")),"None",MID(IF(AND(I238&lt;&gt;"Accepted",I238&lt;&gt;"Not Needed"),", "&amp;I$1,"")&amp;IF(AND(H238&lt;&gt;"Accepted",H238&lt;&gt;"Not Needed"),", "&amp;H$1,""),3,400)),IF($Q238&gt;=Settings!$C$13,"None",MID(IF(AND(G238&lt;&gt;"Accepted",G238&lt;&gt;"Not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Scarborough HS</t>
        </is>
      </c>
      <c r="C239" s="31" t="inlineStr">
        <is>
          <t>NES Secondary</t>
        </is>
      </c>
      <c r="D239" s="31" t="inlineStr">
        <is>
          <t>Not Yet Confirmed</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Confirmed",IF($E239="PTA",IF(AND(OR(I239="Accepted",I239="Not Needed"),OR(H239="Accepted",H239="Not Needed")),"Registered",IF(OR(OR(I239="Accepted",I239="Received",I239="Needs Correction"),OR(H239="Accepted",H239="Received",H239="Needs Correction")),"In Progress","Not Started")),IF($Q239&gt;=Settings!$C$13,"Legalized",IF($P239&gt;=Settings!$C$12,"Registered",IF($O239&gt;0,"In Progress","Not Started")))))))</f>
        <v/>
      </c>
      <c r="S239" s="32">
        <f>IF($B239="","",COUNTIF(G239:N239,"Received"))</f>
        <v/>
      </c>
      <c r="T239" s="32">
        <f>IF($B239="","",COUNTIF(G239:N239,"Needs Correction"))</f>
        <v/>
      </c>
      <c r="U239" s="33">
        <f>IF($B239="","",IF($D239&lt;&gt;"Yes","",IF($E239="PTA",IF(AND(OR(I239="Accepted",I239="Not Needed"),OR(H239="Accepted",H239="Not Needed")),"None",MID(IF(AND(I239&lt;&gt;"Accepted",I239&lt;&gt;"Not Needed"),", "&amp;I$1,"")&amp;IF(AND(H239&lt;&gt;"Accepted",H239&lt;&gt;"Not Needed"),", "&amp;H$1,""),3,400)),IF($Q239&gt;=Settings!$C$13,"None",MID(IF(AND(G239&lt;&gt;"Accepted",G239&lt;&gt;"Not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Scroggins ES</t>
        </is>
      </c>
      <c r="C240" s="31" t="inlineStr">
        <is>
          <t>NES Elementary</t>
        </is>
      </c>
      <c r="D240" s="31" t="inlineStr">
        <is>
          <t>Not Yet Confirmed</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Confirmed",IF($E240="PTA",IF(AND(OR(I240="Accepted",I240="Not Needed"),OR(H240="Accepted",H240="Not Needed")),"Registered",IF(OR(OR(I240="Accepted",I240="Received",I240="Needs Correction"),OR(H240="Accepted",H240="Received",H240="Needs Correction")),"In Progress","Not Started")),IF($Q240&gt;=Settings!$C$13,"Legalized",IF($P240&gt;=Settings!$C$12,"Registered",IF($O240&gt;0,"In Progress","Not Started")))))))</f>
        <v/>
      </c>
      <c r="S240" s="32">
        <f>IF($B240="","",COUNTIF(G240:N240,"Received"))</f>
        <v/>
      </c>
      <c r="T240" s="32">
        <f>IF($B240="","",COUNTIF(G240:N240,"Needs Correction"))</f>
        <v/>
      </c>
      <c r="U240" s="33">
        <f>IF($B240="","",IF($D240&lt;&gt;"Yes","",IF($E240="PTA",IF(AND(OR(I240="Accepted",I240="Not Needed"),OR(H240="Accepted",H240="Not Needed")),"None",MID(IF(AND(I240&lt;&gt;"Accepted",I240&lt;&gt;"Not Needed"),", "&amp;I$1,"")&amp;IF(AND(H240&lt;&gt;"Accepted",H240&lt;&gt;"Not Needed"),", "&amp;H$1,""),3,400)),IF($Q240&gt;=Settings!$C$13,"None",MID(IF(AND(G240&lt;&gt;"Accepted",G240&lt;&gt;"Not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Shadydale ES</t>
        </is>
      </c>
      <c r="C241" s="31" t="inlineStr">
        <is>
          <t>NES Elementary</t>
        </is>
      </c>
      <c r="D241" s="31" t="inlineStr">
        <is>
          <t>Not Yet Confirmed</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Confirmed",IF($E241="PTA",IF(AND(OR(I241="Accepted",I241="Not Needed"),OR(H241="Accepted",H241="Not Needed")),"Registered",IF(OR(OR(I241="Accepted",I241="Received",I241="Needs Correction"),OR(H241="Accepted",H241="Received",H241="Needs Correction")),"In Progress","Not Started")),IF($Q241&gt;=Settings!$C$13,"Legalized",IF($P241&gt;=Settings!$C$12,"Registered",IF($O241&gt;0,"In Progress","Not Started")))))))</f>
        <v/>
      </c>
      <c r="S241" s="32">
        <f>IF($B241="","",COUNTIF(G241:N241,"Received"))</f>
        <v/>
      </c>
      <c r="T241" s="32">
        <f>IF($B241="","",COUNTIF(G241:N241,"Needs Correction"))</f>
        <v/>
      </c>
      <c r="U241" s="33">
        <f>IF($B241="","",IF($D241&lt;&gt;"Yes","",IF($E241="PTA",IF(AND(OR(I241="Accepted",I241="Not Needed"),OR(H241="Accepted",H241="Not Needed")),"None",MID(IF(AND(I241&lt;&gt;"Accepted",I241&lt;&gt;"Not Needed"),", "&amp;I$1,"")&amp;IF(AND(H241&lt;&gt;"Accepted",H241&lt;&gt;"Not Needed"),", "&amp;H$1,""),3,400)),IF($Q241&gt;=Settings!$C$13,"None",MID(IF(AND(G241&lt;&gt;"Accepted",G241&lt;&gt;"Not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Sharpstown HS</t>
        </is>
      </c>
      <c r="C242" s="31" t="inlineStr">
        <is>
          <t>NES Secondary</t>
        </is>
      </c>
      <c r="D242" s="31" t="inlineStr">
        <is>
          <t>Not Yet Confirmed</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Confirmed",IF($E242="PTA",IF(AND(OR(I242="Accepted",I242="Not Needed"),OR(H242="Accepted",H242="Not Needed")),"Registered",IF(OR(OR(I242="Accepted",I242="Received",I242="Needs Correction"),OR(H242="Accepted",H242="Received",H242="Needs Correction")),"In Progress","Not Started")),IF($Q242&gt;=Settings!$C$13,"Legalized",IF($P242&gt;=Settings!$C$12,"Registered",IF($O242&gt;0,"In Progress","Not Started")))))))</f>
        <v/>
      </c>
      <c r="S242" s="32">
        <f>IF($B242="","",COUNTIF(G242:N242,"Received"))</f>
        <v/>
      </c>
      <c r="T242" s="32">
        <f>IF($B242="","",COUNTIF(G242:N242,"Needs Correction"))</f>
        <v/>
      </c>
      <c r="U242" s="33">
        <f>IF($B242="","",IF($D242&lt;&gt;"Yes","",IF($E242="PTA",IF(AND(OR(I242="Accepted",I242="Not Needed"),OR(H242="Accepted",H242="Not Needed")),"None",MID(IF(AND(I242&lt;&gt;"Accepted",I242&lt;&gt;"Not Needed"),", "&amp;I$1,"")&amp;IF(AND(H242&lt;&gt;"Accepted",H242&lt;&gt;"Not Needed"),", "&amp;H$1,""),3,400)),IF($Q242&gt;=Settings!$C$13,"None",MID(IF(AND(G242&lt;&gt;"Accepted",G242&lt;&gt;"Not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Sharpstown Int</t>
        </is>
      </c>
      <c r="C243" s="31" t="inlineStr">
        <is>
          <t>EAS Secondary</t>
        </is>
      </c>
      <c r="D243" s="31" t="inlineStr">
        <is>
          <t>Not Yet Confirmed</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Confirmed",IF($E243="PTA",IF(AND(OR(I243="Accepted",I243="Not Needed"),OR(H243="Accepted",H243="Not Needed")),"Registered",IF(OR(OR(I243="Accepted",I243="Received",I243="Needs Correction"),OR(H243="Accepted",H243="Received",H243="Needs Correction")),"In Progress","Not Started")),IF($Q243&gt;=Settings!$C$13,"Legalized",IF($P243&gt;=Settings!$C$12,"Registered",IF($O243&gt;0,"In Progress","Not Started")))))))</f>
        <v/>
      </c>
      <c r="S243" s="32">
        <f>IF($B243="","",COUNTIF(G243:N243,"Received"))</f>
        <v/>
      </c>
      <c r="T243" s="32">
        <f>IF($B243="","",COUNTIF(G243:N243,"Needs Correction"))</f>
        <v/>
      </c>
      <c r="U243" s="33">
        <f>IF($B243="","",IF($D243&lt;&gt;"Yes","",IF($E243="PTA",IF(AND(OR(I243="Accepted",I243="Not Needed"),OR(H243="Accepted",H243="Not Needed")),"None",MID(IF(AND(I243&lt;&gt;"Accepted",I243&lt;&gt;"Not Needed"),", "&amp;I$1,"")&amp;IF(AND(H243&lt;&gt;"Accepted",H243&lt;&gt;"Not Needed"),", "&amp;H$1,""),3,400)),IF($Q243&gt;=Settings!$C$13,"None",MID(IF(AND(G243&lt;&gt;"Accepted",G243&lt;&gt;"Not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Smith ES</t>
        </is>
      </c>
      <c r="C244" s="31" t="inlineStr">
        <is>
          <t>NES Elementary</t>
        </is>
      </c>
      <c r="D244" s="31" t="inlineStr">
        <is>
          <t>Not Yet Confirmed</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Confirmed",IF($E244="PTA",IF(AND(OR(I244="Accepted",I244="Not Needed"),OR(H244="Accepted",H244="Not Needed")),"Registered",IF(OR(OR(I244="Accepted",I244="Received",I244="Needs Correction"),OR(H244="Accepted",H244="Received",H244="Needs Correction")),"In Progress","Not Started")),IF($Q244&gt;=Settings!$C$13,"Legalized",IF($P244&gt;=Settings!$C$12,"Registered",IF($O244&gt;0,"In Progress","Not Started")))))))</f>
        <v/>
      </c>
      <c r="S244" s="32">
        <f>IF($B244="","",COUNTIF(G244:N244,"Received"))</f>
        <v/>
      </c>
      <c r="T244" s="32">
        <f>IF($B244="","",COUNTIF(G244:N244,"Needs Correction"))</f>
        <v/>
      </c>
      <c r="U244" s="33">
        <f>IF($B244="","",IF($D244&lt;&gt;"Yes","",IF($E244="PTA",IF(AND(OR(I244="Accepted",I244="Not Needed"),OR(H244="Accepted",H244="Not Needed")),"None",MID(IF(AND(I244&lt;&gt;"Accepted",I244&lt;&gt;"Not Needed"),", "&amp;I$1,"")&amp;IF(AND(H244&lt;&gt;"Accepted",H244&lt;&gt;"Not Needed"),", "&amp;H$1,""),3,400)),IF($Q244&gt;=Settings!$C$13,"None",MID(IF(AND(G244&lt;&gt;"Accepted",G244&lt;&gt;"Not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Southmayd ES</t>
        </is>
      </c>
      <c r="C245" s="31" t="inlineStr">
        <is>
          <t>NES Elementary</t>
        </is>
      </c>
      <c r="D245" s="31" t="inlineStr">
        <is>
          <t>Not Yet Confirmed</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Confirmed",IF($E245="PTA",IF(AND(OR(I245="Accepted",I245="Not Needed"),OR(H245="Accepted",H245="Not Needed")),"Registered",IF(OR(OR(I245="Accepted",I245="Received",I245="Needs Correction"),OR(H245="Accepted",H245="Received",H245="Needs Correction")),"In Progress","Not Started")),IF($Q245&gt;=Settings!$C$13,"Legalized",IF($P245&gt;=Settings!$C$12,"Registered",IF($O245&gt;0,"In Progress","Not Started")))))))</f>
        <v/>
      </c>
      <c r="S245" s="32">
        <f>IF($B245="","",COUNTIF(G245:N245,"Received"))</f>
        <v/>
      </c>
      <c r="T245" s="32">
        <f>IF($B245="","",COUNTIF(G245:N245,"Needs Correction"))</f>
        <v/>
      </c>
      <c r="U245" s="33">
        <f>IF($B245="","",IF($D245&lt;&gt;"Yes","",IF($E245="PTA",IF(AND(OR(I245="Accepted",I245="Not Needed"),OR(H245="Accepted",H245="Not Needed")),"None",MID(IF(AND(I245&lt;&gt;"Accepted",I245&lt;&gt;"Not Needed"),", "&amp;I$1,"")&amp;IF(AND(H245&lt;&gt;"Accepted",H245&lt;&gt;"Not Needed"),", "&amp;H$1,""),3,400)),IF($Q245&gt;=Settings!$C$13,"None",MID(IF(AND(G245&lt;&gt;"Accepted",G245&lt;&gt;"Not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SPED HCC Lifeskills</t>
        </is>
      </c>
      <c r="C246" s="31" t="inlineStr">
        <is>
          <t>Programs/Charters</t>
        </is>
      </c>
      <c r="D246" s="31" t="inlineStr">
        <is>
          <t>Not Yet Confirmed</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Confirmed",IF($E246="PTA",IF(AND(OR(I246="Accepted",I246="Not Needed"),OR(H246="Accepted",H246="Not Needed")),"Registered",IF(OR(OR(I246="Accepted",I246="Received",I246="Needs Correction"),OR(H246="Accepted",H246="Received",H246="Needs Correction")),"In Progress","Not Started")),IF($Q246&gt;=Settings!$C$13,"Legalized",IF($P246&gt;=Settings!$C$12,"Registered",IF($O246&gt;0,"In Progress","Not Started")))))))</f>
        <v/>
      </c>
      <c r="S246" s="32">
        <f>IF($B246="","",COUNTIF(G246:N246,"Received"))</f>
        <v/>
      </c>
      <c r="T246" s="32">
        <f>IF($B246="","",COUNTIF(G246:N246,"Needs Correction"))</f>
        <v/>
      </c>
      <c r="U246" s="33">
        <f>IF($B246="","",IF($D246&lt;&gt;"Yes","",IF($E246="PTA",IF(AND(OR(I246="Accepted",I246="Not Needed"),OR(H246="Accepted",H246="Not Needed")),"None",MID(IF(AND(I246&lt;&gt;"Accepted",I246&lt;&gt;"Not Needed"),", "&amp;I$1,"")&amp;IF(AND(H246&lt;&gt;"Accepted",H246&lt;&gt;"Not Needed"),", "&amp;H$1,""),3,400)),IF($Q246&gt;=Settings!$C$13,"None",MID(IF(AND(G246&lt;&gt;"Accepted",G246&lt;&gt;"Not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SPED RDSPD</t>
        </is>
      </c>
      <c r="C247" s="31" t="inlineStr">
        <is>
          <t>Programs/Charters</t>
        </is>
      </c>
      <c r="D247" s="31" t="inlineStr">
        <is>
          <t>Not Yet Confirmed</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Confirmed",IF($E247="PTA",IF(AND(OR(I247="Accepted",I247="Not Needed"),OR(H247="Accepted",H247="Not Needed")),"Registered",IF(OR(OR(I247="Accepted",I247="Received",I247="Needs Correction"),OR(H247="Accepted",H247="Received",H247="Needs Correction")),"In Progress","Not Started")),IF($Q247&gt;=Settings!$C$13,"Legalized",IF($P247&gt;=Settings!$C$12,"Registered",IF($O247&gt;0,"In Progress","Not Started")))))))</f>
        <v/>
      </c>
      <c r="S247" s="32">
        <f>IF($B247="","",COUNTIF(G247:N247,"Received"))</f>
        <v/>
      </c>
      <c r="T247" s="32">
        <f>IF($B247="","",COUNTIF(G247:N247,"Needs Correction"))</f>
        <v/>
      </c>
      <c r="U247" s="33">
        <f>IF($B247="","",IF($D247&lt;&gt;"Yes","",IF($E247="PTA",IF(AND(OR(I247="Accepted",I247="Not Needed"),OR(H247="Accepted",H247="Not Needed")),"None",MID(IF(AND(I247&lt;&gt;"Accepted",I247&lt;&gt;"Not Needed"),", "&amp;I$1,"")&amp;IF(AND(H247&lt;&gt;"Accepted",H247&lt;&gt;"Not Needed"),", "&amp;H$1,""),3,400)),IF($Q247&gt;=Settings!$C$13,"None",MID(IF(AND(G247&lt;&gt;"Accepted",G247&lt;&gt;"Not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SPED SOAR</t>
        </is>
      </c>
      <c r="C248" s="31" t="inlineStr">
        <is>
          <t>Programs/Charters</t>
        </is>
      </c>
      <c r="D248" s="31" t="inlineStr">
        <is>
          <t>Not Yet Confirmed</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Confirmed",IF($E248="PTA",IF(AND(OR(I248="Accepted",I248="Not Needed"),OR(H248="Accepted",H248="Not Needed")),"Registered",IF(OR(OR(I248="Accepted",I248="Received",I248="Needs Correction"),OR(H248="Accepted",H248="Received",H248="Needs Correction")),"In Progress","Not Started")),IF($Q248&gt;=Settings!$C$13,"Legalized",IF($P248&gt;=Settings!$C$12,"Registered",IF($O248&gt;0,"In Progress","Not Started")))))))</f>
        <v/>
      </c>
      <c r="S248" s="32">
        <f>IF($B248="","",COUNTIF(G248:N248,"Received"))</f>
        <v/>
      </c>
      <c r="T248" s="32">
        <f>IF($B248="","",COUNTIF(G248:N248,"Needs Correction"))</f>
        <v/>
      </c>
      <c r="U248" s="33">
        <f>IF($B248="","",IF($D248&lt;&gt;"Yes","",IF($E248="PTA",IF(AND(OR(I248="Accepted",I248="Not Needed"),OR(H248="Accepted",H248="Not Needed")),"None",MID(IF(AND(I248&lt;&gt;"Accepted",I248&lt;&gt;"Not Needed"),", "&amp;I$1,"")&amp;IF(AND(H248&lt;&gt;"Accepted",H248&lt;&gt;"Not Needed"),", "&amp;H$1,""),3,400)),IF($Q248&gt;=Settings!$C$13,"None",MID(IF(AND(G248&lt;&gt;"Accepted",G248&lt;&gt;"Not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Sterling HS</t>
        </is>
      </c>
      <c r="C249" s="31" t="inlineStr">
        <is>
          <t>NES Secondary</t>
        </is>
      </c>
      <c r="D249" s="31" t="inlineStr">
        <is>
          <t>Not Yet Confirmed</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Confirmed",IF($E249="PTA",IF(AND(OR(I249="Accepted",I249="Not Needed"),OR(H249="Accepted",H249="Not Needed")),"Registered",IF(OR(OR(I249="Accepted",I249="Received",I249="Needs Correction"),OR(H249="Accepted",H249="Received",H249="Needs Correction")),"In Progress","Not Started")),IF($Q249&gt;=Settings!$C$13,"Legalized",IF($P249&gt;=Settings!$C$12,"Registered",IF($O249&gt;0,"In Progress","Not Started")))))))</f>
        <v/>
      </c>
      <c r="S249" s="32">
        <f>IF($B249="","",COUNTIF(G249:N249,"Received"))</f>
        <v/>
      </c>
      <c r="T249" s="32">
        <f>IF($B249="","",COUNTIF(G249:N249,"Needs Correction"))</f>
        <v/>
      </c>
      <c r="U249" s="33">
        <f>IF($B249="","",IF($D249&lt;&gt;"Yes","",IF($E249="PTA",IF(AND(OR(I249="Accepted",I249="Not Needed"),OR(H249="Accepted",H249="Not Needed")),"None",MID(IF(AND(I249&lt;&gt;"Accepted",I249&lt;&gt;"Not Needed"),", "&amp;I$1,"")&amp;IF(AND(H249&lt;&gt;"Accepted",H249&lt;&gt;"Not Needed"),", "&amp;H$1,""),3,400)),IF($Q249&gt;=Settings!$C$13,"None",MID(IF(AND(G249&lt;&gt;"Accepted",G249&lt;&gt;"Not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Sugar Grove MS</t>
        </is>
      </c>
      <c r="C250" s="31" t="inlineStr">
        <is>
          <t>NES Secondary</t>
        </is>
      </c>
      <c r="D250" s="31" t="inlineStr">
        <is>
          <t>Not Yet Confirmed</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Confirmed",IF($E250="PTA",IF(AND(OR(I250="Accepted",I250="Not Needed"),OR(H250="Accepted",H250="Not Needed")),"Registered",IF(OR(OR(I250="Accepted",I250="Received",I250="Needs Correction"),OR(H250="Accepted",H250="Received",H250="Needs Correction")),"In Progress","Not Started")),IF($Q250&gt;=Settings!$C$13,"Legalized",IF($P250&gt;=Settings!$C$12,"Registered",IF($O250&gt;0,"In Progress","Not Started")))))))</f>
        <v/>
      </c>
      <c r="S250" s="32">
        <f>IF($B250="","",COUNTIF(G250:N250,"Received"))</f>
        <v/>
      </c>
      <c r="T250" s="32">
        <f>IF($B250="","",COUNTIF(G250:N250,"Needs Correction"))</f>
        <v/>
      </c>
      <c r="U250" s="33">
        <f>IF($B250="","",IF($D250&lt;&gt;"Yes","",IF($E250="PTA",IF(AND(OR(I250="Accepted",I250="Not Needed"),OR(H250="Accepted",H250="Not Needed")),"None",MID(IF(AND(I250&lt;&gt;"Accepted",I250&lt;&gt;"Not Needed"),", "&amp;I$1,"")&amp;IF(AND(H250&lt;&gt;"Accepted",H250&lt;&gt;"Not Needed"),", "&amp;H$1,""),3,400)),IF($Q250&gt;=Settings!$C$13,"None",MID(IF(AND(G250&lt;&gt;"Accepted",G250&lt;&gt;"Not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TCAH</t>
        </is>
      </c>
      <c r="C251" s="31" t="inlineStr">
        <is>
          <t>Programs/Charters</t>
        </is>
      </c>
      <c r="D251" s="31" t="inlineStr">
        <is>
          <t>Not Yet Confirmed</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Confirmed",IF($E251="PTA",IF(AND(OR(I251="Accepted",I251="Not Needed"),OR(H251="Accepted",H251="Not Needed")),"Registered",IF(OR(OR(I251="Accepted",I251="Received",I251="Needs Correction"),OR(H251="Accepted",H251="Received",H251="Needs Correction")),"In Progress","Not Started")),IF($Q251&gt;=Settings!$C$13,"Legalized",IF($P251&gt;=Settings!$C$12,"Registered",IF($O251&gt;0,"In Progress","Not Started")))))))</f>
        <v/>
      </c>
      <c r="S251" s="32">
        <f>IF($B251="","",COUNTIF(G251:N251,"Received"))</f>
        <v/>
      </c>
      <c r="T251" s="32">
        <f>IF($B251="","",COUNTIF(G251:N251,"Needs Correction"))</f>
        <v/>
      </c>
      <c r="U251" s="33">
        <f>IF($B251="","",IF($D251&lt;&gt;"Yes","",IF($E251="PTA",IF(AND(OR(I251="Accepted",I251="Not Needed"),OR(H251="Accepted",H251="Not Needed")),"None",MID(IF(AND(I251&lt;&gt;"Accepted",I251&lt;&gt;"Not Needed"),", "&amp;I$1,"")&amp;IF(AND(H251&lt;&gt;"Accepted",H251&lt;&gt;"Not Needed"),", "&amp;H$1,""),3,400)),IF($Q251&gt;=Settings!$C$13,"None",MID(IF(AND(G251&lt;&gt;"Accepted",G251&lt;&gt;"Not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Thomas MS</t>
        </is>
      </c>
      <c r="C252" s="31" t="inlineStr">
        <is>
          <t>NES Secondary</t>
        </is>
      </c>
      <c r="D252" s="31" t="inlineStr">
        <is>
          <t>Not Yet Confirmed</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Confirmed",IF($E252="PTA",IF(AND(OR(I252="Accepted",I252="Not Needed"),OR(H252="Accepted",H252="Not Needed")),"Registered",IF(OR(OR(I252="Accepted",I252="Received",I252="Needs Correction"),OR(H252="Accepted",H252="Received",H252="Needs Correction")),"In Progress","Not Started")),IF($Q252&gt;=Settings!$C$13,"Legalized",IF($P252&gt;=Settings!$C$12,"Registered",IF($O252&gt;0,"In Progress","Not Started")))))))</f>
        <v/>
      </c>
      <c r="S252" s="32">
        <f>IF($B252="","",COUNTIF(G252:N252,"Received"))</f>
        <v/>
      </c>
      <c r="T252" s="32">
        <f>IF($B252="","",COUNTIF(G252:N252,"Needs Correction"))</f>
        <v/>
      </c>
      <c r="U252" s="33">
        <f>IF($B252="","",IF($D252&lt;&gt;"Yes","",IF($E252="PTA",IF(AND(OR(I252="Accepted",I252="Not Needed"),OR(H252="Accepted",H252="Not Needed")),"None",MID(IF(AND(I252&lt;&gt;"Accepted",I252&lt;&gt;"Not Needed"),", "&amp;I$1,"")&amp;IF(AND(H252&lt;&gt;"Accepted",H252&lt;&gt;"Not Needed"),", "&amp;H$1,""),3,400)),IF($Q252&gt;=Settings!$C$13,"None",MID(IF(AND(G252&lt;&gt;"Accepted",G252&lt;&gt;"Not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Thompson ES</t>
        </is>
      </c>
      <c r="C253" s="31" t="inlineStr">
        <is>
          <t>NES Elementary</t>
        </is>
      </c>
      <c r="D253" s="31" t="inlineStr">
        <is>
          <t>Not Yet Confirmed</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Confirmed",IF($E253="PTA",IF(AND(OR(I253="Accepted",I253="Not Needed"),OR(H253="Accepted",H253="Not Needed")),"Registered",IF(OR(OR(I253="Accepted",I253="Received",I253="Needs Correction"),OR(H253="Accepted",H253="Received",H253="Needs Correction")),"In Progress","Not Started")),IF($Q253&gt;=Settings!$C$13,"Legalized",IF($P253&gt;=Settings!$C$12,"Registered",IF($O253&gt;0,"In Progress","Not Started")))))))</f>
        <v/>
      </c>
      <c r="S253" s="32">
        <f>IF($B253="","",COUNTIF(G253:N253,"Received"))</f>
        <v/>
      </c>
      <c r="T253" s="32">
        <f>IF($B253="","",COUNTIF(G253:N253,"Needs Correction"))</f>
        <v/>
      </c>
      <c r="U253" s="33">
        <f>IF($B253="","",IF($D253&lt;&gt;"Yes","",IF($E253="PTA",IF(AND(OR(I253="Accepted",I253="Not Needed"),OR(H253="Accepted",H253="Not Needed")),"None",MID(IF(AND(I253&lt;&gt;"Accepted",I253&lt;&gt;"Not Needed"),", "&amp;I$1,"")&amp;IF(AND(H253&lt;&gt;"Accepted",H253&lt;&gt;"Not Needed"),", "&amp;H$1,""),3,400)),IF($Q253&gt;=Settings!$C$13,"None",MID(IF(AND(G253&lt;&gt;"Accepted",G253&lt;&gt;"Not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Tinsley ES</t>
        </is>
      </c>
      <c r="C254" s="31" t="inlineStr">
        <is>
          <t>NES Elementary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Confirmed",IF($E254="PTA",IF(AND(OR(I254="Accepted",I254="Not Needed"),OR(H254="Accepted",H254="Not Needed")),"Registered",IF(OR(OR(I254="Accepted",I254="Received",I254="Needs Correction"),OR(H254="Accepted",H254="Received",H254="Needs Correction")),"In Progress","Not Started")),IF($Q254&gt;=Settings!$C$13,"Legalized",IF($P254&gt;=Settings!$C$12,"Registered",IF($O254&gt;0,"In Progress","Not Started")))))))</f>
        <v/>
      </c>
      <c r="S254" s="32">
        <f>IF($B254="","",COUNTIF(G254:N254,"Received"))</f>
        <v/>
      </c>
      <c r="T254" s="32">
        <f>IF($B254="","",COUNTIF(G254:N254,"Needs Correction"))</f>
        <v/>
      </c>
      <c r="U254" s="33">
        <f>IF($B254="","",IF($D254&lt;&gt;"Yes","",IF($E254="PTA",IF(AND(OR(I254="Accepted",I254="Not Needed"),OR(H254="Accepted",H254="Not Needed")),"None",MID(IF(AND(I254&lt;&gt;"Accepted",I254&lt;&gt;"Not Needed"),", "&amp;I$1,"")&amp;IF(AND(H254&lt;&gt;"Accepted",H254&lt;&gt;"Not Needed"),", "&amp;H$1,""),3,400)),IF($Q254&gt;=Settings!$C$13,"None",MID(IF(AND(G254&lt;&gt;"Accepted",G254&lt;&gt;"Not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Valley West ES</t>
        </is>
      </c>
      <c r="C255" s="31" t="inlineStr">
        <is>
          <t>NES Elementary</t>
        </is>
      </c>
      <c r="D255" s="31" t="inlineStr">
        <is>
          <t>Not Yet Confirmed</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Confirmed",IF($E255="PTA",IF(AND(OR(I255="Accepted",I255="Not Needed"),OR(H255="Accepted",H255="Not Needed")),"Registered",IF(OR(OR(I255="Accepted",I255="Received",I255="Needs Correction"),OR(H255="Accepted",H255="Received",H255="Needs Correction")),"In Progress","Not Started")),IF($Q255&gt;=Settings!$C$13,"Legalized",IF($P255&gt;=Settings!$C$12,"Registered",IF($O255&gt;0,"In Progress","Not Started")))))))</f>
        <v/>
      </c>
      <c r="S255" s="32">
        <f>IF($B255="","",COUNTIF(G255:N255,"Received"))</f>
        <v/>
      </c>
      <c r="T255" s="32">
        <f>IF($B255="","",COUNTIF(G255:N255,"Needs Correction"))</f>
        <v/>
      </c>
      <c r="U255" s="33">
        <f>IF($B255="","",IF($D255&lt;&gt;"Yes","",IF($E255="PTA",IF(AND(OR(I255="Accepted",I255="Not Needed"),OR(H255="Accepted",H255="Not Needed")),"None",MID(IF(AND(I255&lt;&gt;"Accepted",I255&lt;&gt;"Not Needed"),", "&amp;I$1,"")&amp;IF(AND(H255&lt;&gt;"Accepted",H255&lt;&gt;"Not Needed"),", "&amp;H$1,""),3,400)),IF($Q255&gt;=Settings!$C$13,"None",MID(IF(AND(G255&lt;&gt;"Accepted",G255&lt;&gt;"Not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Virtual Launchpad</t>
        </is>
      </c>
      <c r="C256" s="31" t="inlineStr">
        <is>
          <t>Programs/Charters</t>
        </is>
      </c>
      <c r="D256" s="31" t="inlineStr">
        <is>
          <t>Not Yet Confirmed</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Confirmed",IF($E256="PTA",IF(AND(OR(I256="Accepted",I256="Not Needed"),OR(H256="Accepted",H256="Not Needed")),"Registered",IF(OR(OR(I256="Accepted",I256="Received",I256="Needs Correction"),OR(H256="Accepted",H256="Received",H256="Needs Correction")),"In Progress","Not Started")),IF($Q256&gt;=Settings!$C$13,"Legalized",IF($P256&gt;=Settings!$C$12,"Registered",IF($O256&gt;0,"In Progress","Not Started")))))))</f>
        <v/>
      </c>
      <c r="S256" s="32">
        <f>IF($B256="","",COUNTIF(G256:N256,"Received"))</f>
        <v/>
      </c>
      <c r="T256" s="32">
        <f>IF($B256="","",COUNTIF(G256:N256,"Needs Correction"))</f>
        <v/>
      </c>
      <c r="U256" s="33">
        <f>IF($B256="","",IF($D256&lt;&gt;"Yes","",IF($E256="PTA",IF(AND(OR(I256="Accepted",I256="Not Needed"),OR(H256="Accepted",H256="Not Needed")),"None",MID(IF(AND(I256&lt;&gt;"Accepted",I256&lt;&gt;"Not Needed"),", "&amp;I$1,"")&amp;IF(AND(H256&lt;&gt;"Accepted",H256&lt;&gt;"Not Needed"),", "&amp;H$1,""),3,400)),IF($Q256&gt;=Settings!$C$13,"None",MID(IF(AND(G256&lt;&gt;"Accepted",G256&lt;&gt;"Not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Wainwright ES</t>
        </is>
      </c>
      <c r="C257" s="31" t="inlineStr">
        <is>
          <t>NES Elementary</t>
        </is>
      </c>
      <c r="D257" s="31" t="inlineStr">
        <is>
          <t>Not Yet Confirmed</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Confirmed",IF($E257="PTA",IF(AND(OR(I257="Accepted",I257="Not Needed"),OR(H257="Accepted",H257="Not Needed")),"Registered",IF(OR(OR(I257="Accepted",I257="Received",I257="Needs Correction"),OR(H257="Accepted",H257="Received",H257="Needs Correction")),"In Progress","Not Started")),IF($Q257&gt;=Settings!$C$13,"Legalized",IF($P257&gt;=Settings!$C$12,"Registered",IF($O257&gt;0,"In Progress","Not Started")))))))</f>
        <v/>
      </c>
      <c r="S257" s="32">
        <f>IF($B257="","",COUNTIF(G257:N257,"Received"))</f>
        <v/>
      </c>
      <c r="T257" s="32">
        <f>IF($B257="","",COUNTIF(G257:N257,"Needs Correction"))</f>
        <v/>
      </c>
      <c r="U257" s="33">
        <f>IF($B257="","",IF($D257&lt;&gt;"Yes","",IF($E257="PTA",IF(AND(OR(I257="Accepted",I257="Not Needed"),OR(H257="Accepted",H257="Not Needed")),"None",MID(IF(AND(I257&lt;&gt;"Accepted",I257&lt;&gt;"Not Needed"),", "&amp;I$1,"")&amp;IF(AND(H257&lt;&gt;"Accepted",H257&lt;&gt;"Not Needed"),", "&amp;H$1,""),3,400)),IF($Q257&gt;=Settings!$C$13,"None",MID(IF(AND(G257&lt;&gt;"Accepted",G257&lt;&gt;"Not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Washington HS</t>
        </is>
      </c>
      <c r="C258" s="31" t="inlineStr">
        <is>
          <t>NES Secondary</t>
        </is>
      </c>
      <c r="D258" s="31" t="inlineStr">
        <is>
          <t>Not Yet Confirmed</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Confirmed",IF($E258="PTA",IF(AND(OR(I258="Accepted",I258="Not Needed"),OR(H258="Accepted",H258="Not Needed")),"Registered",IF(OR(OR(I258="Accepted",I258="Received",I258="Needs Correction"),OR(H258="Accepted",H258="Received",H258="Needs Correction")),"In Progress","Not Started")),IF($Q258&gt;=Settings!$C$13,"Legalized",IF($P258&gt;=Settings!$C$12,"Registered",IF($O258&gt;0,"In Progress","Not Started")))))))</f>
        <v/>
      </c>
      <c r="S258" s="32">
        <f>IF($B258="","",COUNTIF(G258:N258,"Received"))</f>
        <v/>
      </c>
      <c r="T258" s="32">
        <f>IF($B258="","",COUNTIF(G258:N258,"Needs Correction"))</f>
        <v/>
      </c>
      <c r="U258" s="33">
        <f>IF($B258="","",IF($D258&lt;&gt;"Yes","",IF($E258="PTA",IF(AND(OR(I258="Accepted",I258="Not Needed"),OR(H258="Accepted",H258="Not Needed")),"None",MID(IF(AND(I258&lt;&gt;"Accepted",I258&lt;&gt;"Not Needed"),", "&amp;I$1,"")&amp;IF(AND(H258&lt;&gt;"Accepted",H258&lt;&gt;"Not Needed"),", "&amp;H$1,""),3,400)),IF($Q258&gt;=Settings!$C$13,"None",MID(IF(AND(G258&lt;&gt;"Accepted",G258&lt;&gt;"Not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Welch MS</t>
        </is>
      </c>
      <c r="C259" s="31" t="inlineStr">
        <is>
          <t>NES Secondary</t>
        </is>
      </c>
      <c r="D259" s="31" t="inlineStr">
        <is>
          <t>Not Yet Confirmed</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Confirmed",IF($E259="PTA",IF(AND(OR(I259="Accepted",I259="Not Needed"),OR(H259="Accepted",H259="Not Needed")),"Registered",IF(OR(OR(I259="Accepted",I259="Received",I259="Needs Correction"),OR(H259="Accepted",H259="Received",H259="Needs Correction")),"In Progress","Not Started")),IF($Q259&gt;=Settings!$C$13,"Legalized",IF($P259&gt;=Settings!$C$12,"Registered",IF($O259&gt;0,"In Progress","Not Started")))))))</f>
        <v/>
      </c>
      <c r="S259" s="32">
        <f>IF($B259="","",COUNTIF(G259:N259,"Received"))</f>
        <v/>
      </c>
      <c r="T259" s="32">
        <f>IF($B259="","",COUNTIF(G259:N259,"Needs Correction"))</f>
        <v/>
      </c>
      <c r="U259" s="33">
        <f>IF($B259="","",IF($D259&lt;&gt;"Yes","",IF($E259="PTA",IF(AND(OR(I259="Accepted",I259="Not Needed"),OR(H259="Accepted",H259="Not Needed")),"None",MID(IF(AND(I259&lt;&gt;"Accepted",I259&lt;&gt;"Not Needed"),", "&amp;I$1,"")&amp;IF(AND(H259&lt;&gt;"Accepted",H259&lt;&gt;"Not Needed"),", "&amp;H$1,""),3,400)),IF($Q259&gt;=Settings!$C$13,"None",MID(IF(AND(G259&lt;&gt;"Accepted",G259&lt;&gt;"Not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Wesley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Confirmed",IF($E260="PTA",IF(AND(OR(I260="Accepted",I260="Not Needed"),OR(H260="Accepted",H260="Not Needed")),"Registered",IF(OR(OR(I260="Accepted",I260="Received",I260="Needs Correction"),OR(H260="Accepted",H260="Received",H260="Needs Correction")),"In Progress","Not Started")),IF($Q260&gt;=Settings!$C$13,"Legalized",IF($P260&gt;=Settings!$C$12,"Registered",IF($O260&gt;0,"In Progress","Not Started")))))))</f>
        <v/>
      </c>
      <c r="S260" s="32">
        <f>IF($B260="","",COUNTIF(G260:N260,"Received"))</f>
        <v/>
      </c>
      <c r="T260" s="32">
        <f>IF($B260="","",COUNTIF(G260:N260,"Needs Correction"))</f>
        <v/>
      </c>
      <c r="U260" s="33">
        <f>IF($B260="","",IF($D260&lt;&gt;"Yes","",IF($E260="PTA",IF(AND(OR(I260="Accepted",I260="Not Needed"),OR(H260="Accepted",H260="Not Needed")),"None",MID(IF(AND(I260&lt;&gt;"Accepted",I260&lt;&gt;"Not Needed"),", "&amp;I$1,"")&amp;IF(AND(H260&lt;&gt;"Accepted",H260&lt;&gt;"Not Needed"),", "&amp;H$1,""),3,400)),IF($Q260&gt;=Settings!$C$13,"None",MID(IF(AND(G260&lt;&gt;"Accepted",G260&lt;&gt;"Not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Wheatley HS</t>
        </is>
      </c>
      <c r="C261" s="31" t="inlineStr">
        <is>
          <t>NES Secondary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Confirmed",IF($E261="PTA",IF(AND(OR(I261="Accepted",I261="Not Needed"),OR(H261="Accepted",H261="Not Needed")),"Registered",IF(OR(OR(I261="Accepted",I261="Received",I261="Needs Correction"),OR(H261="Accepted",H261="Received",H261="Needs Correction")),"In Progress","Not Started")),IF($Q261&gt;=Settings!$C$13,"Legalized",IF($P261&gt;=Settings!$C$12,"Registered",IF($O261&gt;0,"In Progress","Not Started")))))))</f>
        <v/>
      </c>
      <c r="S261" s="32">
        <f>IF($B261="","",COUNTIF(G261:N261,"Received"))</f>
        <v/>
      </c>
      <c r="T261" s="32">
        <f>IF($B261="","",COUNTIF(G261:N261,"Needs Correction"))</f>
        <v/>
      </c>
      <c r="U261" s="33">
        <f>IF($B261="","",IF($D261&lt;&gt;"Yes","",IF($E261="PTA",IF(AND(OR(I261="Accepted",I261="Not Needed"),OR(H261="Accepted",H261="Not Needed")),"None",MID(IF(AND(I261&lt;&gt;"Accepted",I261&lt;&gt;"Not Needed"),", "&amp;I$1,"")&amp;IF(AND(H261&lt;&gt;"Accepted",H261&lt;&gt;"Not Needed"),", "&amp;H$1,""),3,400)),IF($Q261&gt;=Settings!$C$13,"None",MID(IF(AND(G261&lt;&gt;"Accepted",G261&lt;&gt;"Not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Whidby ES</t>
        </is>
      </c>
      <c r="C262" s="31" t="inlineStr">
        <is>
          <t>NES Elementary</t>
        </is>
      </c>
      <c r="D262" s="31" t="inlineStr">
        <is>
          <t>Not Yet Confirmed</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Confirmed",IF($E262="PTA",IF(AND(OR(I262="Accepted",I262="Not Needed"),OR(H262="Accepted",H262="Not Needed")),"Registered",IF(OR(OR(I262="Accepted",I262="Received",I262="Needs Correction"),OR(H262="Accepted",H262="Received",H262="Needs Correction")),"In Progress","Not Started")),IF($Q262&gt;=Settings!$C$13,"Legalized",IF($P262&gt;=Settings!$C$12,"Registered",IF($O262&gt;0,"In Progress","Not Started")))))))</f>
        <v/>
      </c>
      <c r="S262" s="32">
        <f>IF($B262="","",COUNTIF(G262:N262,"Received"))</f>
        <v/>
      </c>
      <c r="T262" s="32">
        <f>IF($B262="","",COUNTIF(G262:N262,"Needs Correction"))</f>
        <v/>
      </c>
      <c r="U262" s="33">
        <f>IF($B262="","",IF($D262&lt;&gt;"Yes","",IF($E262="PTA",IF(AND(OR(I262="Accepted",I262="Not Needed"),OR(H262="Accepted",H262="Not Needed")),"None",MID(IF(AND(I262&lt;&gt;"Accepted",I262&lt;&gt;"Not Needed"),", "&amp;I$1,"")&amp;IF(AND(H262&lt;&gt;"Accepted",H262&lt;&gt;"Not Needed"),", "&amp;H$1,""),3,400)),IF($Q262&gt;=Settings!$C$13,"None",MID(IF(AND(G262&lt;&gt;"Accepted",G262&lt;&gt;"Not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White, Ed. ES</t>
        </is>
      </c>
      <c r="C263" s="31" t="inlineStr">
        <is>
          <t>NES Elementary</t>
        </is>
      </c>
      <c r="D263" s="31" t="inlineStr">
        <is>
          <t>Not Yet Confirmed</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Confirmed",IF($E263="PTA",IF(AND(OR(I263="Accepted",I263="Not Needed"),OR(H263="Accepted",H263="Not Needed")),"Registered",IF(OR(OR(I263="Accepted",I263="Received",I263="Needs Correction"),OR(H263="Accepted",H263="Received",H263="Needs Correction")),"In Progress","Not Started")),IF($Q263&gt;=Settings!$C$13,"Legalized",IF($P263&gt;=Settings!$C$12,"Registered",IF($O263&gt;0,"In Progress","Not Started")))))))</f>
        <v/>
      </c>
      <c r="S263" s="32">
        <f>IF($B263="","",COUNTIF(G263:N263,"Received"))</f>
        <v/>
      </c>
      <c r="T263" s="32">
        <f>IF($B263="","",COUNTIF(G263:N263,"Needs Correction"))</f>
        <v/>
      </c>
      <c r="U263" s="33">
        <f>IF($B263="","",IF($D263&lt;&gt;"Yes","",IF($E263="PTA",IF(AND(OR(I263="Accepted",I263="Not Needed"),OR(H263="Accepted",H263="Not Needed")),"None",MID(IF(AND(I263&lt;&gt;"Accepted",I263&lt;&gt;"Not Needed"),", "&amp;I$1,"")&amp;IF(AND(H263&lt;&gt;"Accepted",H263&lt;&gt;"Not Needed"),", "&amp;H$1,""),3,400)),IF($Q263&gt;=Settings!$C$13,"None",MID(IF(AND(G263&lt;&gt;"Accepted",G263&lt;&gt;"Not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Whittier ES</t>
        </is>
      </c>
      <c r="C264" s="31" t="inlineStr">
        <is>
          <t>NES Elementary</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Confirmed",IF($E264="PTA",IF(AND(OR(I264="Accepted",I264="Not Needed"),OR(H264="Accepted",H264="Not Needed")),"Registered",IF(OR(OR(I264="Accepted",I264="Received",I264="Needs Correction"),OR(H264="Accepted",H264="Received",H264="Needs Correction")),"In Progress","Not Started")),IF($Q264&gt;=Settings!$C$13,"Legalized",IF($P264&gt;=Settings!$C$12,"Registered",IF($O264&gt;0,"In Progress","Not Started")))))))</f>
        <v/>
      </c>
      <c r="S264" s="32">
        <f>IF($B264="","",COUNTIF(G264:N264,"Received"))</f>
        <v/>
      </c>
      <c r="T264" s="32">
        <f>IF($B264="","",COUNTIF(G264:N264,"Needs Correction"))</f>
        <v/>
      </c>
      <c r="U264" s="33">
        <f>IF($B264="","",IF($D264&lt;&gt;"Yes","",IF($E264="PTA",IF(AND(OR(I264="Accepted",I264="Not Needed"),OR(H264="Accepted",H264="Not Needed")),"None",MID(IF(AND(I264&lt;&gt;"Accepted",I264&lt;&gt;"Not Needed"),", "&amp;I$1,"")&amp;IF(AND(H264&lt;&gt;"Accepted",H264&lt;&gt;"Not Needed"),", "&amp;H$1,""),3,400)),IF($Q264&gt;=Settings!$C$13,"None",MID(IF(AND(G264&lt;&gt;"Accepted",G264&lt;&gt;"Not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Windsor Village ES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Confirmed",IF($E265="PTA",IF(AND(OR(I265="Accepted",I265="Not Needed"),OR(H265="Accepted",H265="Not Needed")),"Registered",IF(OR(OR(I265="Accepted",I265="Received",I265="Needs Correction"),OR(H265="Accepted",H265="Received",H265="Needs Correction")),"In Progress","Not Started")),IF($Q265&gt;=Settings!$C$13,"Legalized",IF($P265&gt;=Settings!$C$12,"Registered",IF($O265&gt;0,"In Progress","Not Started")))))))</f>
        <v/>
      </c>
      <c r="S265" s="32">
        <f>IF($B265="","",COUNTIF(G265:N265,"Received"))</f>
        <v/>
      </c>
      <c r="T265" s="32">
        <f>IF($B265="","",COUNTIF(G265:N265,"Needs Correction"))</f>
        <v/>
      </c>
      <c r="U265" s="33">
        <f>IF($B265="","",IF($D265&lt;&gt;"Yes","",IF($E265="PTA",IF(AND(OR(I265="Accepted",I265="Not Needed"),OR(H265="Accepted",H265="Not Needed")),"None",MID(IF(AND(I265&lt;&gt;"Accepted",I265&lt;&gt;"Not Needed"),", "&amp;I$1,"")&amp;IF(AND(H265&lt;&gt;"Accepted",H265&lt;&gt;"Not Needed"),", "&amp;H$1,""),3,400)),IF($Q265&gt;=Settings!$C$13,"None",MID(IF(AND(G265&lt;&gt;"Accepted",G265&lt;&gt;"Not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inlineStr">
        <is>
          <t>2026-27</t>
        </is>
      </c>
      <c r="B266" s="31" t="inlineStr">
        <is>
          <t>Wisdom HS</t>
        </is>
      </c>
      <c r="C266" s="31" t="inlineStr">
        <is>
          <t>NES Secondary</t>
        </is>
      </c>
      <c r="D266" s="31" t="inlineStr">
        <is>
          <t>Not Yet Confirmed</t>
        </is>
      </c>
      <c r="E266" s="31" t="n"/>
      <c r="F266" s="31" t="n"/>
      <c r="G266" s="31" t="inlineStr">
        <is>
          <t>Not Received</t>
        </is>
      </c>
      <c r="H266" s="31" t="inlineStr">
        <is>
          <t>Not Received</t>
        </is>
      </c>
      <c r="I266" s="31" t="inlineStr">
        <is>
          <t>Not Received</t>
        </is>
      </c>
      <c r="J266" s="31" t="inlineStr">
        <is>
          <t>Not Received</t>
        </is>
      </c>
      <c r="K266" s="31" t="inlineStr">
        <is>
          <t>Not Received</t>
        </is>
      </c>
      <c r="L266" s="31" t="inlineStr">
        <is>
          <t>Not Received</t>
        </is>
      </c>
      <c r="M266" s="31" t="inlineStr">
        <is>
          <t>Not Received</t>
        </is>
      </c>
      <c r="N266" s="31" t="inlineStr">
        <is>
          <t>Not Received</t>
        </is>
      </c>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Confirmed",IF($E266="PTA",IF(AND(OR(I266="Accepted",I266="Not Needed"),OR(H266="Accepted",H266="Not Needed")),"Registered",IF(OR(OR(I266="Accepted",I266="Received",I266="Needs Correction"),OR(H266="Accepted",H266="Received",H266="Needs Correction")),"In Progress","Not Started")),IF($Q266&gt;=Settings!$C$13,"Legalized",IF($P266&gt;=Settings!$C$12,"Registered",IF($O266&gt;0,"In Progress","Not Started")))))))</f>
        <v/>
      </c>
      <c r="S266" s="32">
        <f>IF($B266="","",COUNTIF(G266:N266,"Received"))</f>
        <v/>
      </c>
      <c r="T266" s="32">
        <f>IF($B266="","",COUNTIF(G266:N266,"Needs Correction"))</f>
        <v/>
      </c>
      <c r="U266" s="33">
        <f>IF($B266="","",IF($D266&lt;&gt;"Yes","",IF($E266="PTA",IF(AND(OR(I266="Accepted",I266="Not Needed"),OR(H266="Accepted",H266="Not Needed")),"None",MID(IF(AND(I266&lt;&gt;"Accepted",I266&lt;&gt;"Not Needed"),", "&amp;I$1,"")&amp;IF(AND(H266&lt;&gt;"Accepted",H266&lt;&gt;"Not Needed"),", "&amp;H$1,""),3,400)),IF($Q266&gt;=Settings!$C$13,"None",MID(IF(AND(G266&lt;&gt;"Accepted",G266&lt;&gt;"Not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inlineStr">
        <is>
          <t>2026-27</t>
        </is>
      </c>
      <c r="B267" s="31" t="inlineStr">
        <is>
          <t>Young ES</t>
        </is>
      </c>
      <c r="C267" s="31" t="inlineStr">
        <is>
          <t>NES Elementary</t>
        </is>
      </c>
      <c r="D267" s="31" t="inlineStr">
        <is>
          <t>Not Yet Confirmed</t>
        </is>
      </c>
      <c r="E267" s="31" t="n"/>
      <c r="F267" s="31" t="n"/>
      <c r="G267" s="31" t="inlineStr">
        <is>
          <t>Not Received</t>
        </is>
      </c>
      <c r="H267" s="31" t="inlineStr">
        <is>
          <t>Not Received</t>
        </is>
      </c>
      <c r="I267" s="31" t="inlineStr">
        <is>
          <t>Not Received</t>
        </is>
      </c>
      <c r="J267" s="31" t="inlineStr">
        <is>
          <t>Not Received</t>
        </is>
      </c>
      <c r="K267" s="31" t="inlineStr">
        <is>
          <t>Not Received</t>
        </is>
      </c>
      <c r="L267" s="31" t="inlineStr">
        <is>
          <t>Not Received</t>
        </is>
      </c>
      <c r="M267" s="31" t="inlineStr">
        <is>
          <t>Not Received</t>
        </is>
      </c>
      <c r="N267" s="31" t="inlineStr">
        <is>
          <t>Not Received</t>
        </is>
      </c>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Confirmed",IF($E267="PTA",IF(AND(OR(I267="Accepted",I267="Not Needed"),OR(H267="Accepted",H267="Not Needed")),"Registered",IF(OR(OR(I267="Accepted",I267="Received",I267="Needs Correction"),OR(H267="Accepted",H267="Received",H267="Needs Correction")),"In Progress","Not Started")),IF($Q267&gt;=Settings!$C$13,"Legalized",IF($P267&gt;=Settings!$C$12,"Registered",IF($O267&gt;0,"In Progress","Not Started")))))))</f>
        <v/>
      </c>
      <c r="S267" s="32">
        <f>IF($B267="","",COUNTIF(G267:N267,"Received"))</f>
        <v/>
      </c>
      <c r="T267" s="32">
        <f>IF($B267="","",COUNTIF(G267:N267,"Needs Correction"))</f>
        <v/>
      </c>
      <c r="U267" s="33">
        <f>IF($B267="","",IF($D267&lt;&gt;"Yes","",IF($E267="PTA",IF(AND(OR(I267="Accepted",I267="Not Needed"),OR(H267="Accepted",H267="Not Needed")),"None",MID(IF(AND(I267&lt;&gt;"Accepted",I267&lt;&gt;"Not Needed"),", "&amp;I$1,"")&amp;IF(AND(H267&lt;&gt;"Accepted",H267&lt;&gt;"Not Needed"),", "&amp;H$1,""),3,400)),IF($Q267&gt;=Settings!$C$13,"None",MID(IF(AND(G267&lt;&gt;"Accepted",G267&lt;&gt;"Not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Confirmed",IF($E268="PTA",IF(AND(OR(I268="Accepted",I268="Not Needed"),OR(H268="Accepted",H268="Not Needed")),"Registered",IF(OR(OR(I268="Accepted",I268="Received",I268="Needs Correction"),OR(H268="Accepted",H268="Received",H268="Needs Correction")),"In Progress","Not Started")),IF($Q268&gt;=Settings!$C$13,"Legalized",IF($P268&gt;=Settings!$C$12,"Registered",IF($O268&gt;0,"In Progress","Not Started")))))))</f>
        <v/>
      </c>
      <c r="S268" s="32">
        <f>IF($B268="","",COUNTIF(G268:N268,"Received"))</f>
        <v/>
      </c>
      <c r="T268" s="32">
        <f>IF($B268="","",COUNTIF(G268:N268,"Needs Correction"))</f>
        <v/>
      </c>
      <c r="U268" s="33">
        <f>IF($B268="","",IF($D268&lt;&gt;"Yes","",IF($E268="PTA",IF(AND(OR(I268="Accepted",I268="Not Needed"),OR(H268="Accepted",H268="Not Needed")),"None",MID(IF(AND(I268&lt;&gt;"Accepted",I268&lt;&gt;"Not Needed"),", "&amp;I$1,"")&amp;IF(AND(H268&lt;&gt;"Accepted",H268&lt;&gt;"Not Needed"),", "&amp;H$1,""),3,400)),IF($Q268&gt;=Settings!$C$13,"None",MID(IF(AND(G268&lt;&gt;"Accepted",G268&lt;&gt;"Not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Confirmed",IF($E269="PTA",IF(AND(OR(I269="Accepted",I269="Not Needed"),OR(H269="Accepted",H269="Not Needed")),"Registered",IF(OR(OR(I269="Accepted",I269="Received",I269="Needs Correction"),OR(H269="Accepted",H269="Received",H269="Needs Correction")),"In Progress","Not Started")),IF($Q269&gt;=Settings!$C$13,"Legalized",IF($P269&gt;=Settings!$C$12,"Registered",IF($O269&gt;0,"In Progress","Not Started")))))))</f>
        <v/>
      </c>
      <c r="S269" s="32">
        <f>IF($B269="","",COUNTIF(G269:N269,"Received"))</f>
        <v/>
      </c>
      <c r="T269" s="32">
        <f>IF($B269="","",COUNTIF(G269:N269,"Needs Correction"))</f>
        <v/>
      </c>
      <c r="U269" s="33">
        <f>IF($B269="","",IF($D269&lt;&gt;"Yes","",IF($E269="PTA",IF(AND(OR(I269="Accepted",I269="Not Needed"),OR(H269="Accepted",H269="Not Needed")),"None",MID(IF(AND(I269&lt;&gt;"Accepted",I269&lt;&gt;"Not Needed"),", "&amp;I$1,"")&amp;IF(AND(H269&lt;&gt;"Accepted",H269&lt;&gt;"Not Needed"),", "&amp;H$1,""),3,400)),IF($Q269&gt;=Settings!$C$13,"None",MID(IF(AND(G269&lt;&gt;"Accepted",G269&lt;&gt;"Not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Confirmed",IF($E270="PTA",IF(AND(OR(I270="Accepted",I270="Not Needed"),OR(H270="Accepted",H270="Not Needed")),"Registered",IF(OR(OR(I270="Accepted",I270="Received",I270="Needs Correction"),OR(H270="Accepted",H270="Received",H270="Needs Correction")),"In Progress","Not Started")),IF($Q270&gt;=Settings!$C$13,"Legalized",IF($P270&gt;=Settings!$C$12,"Registered",IF($O270&gt;0,"In Progress","Not Started")))))))</f>
        <v/>
      </c>
      <c r="S270" s="32">
        <f>IF($B270="","",COUNTIF(G270:N270,"Received"))</f>
        <v/>
      </c>
      <c r="T270" s="32">
        <f>IF($B270="","",COUNTIF(G270:N270,"Needs Correction"))</f>
        <v/>
      </c>
      <c r="U270" s="33">
        <f>IF($B270="","",IF($D270&lt;&gt;"Yes","",IF($E270="PTA",IF(AND(OR(I270="Accepted",I270="Not Needed"),OR(H270="Accepted",H270="Not Needed")),"None",MID(IF(AND(I270&lt;&gt;"Accepted",I270&lt;&gt;"Not Needed"),", "&amp;I$1,"")&amp;IF(AND(H270&lt;&gt;"Accepted",H270&lt;&gt;"Not Needed"),", "&amp;H$1,""),3,400)),IF($Q270&gt;=Settings!$C$13,"None",MID(IF(AND(G270&lt;&gt;"Accepted",G270&lt;&gt;"Not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Confirmed",IF($E271="PTA",IF(AND(OR(I271="Accepted",I271="Not Needed"),OR(H271="Accepted",H271="Not Needed")),"Registered",IF(OR(OR(I271="Accepted",I271="Received",I271="Needs Correction"),OR(H271="Accepted",H271="Received",H271="Needs Correction")),"In Progress","Not Started")),IF($Q271&gt;=Settings!$C$13,"Legalized",IF($P271&gt;=Settings!$C$12,"Registered",IF($O271&gt;0,"In Progress","Not Started")))))))</f>
        <v/>
      </c>
      <c r="S271" s="32">
        <f>IF($B271="","",COUNTIF(G271:N271,"Received"))</f>
        <v/>
      </c>
      <c r="T271" s="32">
        <f>IF($B271="","",COUNTIF(G271:N271,"Needs Correction"))</f>
        <v/>
      </c>
      <c r="U271" s="33">
        <f>IF($B271="","",IF($D271&lt;&gt;"Yes","",IF($E271="PTA",IF(AND(OR(I271="Accepted",I271="Not Needed"),OR(H271="Accepted",H271="Not Needed")),"None",MID(IF(AND(I271&lt;&gt;"Accepted",I271&lt;&gt;"Not Needed"),", "&amp;I$1,"")&amp;IF(AND(H271&lt;&gt;"Accepted",H271&lt;&gt;"Not Needed"),", "&amp;H$1,""),3,400)),IF($Q271&gt;=Settings!$C$13,"None",MID(IF(AND(G271&lt;&gt;"Accepted",G271&lt;&gt;"Not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Confirmed",IF($E272="PTA",IF(AND(OR(I272="Accepted",I272="Not Needed"),OR(H272="Accepted",H272="Not Needed")),"Registered",IF(OR(OR(I272="Accepted",I272="Received",I272="Needs Correction"),OR(H272="Accepted",H272="Received",H272="Needs Correction")),"In Progress","Not Started")),IF($Q272&gt;=Settings!$C$13,"Legalized",IF($P272&gt;=Settings!$C$12,"Registered",IF($O272&gt;0,"In Progress","Not Started")))))))</f>
        <v/>
      </c>
      <c r="S272" s="32">
        <f>IF($B272="","",COUNTIF(G272:N272,"Received"))</f>
        <v/>
      </c>
      <c r="T272" s="32">
        <f>IF($B272="","",COUNTIF(G272:N272,"Needs Correction"))</f>
        <v/>
      </c>
      <c r="U272" s="33">
        <f>IF($B272="","",IF($D272&lt;&gt;"Yes","",IF($E272="PTA",IF(AND(OR(I272="Accepted",I272="Not Needed"),OR(H272="Accepted",H272="Not Needed")),"None",MID(IF(AND(I272&lt;&gt;"Accepted",I272&lt;&gt;"Not Needed"),", "&amp;I$1,"")&amp;IF(AND(H272&lt;&gt;"Accepted",H272&lt;&gt;"Not Needed"),", "&amp;H$1,""),3,400)),IF($Q272&gt;=Settings!$C$13,"None",MID(IF(AND(G272&lt;&gt;"Accepted",G272&lt;&gt;"Not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Confirmed",IF($E273="PTA",IF(AND(OR(I273="Accepted",I273="Not Needed"),OR(H273="Accepted",H273="Not Needed")),"Registered",IF(OR(OR(I273="Accepted",I273="Received",I273="Needs Correction"),OR(H273="Accepted",H273="Received",H273="Needs Correction")),"In Progress","Not Started")),IF($Q273&gt;=Settings!$C$13,"Legalized",IF($P273&gt;=Settings!$C$12,"Registered",IF($O273&gt;0,"In Progress","Not Started")))))))</f>
        <v/>
      </c>
      <c r="S273" s="32">
        <f>IF($B273="","",COUNTIF(G273:N273,"Received"))</f>
        <v/>
      </c>
      <c r="T273" s="32">
        <f>IF($B273="","",COUNTIF(G273:N273,"Needs Correction"))</f>
        <v/>
      </c>
      <c r="U273" s="33">
        <f>IF($B273="","",IF($D273&lt;&gt;"Yes","",IF($E273="PTA",IF(AND(OR(I273="Accepted",I273="Not Needed"),OR(H273="Accepted",H273="Not Needed")),"None",MID(IF(AND(I273&lt;&gt;"Accepted",I273&lt;&gt;"Not Needed"),", "&amp;I$1,"")&amp;IF(AND(H273&lt;&gt;"Accepted",H273&lt;&gt;"Not Needed"),", "&amp;H$1,""),3,400)),IF($Q273&gt;=Settings!$C$13,"None",MID(IF(AND(G273&lt;&gt;"Accepted",G273&lt;&gt;"Not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Confirmed",IF($E274="PTA",IF(AND(OR(I274="Accepted",I274="Not Needed"),OR(H274="Accepted",H274="Not Needed")),"Registered",IF(OR(OR(I274="Accepted",I274="Received",I274="Needs Correction"),OR(H274="Accepted",H274="Received",H274="Needs Correction")),"In Progress","Not Started")),IF($Q274&gt;=Settings!$C$13,"Legalized",IF($P274&gt;=Settings!$C$12,"Registered",IF($O274&gt;0,"In Progress","Not Started")))))))</f>
        <v/>
      </c>
      <c r="S274" s="32">
        <f>IF($B274="","",COUNTIF(G274:N274,"Received"))</f>
        <v/>
      </c>
      <c r="T274" s="32">
        <f>IF($B274="","",COUNTIF(G274:N274,"Needs Correction"))</f>
        <v/>
      </c>
      <c r="U274" s="33">
        <f>IF($B274="","",IF($D274&lt;&gt;"Yes","",IF($E274="PTA",IF(AND(OR(I274="Accepted",I274="Not Needed"),OR(H274="Accepted",H274="Not Needed")),"None",MID(IF(AND(I274&lt;&gt;"Accepted",I274&lt;&gt;"Not Needed"),", "&amp;I$1,"")&amp;IF(AND(H274&lt;&gt;"Accepted",H274&lt;&gt;"Not Needed"),", "&amp;H$1,""),3,400)),IF($Q274&gt;=Settings!$C$13,"None",MID(IF(AND(G274&lt;&gt;"Accepted",G274&lt;&gt;"Not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Confirmed",IF($E275="PTA",IF(AND(OR(I275="Accepted",I275="Not Needed"),OR(H275="Accepted",H275="Not Needed")),"Registered",IF(OR(OR(I275="Accepted",I275="Received",I275="Needs Correction"),OR(H275="Accepted",H275="Received",H275="Needs Correction")),"In Progress","Not Started")),IF($Q275&gt;=Settings!$C$13,"Legalized",IF($P275&gt;=Settings!$C$12,"Registered",IF($O275&gt;0,"In Progress","Not Started")))))))</f>
        <v/>
      </c>
      <c r="S275" s="32">
        <f>IF($B275="","",COUNTIF(G275:N275,"Received"))</f>
        <v/>
      </c>
      <c r="T275" s="32">
        <f>IF($B275="","",COUNTIF(G275:N275,"Needs Correction"))</f>
        <v/>
      </c>
      <c r="U275" s="33">
        <f>IF($B275="","",IF($D275&lt;&gt;"Yes","",IF($E275="PTA",IF(AND(OR(I275="Accepted",I275="Not Needed"),OR(H275="Accepted",H275="Not Needed")),"None",MID(IF(AND(I275&lt;&gt;"Accepted",I275&lt;&gt;"Not Needed"),", "&amp;I$1,"")&amp;IF(AND(H275&lt;&gt;"Accepted",H275&lt;&gt;"Not Needed"),", "&amp;H$1,""),3,400)),IF($Q275&gt;=Settings!$C$13,"None",MID(IF(AND(G275&lt;&gt;"Accepted",G275&lt;&gt;"Not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Confirmed",IF($E276="PTA",IF(AND(OR(I276="Accepted",I276="Not Needed"),OR(H276="Accepted",H276="Not Needed")),"Registered",IF(OR(OR(I276="Accepted",I276="Received",I276="Needs Correction"),OR(H276="Accepted",H276="Received",H276="Needs Correction")),"In Progress","Not Started")),IF($Q276&gt;=Settings!$C$13,"Legalized",IF($P276&gt;=Settings!$C$12,"Registered",IF($O276&gt;0,"In Progress","Not Started")))))))</f>
        <v/>
      </c>
      <c r="S276" s="32">
        <f>IF($B276="","",COUNTIF(G276:N276,"Received"))</f>
        <v/>
      </c>
      <c r="T276" s="32">
        <f>IF($B276="","",COUNTIF(G276:N276,"Needs Correction"))</f>
        <v/>
      </c>
      <c r="U276" s="33">
        <f>IF($B276="","",IF($D276&lt;&gt;"Yes","",IF($E276="PTA",IF(AND(OR(I276="Accepted",I276="Not Needed"),OR(H276="Accepted",H276="Not Needed")),"None",MID(IF(AND(I276&lt;&gt;"Accepted",I276&lt;&gt;"Not Needed"),", "&amp;I$1,"")&amp;IF(AND(H276&lt;&gt;"Accepted",H276&lt;&gt;"Not Needed"),", "&amp;H$1,""),3,400)),IF($Q276&gt;=Settings!$C$13,"None",MID(IF(AND(G276&lt;&gt;"Accepted",G276&lt;&gt;"Not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Confirmed",IF($E277="PTA",IF(AND(OR(I277="Accepted",I277="Not Needed"),OR(H277="Accepted",H277="Not Needed")),"Registered",IF(OR(OR(I277="Accepted",I277="Received",I277="Needs Correction"),OR(H277="Accepted",H277="Received",H277="Needs Correction")),"In Progress","Not Started")),IF($Q277&gt;=Settings!$C$13,"Legalized",IF($P277&gt;=Settings!$C$12,"Registered",IF($O277&gt;0,"In Progress","Not Started")))))))</f>
        <v/>
      </c>
      <c r="S277" s="32">
        <f>IF($B277="","",COUNTIF(G277:N277,"Received"))</f>
        <v/>
      </c>
      <c r="T277" s="32">
        <f>IF($B277="","",COUNTIF(G277:N277,"Needs Correction"))</f>
        <v/>
      </c>
      <c r="U277" s="33">
        <f>IF($B277="","",IF($D277&lt;&gt;"Yes","",IF($E277="PTA",IF(AND(OR(I277="Accepted",I277="Not Needed"),OR(H277="Accepted",H277="Not Needed")),"None",MID(IF(AND(I277&lt;&gt;"Accepted",I277&lt;&gt;"Not Needed"),", "&amp;I$1,"")&amp;IF(AND(H277&lt;&gt;"Accepted",H277&lt;&gt;"Not Needed"),", "&amp;H$1,""),3,400)),IF($Q277&gt;=Settings!$C$13,"None",MID(IF(AND(G277&lt;&gt;"Accepted",G277&lt;&gt;"Not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Confirmed",IF($E278="PTA",IF(AND(OR(I278="Accepted",I278="Not Needed"),OR(H278="Accepted",H278="Not Needed")),"Registered",IF(OR(OR(I278="Accepted",I278="Received",I278="Needs Correction"),OR(H278="Accepted",H278="Received",H278="Needs Correction")),"In Progress","Not Started")),IF($Q278&gt;=Settings!$C$13,"Legalized",IF($P278&gt;=Settings!$C$12,"Registered",IF($O278&gt;0,"In Progress","Not Started")))))))</f>
        <v/>
      </c>
      <c r="S278" s="32">
        <f>IF($B278="","",COUNTIF(G278:N278,"Received"))</f>
        <v/>
      </c>
      <c r="T278" s="32">
        <f>IF($B278="","",COUNTIF(G278:N278,"Needs Correction"))</f>
        <v/>
      </c>
      <c r="U278" s="33">
        <f>IF($B278="","",IF($D278&lt;&gt;"Yes","",IF($E278="PTA",IF(AND(OR(I278="Accepted",I278="Not Needed"),OR(H278="Accepted",H278="Not Needed")),"None",MID(IF(AND(I278&lt;&gt;"Accepted",I278&lt;&gt;"Not Needed"),", "&amp;I$1,"")&amp;IF(AND(H278&lt;&gt;"Accepted",H278&lt;&gt;"Not Needed"),", "&amp;H$1,""),3,400)),IF($Q278&gt;=Settings!$C$13,"None",MID(IF(AND(G278&lt;&gt;"Accepted",G278&lt;&gt;"Not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Confirmed",IF($E279="PTA",IF(AND(OR(I279="Accepted",I279="Not Needed"),OR(H279="Accepted",H279="Not Needed")),"Registered",IF(OR(OR(I279="Accepted",I279="Received",I279="Needs Correction"),OR(H279="Accepted",H279="Received",H279="Needs Correction")),"In Progress","Not Started")),IF($Q279&gt;=Settings!$C$13,"Legalized",IF($P279&gt;=Settings!$C$12,"Registered",IF($O279&gt;0,"In Progress","Not Started")))))))</f>
        <v/>
      </c>
      <c r="S279" s="32">
        <f>IF($B279="","",COUNTIF(G279:N279,"Received"))</f>
        <v/>
      </c>
      <c r="T279" s="32">
        <f>IF($B279="","",COUNTIF(G279:N279,"Needs Correction"))</f>
        <v/>
      </c>
      <c r="U279" s="33">
        <f>IF($B279="","",IF($D279&lt;&gt;"Yes","",IF($E279="PTA",IF(AND(OR(I279="Accepted",I279="Not Needed"),OR(H279="Accepted",H279="Not Needed")),"None",MID(IF(AND(I279&lt;&gt;"Accepted",I279&lt;&gt;"Not Needed"),", "&amp;I$1,"")&amp;IF(AND(H279&lt;&gt;"Accepted",H279&lt;&gt;"Not Needed"),", "&amp;H$1,""),3,400)),IF($Q279&gt;=Settings!$C$13,"None",MID(IF(AND(G279&lt;&gt;"Accepted",G279&lt;&gt;"Not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Confirmed",IF($E280="PTA",IF(AND(OR(I280="Accepted",I280="Not Needed"),OR(H280="Accepted",H280="Not Needed")),"Registered",IF(OR(OR(I280="Accepted",I280="Received",I280="Needs Correction"),OR(H280="Accepted",H280="Received",H280="Needs Correction")),"In Progress","Not Started")),IF($Q280&gt;=Settings!$C$13,"Legalized",IF($P280&gt;=Settings!$C$12,"Registered",IF($O280&gt;0,"In Progress","Not Started")))))))</f>
        <v/>
      </c>
      <c r="S280" s="32">
        <f>IF($B280="","",COUNTIF(G280:N280,"Received"))</f>
        <v/>
      </c>
      <c r="T280" s="32">
        <f>IF($B280="","",COUNTIF(G280:N280,"Needs Correction"))</f>
        <v/>
      </c>
      <c r="U280" s="33">
        <f>IF($B280="","",IF($D280&lt;&gt;"Yes","",IF($E280="PTA",IF(AND(OR(I280="Accepted",I280="Not Needed"),OR(H280="Accepted",H280="Not Needed")),"None",MID(IF(AND(I280&lt;&gt;"Accepted",I280&lt;&gt;"Not Needed"),", "&amp;I$1,"")&amp;IF(AND(H280&lt;&gt;"Accepted",H280&lt;&gt;"Not Needed"),", "&amp;H$1,""),3,400)),IF($Q280&gt;=Settings!$C$13,"None",MID(IF(AND(G280&lt;&gt;"Accepted",G280&lt;&gt;"Not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Confirmed",IF($E281="PTA",IF(AND(OR(I281="Accepted",I281="Not Needed"),OR(H281="Accepted",H281="Not Needed")),"Registered",IF(OR(OR(I281="Accepted",I281="Received",I281="Needs Correction"),OR(H281="Accepted",H281="Received",H281="Needs Correction")),"In Progress","Not Started")),IF($Q281&gt;=Settings!$C$13,"Legalized",IF($P281&gt;=Settings!$C$12,"Registered",IF($O281&gt;0,"In Progress","Not Started")))))))</f>
        <v/>
      </c>
      <c r="S281" s="32">
        <f>IF($B281="","",COUNTIF(G281:N281,"Received"))</f>
        <v/>
      </c>
      <c r="T281" s="32">
        <f>IF($B281="","",COUNTIF(G281:N281,"Needs Correction"))</f>
        <v/>
      </c>
      <c r="U281" s="33">
        <f>IF($B281="","",IF($D281&lt;&gt;"Yes","",IF($E281="PTA",IF(AND(OR(I281="Accepted",I281="Not Needed"),OR(H281="Accepted",H281="Not Needed")),"None",MID(IF(AND(I281&lt;&gt;"Accepted",I281&lt;&gt;"Not Needed"),", "&amp;I$1,"")&amp;IF(AND(H281&lt;&gt;"Accepted",H281&lt;&gt;"Not Needed"),", "&amp;H$1,""),3,400)),IF($Q281&gt;=Settings!$C$13,"None",MID(IF(AND(G281&lt;&gt;"Accepted",G281&lt;&gt;"Not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Confirmed",IF($E282="PTA",IF(AND(OR(I282="Accepted",I282="Not Needed"),OR(H282="Accepted",H282="Not Needed")),"Registered",IF(OR(OR(I282="Accepted",I282="Received",I282="Needs Correction"),OR(H282="Accepted",H282="Received",H282="Needs Correction")),"In Progress","Not Started")),IF($Q282&gt;=Settings!$C$13,"Legalized",IF($P282&gt;=Settings!$C$12,"Registered",IF($O282&gt;0,"In Progress","Not Started")))))))</f>
        <v/>
      </c>
      <c r="S282" s="32">
        <f>IF($B282="","",COUNTIF(G282:N282,"Received"))</f>
        <v/>
      </c>
      <c r="T282" s="32">
        <f>IF($B282="","",COUNTIF(G282:N282,"Needs Correction"))</f>
        <v/>
      </c>
      <c r="U282" s="33">
        <f>IF($B282="","",IF($D282&lt;&gt;"Yes","",IF($E282="PTA",IF(AND(OR(I282="Accepted",I282="Not Needed"),OR(H282="Accepted",H282="Not Needed")),"None",MID(IF(AND(I282&lt;&gt;"Accepted",I282&lt;&gt;"Not Needed"),", "&amp;I$1,"")&amp;IF(AND(H282&lt;&gt;"Accepted",H282&lt;&gt;"Not Needed"),", "&amp;H$1,""),3,400)),IF($Q282&gt;=Settings!$C$13,"None",MID(IF(AND(G282&lt;&gt;"Accepted",G282&lt;&gt;"Not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Confirmed",IF($E283="PTA",IF(AND(OR(I283="Accepted",I283="Not Needed"),OR(H283="Accepted",H283="Not Needed")),"Registered",IF(OR(OR(I283="Accepted",I283="Received",I283="Needs Correction"),OR(H283="Accepted",H283="Received",H283="Needs Correction")),"In Progress","Not Started")),IF($Q283&gt;=Settings!$C$13,"Legalized",IF($P283&gt;=Settings!$C$12,"Registered",IF($O283&gt;0,"In Progress","Not Started")))))))</f>
        <v/>
      </c>
      <c r="S283" s="32">
        <f>IF($B283="","",COUNTIF(G283:N283,"Received"))</f>
        <v/>
      </c>
      <c r="T283" s="32">
        <f>IF($B283="","",COUNTIF(G283:N283,"Needs Correction"))</f>
        <v/>
      </c>
      <c r="U283" s="33">
        <f>IF($B283="","",IF($D283&lt;&gt;"Yes","",IF($E283="PTA",IF(AND(OR(I283="Accepted",I283="Not Needed"),OR(H283="Accepted",H283="Not Needed")),"None",MID(IF(AND(I283&lt;&gt;"Accepted",I283&lt;&gt;"Not Needed"),", "&amp;I$1,"")&amp;IF(AND(H283&lt;&gt;"Accepted",H283&lt;&gt;"Not Needed"),", "&amp;H$1,""),3,400)),IF($Q283&gt;=Settings!$C$13,"None",MID(IF(AND(G283&lt;&gt;"Accepted",G283&lt;&gt;"Not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Confirmed",IF($E284="PTA",IF(AND(OR(I284="Accepted",I284="Not Needed"),OR(H284="Accepted",H284="Not Needed")),"Registered",IF(OR(OR(I284="Accepted",I284="Received",I284="Needs Correction"),OR(H284="Accepted",H284="Received",H284="Needs Correction")),"In Progress","Not Started")),IF($Q284&gt;=Settings!$C$13,"Legalized",IF($P284&gt;=Settings!$C$12,"Registered",IF($O284&gt;0,"In Progress","Not Started")))))))</f>
        <v/>
      </c>
      <c r="S284" s="32">
        <f>IF($B284="","",COUNTIF(G284:N284,"Received"))</f>
        <v/>
      </c>
      <c r="T284" s="32">
        <f>IF($B284="","",COUNTIF(G284:N284,"Needs Correction"))</f>
        <v/>
      </c>
      <c r="U284" s="33">
        <f>IF($B284="","",IF($D284&lt;&gt;"Yes","",IF($E284="PTA",IF(AND(OR(I284="Accepted",I284="Not Needed"),OR(H284="Accepted",H284="Not Needed")),"None",MID(IF(AND(I284&lt;&gt;"Accepted",I284&lt;&gt;"Not Needed"),", "&amp;I$1,"")&amp;IF(AND(H284&lt;&gt;"Accepted",H284&lt;&gt;"Not Needed"),", "&amp;H$1,""),3,400)),IF($Q284&gt;=Settings!$C$13,"None",MID(IF(AND(G284&lt;&gt;"Accepted",G284&lt;&gt;"Not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Confirmed",IF($E285="PTA",IF(AND(OR(I285="Accepted",I285="Not Needed"),OR(H285="Accepted",H285="Not Needed")),"Registered",IF(OR(OR(I285="Accepted",I285="Received",I285="Needs Correction"),OR(H285="Accepted",H285="Received",H285="Needs Correction")),"In Progress","Not Started")),IF($Q285&gt;=Settings!$C$13,"Legalized",IF($P285&gt;=Settings!$C$12,"Registered",IF($O285&gt;0,"In Progress","Not Started")))))))</f>
        <v/>
      </c>
      <c r="S285" s="32">
        <f>IF($B285="","",COUNTIF(G285:N285,"Received"))</f>
        <v/>
      </c>
      <c r="T285" s="32">
        <f>IF($B285="","",COUNTIF(G285:N285,"Needs Correction"))</f>
        <v/>
      </c>
      <c r="U285" s="33">
        <f>IF($B285="","",IF($D285&lt;&gt;"Yes","",IF($E285="PTA",IF(AND(OR(I285="Accepted",I285="Not Needed"),OR(H285="Accepted",H285="Not Needed")),"None",MID(IF(AND(I285&lt;&gt;"Accepted",I285&lt;&gt;"Not Needed"),", "&amp;I$1,"")&amp;IF(AND(H285&lt;&gt;"Accepted",H285&lt;&gt;"Not Needed"),", "&amp;H$1,""),3,400)),IF($Q285&gt;=Settings!$C$13,"None",MID(IF(AND(G285&lt;&gt;"Accepted",G285&lt;&gt;"Not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Confirmed",IF($E286="PTA",IF(AND(OR(I286="Accepted",I286="Not Needed"),OR(H286="Accepted",H286="Not Needed")),"Registered",IF(OR(OR(I286="Accepted",I286="Received",I286="Needs Correction"),OR(H286="Accepted",H286="Received",H286="Needs Correction")),"In Progress","Not Started")),IF($Q286&gt;=Settings!$C$13,"Legalized",IF($P286&gt;=Settings!$C$12,"Registered",IF($O286&gt;0,"In Progress","Not Started")))))))</f>
        <v/>
      </c>
      <c r="S286" s="32">
        <f>IF($B286="","",COUNTIF(G286:N286,"Received"))</f>
        <v/>
      </c>
      <c r="T286" s="32">
        <f>IF($B286="","",COUNTIF(G286:N286,"Needs Correction"))</f>
        <v/>
      </c>
      <c r="U286" s="33">
        <f>IF($B286="","",IF($D286&lt;&gt;"Yes","",IF($E286="PTA",IF(AND(OR(I286="Accepted",I286="Not Needed"),OR(H286="Accepted",H286="Not Needed")),"None",MID(IF(AND(I286&lt;&gt;"Accepted",I286&lt;&gt;"Not Needed"),", "&amp;I$1,"")&amp;IF(AND(H286&lt;&gt;"Accepted",H286&lt;&gt;"Not Needed"),", "&amp;H$1,""),3,400)),IF($Q286&gt;=Settings!$C$13,"None",MID(IF(AND(G286&lt;&gt;"Accepted",G286&lt;&gt;"Not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Confirmed",IF($E287="PTA",IF(AND(OR(I287="Accepted",I287="Not Needed"),OR(H287="Accepted",H287="Not Needed")),"Registered",IF(OR(OR(I287="Accepted",I287="Received",I287="Needs Correction"),OR(H287="Accepted",H287="Received",H287="Needs Correction")),"In Progress","Not Started")),IF($Q287&gt;=Settings!$C$13,"Legalized",IF($P287&gt;=Settings!$C$12,"Registered",IF($O287&gt;0,"In Progress","Not Started")))))))</f>
        <v/>
      </c>
      <c r="S287" s="32">
        <f>IF($B287="","",COUNTIF(G287:N287,"Received"))</f>
        <v/>
      </c>
      <c r="T287" s="32">
        <f>IF($B287="","",COUNTIF(G287:N287,"Needs Correction"))</f>
        <v/>
      </c>
      <c r="U287" s="33">
        <f>IF($B287="","",IF($D287&lt;&gt;"Yes","",IF($E287="PTA",IF(AND(OR(I287="Accepted",I287="Not Needed"),OR(H287="Accepted",H287="Not Needed")),"None",MID(IF(AND(I287&lt;&gt;"Accepted",I287&lt;&gt;"Not Needed"),", "&amp;I$1,"")&amp;IF(AND(H287&lt;&gt;"Accepted",H287&lt;&gt;"Not Needed"),", "&amp;H$1,""),3,400)),IF($Q287&gt;=Settings!$C$13,"None",MID(IF(AND(G287&lt;&gt;"Accepted",G287&lt;&gt;"Not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Confirmed",IF($E288="PTA",IF(AND(OR(I288="Accepted",I288="Not Needed"),OR(H288="Accepted",H288="Not Needed")),"Registered",IF(OR(OR(I288="Accepted",I288="Received",I288="Needs Correction"),OR(H288="Accepted",H288="Received",H288="Needs Correction")),"In Progress","Not Started")),IF($Q288&gt;=Settings!$C$13,"Legalized",IF($P288&gt;=Settings!$C$12,"Registered",IF($O288&gt;0,"In Progress","Not Started")))))))</f>
        <v/>
      </c>
      <c r="S288" s="32">
        <f>IF($B288="","",COUNTIF(G288:N288,"Received"))</f>
        <v/>
      </c>
      <c r="T288" s="32">
        <f>IF($B288="","",COUNTIF(G288:N288,"Needs Correction"))</f>
        <v/>
      </c>
      <c r="U288" s="33">
        <f>IF($B288="","",IF($D288&lt;&gt;"Yes","",IF($E288="PTA",IF(AND(OR(I288="Accepted",I288="Not Needed"),OR(H288="Accepted",H288="Not Needed")),"None",MID(IF(AND(I288&lt;&gt;"Accepted",I288&lt;&gt;"Not Needed"),", "&amp;I$1,"")&amp;IF(AND(H288&lt;&gt;"Accepted",H288&lt;&gt;"Not Needed"),", "&amp;H$1,""),3,400)),IF($Q288&gt;=Settings!$C$13,"None",MID(IF(AND(G288&lt;&gt;"Accepted",G288&lt;&gt;"Not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Confirmed",IF($E289="PTA",IF(AND(OR(I289="Accepted",I289="Not Needed"),OR(H289="Accepted",H289="Not Needed")),"Registered",IF(OR(OR(I289="Accepted",I289="Received",I289="Needs Correction"),OR(H289="Accepted",H289="Received",H289="Needs Correction")),"In Progress","Not Started")),IF($Q289&gt;=Settings!$C$13,"Legalized",IF($P289&gt;=Settings!$C$12,"Registered",IF($O289&gt;0,"In Progress","Not Started")))))))</f>
        <v/>
      </c>
      <c r="S289" s="32">
        <f>IF($B289="","",COUNTIF(G289:N289,"Received"))</f>
        <v/>
      </c>
      <c r="T289" s="32">
        <f>IF($B289="","",COUNTIF(G289:N289,"Needs Correction"))</f>
        <v/>
      </c>
      <c r="U289" s="33">
        <f>IF($B289="","",IF($D289&lt;&gt;"Yes","",IF($E289="PTA",IF(AND(OR(I289="Accepted",I289="Not Needed"),OR(H289="Accepted",H289="Not Needed")),"None",MID(IF(AND(I289&lt;&gt;"Accepted",I289&lt;&gt;"Not Needed"),", "&amp;I$1,"")&amp;IF(AND(H289&lt;&gt;"Accepted",H289&lt;&gt;"Not Needed"),", "&amp;H$1,""),3,400)),IF($Q289&gt;=Settings!$C$13,"None",MID(IF(AND(G289&lt;&gt;"Accepted",G289&lt;&gt;"Not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Confirmed",IF($E290="PTA",IF(AND(OR(I290="Accepted",I290="Not Needed"),OR(H290="Accepted",H290="Not Needed")),"Registered",IF(OR(OR(I290="Accepted",I290="Received",I290="Needs Correction"),OR(H290="Accepted",H290="Received",H290="Needs Correction")),"In Progress","Not Started")),IF($Q290&gt;=Settings!$C$13,"Legalized",IF($P290&gt;=Settings!$C$12,"Registered",IF($O290&gt;0,"In Progress","Not Started")))))))</f>
        <v/>
      </c>
      <c r="S290" s="32">
        <f>IF($B290="","",COUNTIF(G290:N290,"Received"))</f>
        <v/>
      </c>
      <c r="T290" s="32">
        <f>IF($B290="","",COUNTIF(G290:N290,"Needs Correction"))</f>
        <v/>
      </c>
      <c r="U290" s="33">
        <f>IF($B290="","",IF($D290&lt;&gt;"Yes","",IF($E290="PTA",IF(AND(OR(I290="Accepted",I290="Not Needed"),OR(H290="Accepted",H290="Not Needed")),"None",MID(IF(AND(I290&lt;&gt;"Accepted",I290&lt;&gt;"Not Needed"),", "&amp;I$1,"")&amp;IF(AND(H290&lt;&gt;"Accepted",H290&lt;&gt;"Not Needed"),", "&amp;H$1,""),3,400)),IF($Q290&gt;=Settings!$C$13,"None",MID(IF(AND(G290&lt;&gt;"Accepted",G290&lt;&gt;"Not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Confirmed",IF($E291="PTA",IF(AND(OR(I291="Accepted",I291="Not Needed"),OR(H291="Accepted",H291="Not Needed")),"Registered",IF(OR(OR(I291="Accepted",I291="Received",I291="Needs Correction"),OR(H291="Accepted",H291="Received",H291="Needs Correction")),"In Progress","Not Started")),IF($Q291&gt;=Settings!$C$13,"Legalized",IF($P291&gt;=Settings!$C$12,"Registered",IF($O291&gt;0,"In Progress","Not Started")))))))</f>
        <v/>
      </c>
      <c r="S291" s="32">
        <f>IF($B291="","",COUNTIF(G291:N291,"Received"))</f>
        <v/>
      </c>
      <c r="T291" s="32">
        <f>IF($B291="","",COUNTIF(G291:N291,"Needs Correction"))</f>
        <v/>
      </c>
      <c r="U291" s="33">
        <f>IF($B291="","",IF($D291&lt;&gt;"Yes","",IF($E291="PTA",IF(AND(OR(I291="Accepted",I291="Not Needed"),OR(H291="Accepted",H291="Not Needed")),"None",MID(IF(AND(I291&lt;&gt;"Accepted",I291&lt;&gt;"Not Needed"),", "&amp;I$1,"")&amp;IF(AND(H291&lt;&gt;"Accepted",H291&lt;&gt;"Not Needed"),", "&amp;H$1,""),3,400)),IF($Q291&gt;=Settings!$C$13,"None",MID(IF(AND(G291&lt;&gt;"Accepted",G291&lt;&gt;"Not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Confirmed",IF($E292="PTA",IF(AND(OR(I292="Accepted",I292="Not Needed"),OR(H292="Accepted",H292="Not Needed")),"Registered",IF(OR(OR(I292="Accepted",I292="Received",I292="Needs Correction"),OR(H292="Accepted",H292="Received",H292="Needs Correction")),"In Progress","Not Started")),IF($Q292&gt;=Settings!$C$13,"Legalized",IF($P292&gt;=Settings!$C$12,"Registered",IF($O292&gt;0,"In Progress","Not Started")))))))</f>
        <v/>
      </c>
      <c r="S292" s="32">
        <f>IF($B292="","",COUNTIF(G292:N292,"Received"))</f>
        <v/>
      </c>
      <c r="T292" s="32">
        <f>IF($B292="","",COUNTIF(G292:N292,"Needs Correction"))</f>
        <v/>
      </c>
      <c r="U292" s="33">
        <f>IF($B292="","",IF($D292&lt;&gt;"Yes","",IF($E292="PTA",IF(AND(OR(I292="Accepted",I292="Not Needed"),OR(H292="Accepted",H292="Not Needed")),"None",MID(IF(AND(I292&lt;&gt;"Accepted",I292&lt;&gt;"Not Needed"),", "&amp;I$1,"")&amp;IF(AND(H292&lt;&gt;"Accepted",H292&lt;&gt;"Not Needed"),", "&amp;H$1,""),3,400)),IF($Q292&gt;=Settings!$C$13,"None",MID(IF(AND(G292&lt;&gt;"Accepted",G292&lt;&gt;"Not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Confirmed",IF($E293="PTA",IF(AND(OR(I293="Accepted",I293="Not Needed"),OR(H293="Accepted",H293="Not Needed")),"Registered",IF(OR(OR(I293="Accepted",I293="Received",I293="Needs Correction"),OR(H293="Accepted",H293="Received",H293="Needs Correction")),"In Progress","Not Started")),IF($Q293&gt;=Settings!$C$13,"Legalized",IF($P293&gt;=Settings!$C$12,"Registered",IF($O293&gt;0,"In Progress","Not Started")))))))</f>
        <v/>
      </c>
      <c r="S293" s="32">
        <f>IF($B293="","",COUNTIF(G293:N293,"Received"))</f>
        <v/>
      </c>
      <c r="T293" s="32">
        <f>IF($B293="","",COUNTIF(G293:N293,"Needs Correction"))</f>
        <v/>
      </c>
      <c r="U293" s="33">
        <f>IF($B293="","",IF($D293&lt;&gt;"Yes","",IF($E293="PTA",IF(AND(OR(I293="Accepted",I293="Not Needed"),OR(H293="Accepted",H293="Not Needed")),"None",MID(IF(AND(I293&lt;&gt;"Accepted",I293&lt;&gt;"Not Needed"),", "&amp;I$1,"")&amp;IF(AND(H293&lt;&gt;"Accepted",H293&lt;&gt;"Not Needed"),", "&amp;H$1,""),3,400)),IF($Q293&gt;=Settings!$C$13,"None",MID(IF(AND(G293&lt;&gt;"Accepted",G293&lt;&gt;"Not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Confirmed",IF($E294="PTA",IF(AND(OR(I294="Accepted",I294="Not Needed"),OR(H294="Accepted",H294="Not Needed")),"Registered",IF(OR(OR(I294="Accepted",I294="Received",I294="Needs Correction"),OR(H294="Accepted",H294="Received",H294="Needs Correction")),"In Progress","Not Started")),IF($Q294&gt;=Settings!$C$13,"Legalized",IF($P294&gt;=Settings!$C$12,"Registered",IF($O294&gt;0,"In Progress","Not Started")))))))</f>
        <v/>
      </c>
      <c r="S294" s="32">
        <f>IF($B294="","",COUNTIF(G294:N294,"Received"))</f>
        <v/>
      </c>
      <c r="T294" s="32">
        <f>IF($B294="","",COUNTIF(G294:N294,"Needs Correction"))</f>
        <v/>
      </c>
      <c r="U294" s="33">
        <f>IF($B294="","",IF($D294&lt;&gt;"Yes","",IF($E294="PTA",IF(AND(OR(I294="Accepted",I294="Not Needed"),OR(H294="Accepted",H294="Not Needed")),"None",MID(IF(AND(I294&lt;&gt;"Accepted",I294&lt;&gt;"Not Needed"),", "&amp;I$1,"")&amp;IF(AND(H294&lt;&gt;"Accepted",H294&lt;&gt;"Not Needed"),", "&amp;H$1,""),3,400)),IF($Q294&gt;=Settings!$C$13,"None",MID(IF(AND(G294&lt;&gt;"Accepted",G294&lt;&gt;"Not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Confirmed",IF($E295="PTA",IF(AND(OR(I295="Accepted",I295="Not Needed"),OR(H295="Accepted",H295="Not Needed")),"Registered",IF(OR(OR(I295="Accepted",I295="Received",I295="Needs Correction"),OR(H295="Accepted",H295="Received",H295="Needs Correction")),"In Progress","Not Started")),IF($Q295&gt;=Settings!$C$13,"Legalized",IF($P295&gt;=Settings!$C$12,"Registered",IF($O295&gt;0,"In Progress","Not Started")))))))</f>
        <v/>
      </c>
      <c r="S295" s="32">
        <f>IF($B295="","",COUNTIF(G295:N295,"Received"))</f>
        <v/>
      </c>
      <c r="T295" s="32">
        <f>IF($B295="","",COUNTIF(G295:N295,"Needs Correction"))</f>
        <v/>
      </c>
      <c r="U295" s="33">
        <f>IF($B295="","",IF($D295&lt;&gt;"Yes","",IF($E295="PTA",IF(AND(OR(I295="Accepted",I295="Not Needed"),OR(H295="Accepted",H295="Not Needed")),"None",MID(IF(AND(I295&lt;&gt;"Accepted",I295&lt;&gt;"Not Needed"),", "&amp;I$1,"")&amp;IF(AND(H295&lt;&gt;"Accepted",H295&lt;&gt;"Not Needed"),", "&amp;H$1,""),3,400)),IF($Q295&gt;=Settings!$C$13,"None",MID(IF(AND(G295&lt;&gt;"Accepted",G295&lt;&gt;"Not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Confirmed",IF($E296="PTA",IF(AND(OR(I296="Accepted",I296="Not Needed"),OR(H296="Accepted",H296="Not Needed")),"Registered",IF(OR(OR(I296="Accepted",I296="Received",I296="Needs Correction"),OR(H296="Accepted",H296="Received",H296="Needs Correction")),"In Progress","Not Started")),IF($Q296&gt;=Settings!$C$13,"Legalized",IF($P296&gt;=Settings!$C$12,"Registered",IF($O296&gt;0,"In Progress","Not Started")))))))</f>
        <v/>
      </c>
      <c r="S296" s="32">
        <f>IF($B296="","",COUNTIF(G296:N296,"Received"))</f>
        <v/>
      </c>
      <c r="T296" s="32">
        <f>IF($B296="","",COUNTIF(G296:N296,"Needs Correction"))</f>
        <v/>
      </c>
      <c r="U296" s="33">
        <f>IF($B296="","",IF($D296&lt;&gt;"Yes","",IF($E296="PTA",IF(AND(OR(I296="Accepted",I296="Not Needed"),OR(H296="Accepted",H296="Not Needed")),"None",MID(IF(AND(I296&lt;&gt;"Accepted",I296&lt;&gt;"Not Needed"),", "&amp;I$1,"")&amp;IF(AND(H296&lt;&gt;"Accepted",H296&lt;&gt;"Not Needed"),", "&amp;H$1,""),3,400)),IF($Q296&gt;=Settings!$C$13,"None",MID(IF(AND(G296&lt;&gt;"Accepted",G296&lt;&gt;"Not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Confirmed",IF($E297="PTA",IF(AND(OR(I297="Accepted",I297="Not Needed"),OR(H297="Accepted",H297="Not Needed")),"Registered",IF(OR(OR(I297="Accepted",I297="Received",I297="Needs Correction"),OR(H297="Accepted",H297="Received",H297="Needs Correction")),"In Progress","Not Started")),IF($Q297&gt;=Settings!$C$13,"Legalized",IF($P297&gt;=Settings!$C$12,"Registered",IF($O297&gt;0,"In Progress","Not Started")))))))</f>
        <v/>
      </c>
      <c r="S297" s="32">
        <f>IF($B297="","",COUNTIF(G297:N297,"Received"))</f>
        <v/>
      </c>
      <c r="T297" s="32">
        <f>IF($B297="","",COUNTIF(G297:N297,"Needs Correction"))</f>
        <v/>
      </c>
      <c r="U297" s="33">
        <f>IF($B297="","",IF($D297&lt;&gt;"Yes","",IF($E297="PTA",IF(AND(OR(I297="Accepted",I297="Not Needed"),OR(H297="Accepted",H297="Not Needed")),"None",MID(IF(AND(I297&lt;&gt;"Accepted",I297&lt;&gt;"Not Needed"),", "&amp;I$1,"")&amp;IF(AND(H297&lt;&gt;"Accepted",H297&lt;&gt;"Not Needed"),", "&amp;H$1,""),3,400)),IF($Q297&gt;=Settings!$C$13,"None",MID(IF(AND(G297&lt;&gt;"Accepted",G297&lt;&gt;"Not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Confirmed",IF($E298="PTA",IF(AND(OR(I298="Accepted",I298="Not Needed"),OR(H298="Accepted",H298="Not Needed")),"Registered",IF(OR(OR(I298="Accepted",I298="Received",I298="Needs Correction"),OR(H298="Accepted",H298="Received",H298="Needs Correction")),"In Progress","Not Started")),IF($Q298&gt;=Settings!$C$13,"Legalized",IF($P298&gt;=Settings!$C$12,"Registered",IF($O298&gt;0,"In Progress","Not Started")))))))</f>
        <v/>
      </c>
      <c r="S298" s="32">
        <f>IF($B298="","",COUNTIF(G298:N298,"Received"))</f>
        <v/>
      </c>
      <c r="T298" s="32">
        <f>IF($B298="","",COUNTIF(G298:N298,"Needs Correction"))</f>
        <v/>
      </c>
      <c r="U298" s="33">
        <f>IF($B298="","",IF($D298&lt;&gt;"Yes","",IF($E298="PTA",IF(AND(OR(I298="Accepted",I298="Not Needed"),OR(H298="Accepted",H298="Not Needed")),"None",MID(IF(AND(I298&lt;&gt;"Accepted",I298&lt;&gt;"Not Needed"),", "&amp;I$1,"")&amp;IF(AND(H298&lt;&gt;"Accepted",H298&lt;&gt;"Not Needed"),", "&amp;H$1,""),3,400)),IF($Q298&gt;=Settings!$C$13,"None",MID(IF(AND(G298&lt;&gt;"Accepted",G298&lt;&gt;"Not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Confirmed",IF($E299="PTA",IF(AND(OR(I299="Accepted",I299="Not Needed"),OR(H299="Accepted",H299="Not Needed")),"Registered",IF(OR(OR(I299="Accepted",I299="Received",I299="Needs Correction"),OR(H299="Accepted",H299="Received",H299="Needs Correction")),"In Progress","Not Started")),IF($Q299&gt;=Settings!$C$13,"Legalized",IF($P299&gt;=Settings!$C$12,"Registered",IF($O299&gt;0,"In Progress","Not Started")))))))</f>
        <v/>
      </c>
      <c r="S299" s="32">
        <f>IF($B299="","",COUNTIF(G299:N299,"Received"))</f>
        <v/>
      </c>
      <c r="T299" s="32">
        <f>IF($B299="","",COUNTIF(G299:N299,"Needs Correction"))</f>
        <v/>
      </c>
      <c r="U299" s="33">
        <f>IF($B299="","",IF($D299&lt;&gt;"Yes","",IF($E299="PTA",IF(AND(OR(I299="Accepted",I299="Not Needed"),OR(H299="Accepted",H299="Not Needed")),"None",MID(IF(AND(I299&lt;&gt;"Accepted",I299&lt;&gt;"Not Needed"),", "&amp;I$1,"")&amp;IF(AND(H299&lt;&gt;"Accepted",H299&lt;&gt;"Not Needed"),", "&amp;H$1,""),3,400)),IF($Q299&gt;=Settings!$C$13,"None",MID(IF(AND(G299&lt;&gt;"Accepted",G299&lt;&gt;"Not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Confirmed",IF($E300="PTA",IF(AND(OR(I300="Accepted",I300="Not Needed"),OR(H300="Accepted",H300="Not Needed")),"Registered",IF(OR(OR(I300="Accepted",I300="Received",I300="Needs Correction"),OR(H300="Accepted",H300="Received",H300="Needs Correction")),"In Progress","Not Started")),IF($Q300&gt;=Settings!$C$13,"Legalized",IF($P300&gt;=Settings!$C$12,"Registered",IF($O300&gt;0,"In Progress","Not Started")))))))</f>
        <v/>
      </c>
      <c r="S300" s="32">
        <f>IF($B300="","",COUNTIF(G300:N300,"Received"))</f>
        <v/>
      </c>
      <c r="T300" s="32">
        <f>IF($B300="","",COUNTIF(G300:N300,"Needs Correction"))</f>
        <v/>
      </c>
      <c r="U300" s="33">
        <f>IF($B300="","",IF($D300&lt;&gt;"Yes","",IF($E300="PTA",IF(AND(OR(I300="Accepted",I300="Not Needed"),OR(H300="Accepted",H300="Not Needed")),"None",MID(IF(AND(I300&lt;&gt;"Accepted",I300&lt;&gt;"Not Needed"),", "&amp;I$1,"")&amp;IF(AND(H300&lt;&gt;"Accepted",H300&lt;&gt;"Not Needed"),", "&amp;H$1,""),3,400)),IF($Q300&gt;=Settings!$C$13,"None",MID(IF(AND(G300&lt;&gt;"Accepted",G300&lt;&gt;"Not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Confirmed",IF($E301="PTA",IF(AND(OR(I301="Accepted",I301="Not Needed"),OR(H301="Accepted",H301="Not Needed")),"Registered",IF(OR(OR(I301="Accepted",I301="Received",I301="Needs Correction"),OR(H301="Accepted",H301="Received",H301="Needs Correction")),"In Progress","Not Started")),IF($Q301&gt;=Settings!$C$13,"Legalized",IF($P301&gt;=Settings!$C$12,"Registered",IF($O301&gt;0,"In Progress","Not Started")))))))</f>
        <v/>
      </c>
      <c r="S301" s="32">
        <f>IF($B301="","",COUNTIF(G301:N301,"Received"))</f>
        <v/>
      </c>
      <c r="T301" s="32">
        <f>IF($B301="","",COUNTIF(G301:N301,"Needs Correction"))</f>
        <v/>
      </c>
      <c r="U301" s="33">
        <f>IF($B301="","",IF($D301&lt;&gt;"Yes","",IF($E301="PTA",IF(AND(OR(I301="Accepted",I301="Not Needed"),OR(H301="Accepted",H301="Not Needed")),"None",MID(IF(AND(I301&lt;&gt;"Accepted",I301&lt;&gt;"Not Needed"),", "&amp;I$1,"")&amp;IF(AND(H301&lt;&gt;"Accepted",H301&lt;&gt;"Not Needed"),", "&amp;H$1,""),3,400)),IF($Q301&gt;=Settings!$C$13,"None",MID(IF(AND(G301&lt;&gt;"Accepted",G301&lt;&gt;"Not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Confirmed",IF($E302="PTA",IF(AND(OR(I302="Accepted",I302="Not Needed"),OR(H302="Accepted",H302="Not Needed")),"Registered",IF(OR(OR(I302="Accepted",I302="Received",I302="Needs Correction"),OR(H302="Accepted",H302="Received",H302="Needs Correction")),"In Progress","Not Started")),IF($Q302&gt;=Settings!$C$13,"Legalized",IF($P302&gt;=Settings!$C$12,"Registered",IF($O302&gt;0,"In Progress","Not Started")))))))</f>
        <v/>
      </c>
      <c r="S302" s="32">
        <f>IF($B302="","",COUNTIF(G302:N302,"Received"))</f>
        <v/>
      </c>
      <c r="T302" s="32">
        <f>IF($B302="","",COUNTIF(G302:N302,"Needs Correction"))</f>
        <v/>
      </c>
      <c r="U302" s="33">
        <f>IF($B302="","",IF($D302&lt;&gt;"Yes","",IF($E302="PTA",IF(AND(OR(I302="Accepted",I302="Not Needed"),OR(H302="Accepted",H302="Not Needed")),"None",MID(IF(AND(I302&lt;&gt;"Accepted",I302&lt;&gt;"Not Needed"),", "&amp;I$1,"")&amp;IF(AND(H302&lt;&gt;"Accepted",H302&lt;&gt;"Not Needed"),", "&amp;H$1,""),3,400)),IF($Q302&gt;=Settings!$C$13,"None",MID(IF(AND(G302&lt;&gt;"Accepted",G302&lt;&gt;"Not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Confirmed",IF($E303="PTA",IF(AND(OR(I303="Accepted",I303="Not Needed"),OR(H303="Accepted",H303="Not Needed")),"Registered",IF(OR(OR(I303="Accepted",I303="Received",I303="Needs Correction"),OR(H303="Accepted",H303="Received",H303="Needs Correction")),"In Progress","Not Started")),IF($Q303&gt;=Settings!$C$13,"Legalized",IF($P303&gt;=Settings!$C$12,"Registered",IF($O303&gt;0,"In Progress","Not Started")))))))</f>
        <v/>
      </c>
      <c r="S303" s="32">
        <f>IF($B303="","",COUNTIF(G303:N303,"Received"))</f>
        <v/>
      </c>
      <c r="T303" s="32">
        <f>IF($B303="","",COUNTIF(G303:N303,"Needs Correction"))</f>
        <v/>
      </c>
      <c r="U303" s="33">
        <f>IF($B303="","",IF($D303&lt;&gt;"Yes","",IF($E303="PTA",IF(AND(OR(I303="Accepted",I303="Not Needed"),OR(H303="Accepted",H303="Not Needed")),"None",MID(IF(AND(I303&lt;&gt;"Accepted",I303&lt;&gt;"Not Needed"),", "&amp;I$1,"")&amp;IF(AND(H303&lt;&gt;"Accepted",H303&lt;&gt;"Not Needed"),", "&amp;H$1,""),3,400)),IF($Q303&gt;=Settings!$C$13,"None",MID(IF(AND(G303&lt;&gt;"Accepted",G303&lt;&gt;"Not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Confirmed",IF($E304="PTA",IF(AND(OR(I304="Accepted",I304="Not Needed"),OR(H304="Accepted",H304="Not Needed")),"Registered",IF(OR(OR(I304="Accepted",I304="Received",I304="Needs Correction"),OR(H304="Accepted",H304="Received",H304="Needs Correction")),"In Progress","Not Started")),IF($Q304&gt;=Settings!$C$13,"Legalized",IF($P304&gt;=Settings!$C$12,"Registered",IF($O304&gt;0,"In Progress","Not Started")))))))</f>
        <v/>
      </c>
      <c r="S304" s="32">
        <f>IF($B304="","",COUNTIF(G304:N304,"Received"))</f>
        <v/>
      </c>
      <c r="T304" s="32">
        <f>IF($B304="","",COUNTIF(G304:N304,"Needs Correction"))</f>
        <v/>
      </c>
      <c r="U304" s="33">
        <f>IF($B304="","",IF($D304&lt;&gt;"Yes","",IF($E304="PTA",IF(AND(OR(I304="Accepted",I304="Not Needed"),OR(H304="Accepted",H304="Not Needed")),"None",MID(IF(AND(I304&lt;&gt;"Accepted",I304&lt;&gt;"Not Needed"),", "&amp;I$1,"")&amp;IF(AND(H304&lt;&gt;"Accepted",H304&lt;&gt;"Not Needed"),", "&amp;H$1,""),3,400)),IF($Q304&gt;=Settings!$C$13,"None",MID(IF(AND(G304&lt;&gt;"Accepted",G304&lt;&gt;"Not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Confirmed",IF($E305="PTA",IF(AND(OR(I305="Accepted",I305="Not Needed"),OR(H305="Accepted",H305="Not Needed")),"Registered",IF(OR(OR(I305="Accepted",I305="Received",I305="Needs Correction"),OR(H305="Accepted",H305="Received",H305="Needs Correction")),"In Progress","Not Started")),IF($Q305&gt;=Settings!$C$13,"Legalized",IF($P305&gt;=Settings!$C$12,"Registered",IF($O305&gt;0,"In Progress","Not Started")))))))</f>
        <v/>
      </c>
      <c r="S305" s="32">
        <f>IF($B305="","",COUNTIF(G305:N305,"Received"))</f>
        <v/>
      </c>
      <c r="T305" s="32">
        <f>IF($B305="","",COUNTIF(G305:N305,"Needs Correction"))</f>
        <v/>
      </c>
      <c r="U305" s="33">
        <f>IF($B305="","",IF($D305&lt;&gt;"Yes","",IF($E305="PTA",IF(AND(OR(I305="Accepted",I305="Not Needed"),OR(H305="Accepted",H305="Not Needed")),"None",MID(IF(AND(I305&lt;&gt;"Accepted",I305&lt;&gt;"Not Needed"),", "&amp;I$1,"")&amp;IF(AND(H305&lt;&gt;"Accepted",H305&lt;&gt;"Not Needed"),", "&amp;H$1,""),3,400)),IF($Q305&gt;=Settings!$C$13,"None",MID(IF(AND(G305&lt;&gt;"Accepted",G305&lt;&gt;"Not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Confirmed",IF($E306="PTA",IF(AND(OR(I306="Accepted",I306="Not Needed"),OR(H306="Accepted",H306="Not Needed")),"Registered",IF(OR(OR(I306="Accepted",I306="Received",I306="Needs Correction"),OR(H306="Accepted",H306="Received",H306="Needs Correction")),"In Progress","Not Started")),IF($Q306&gt;=Settings!$C$13,"Legalized",IF($P306&gt;=Settings!$C$12,"Registered",IF($O306&gt;0,"In Progress","Not Started")))))))</f>
        <v/>
      </c>
      <c r="S306" s="32">
        <f>IF($B306="","",COUNTIF(G306:N306,"Received"))</f>
        <v/>
      </c>
      <c r="T306" s="32">
        <f>IF($B306="","",COUNTIF(G306:N306,"Needs Correction"))</f>
        <v/>
      </c>
      <c r="U306" s="33">
        <f>IF($B306="","",IF($D306&lt;&gt;"Yes","",IF($E306="PTA",IF(AND(OR(I306="Accepted",I306="Not Needed"),OR(H306="Accepted",H306="Not Needed")),"None",MID(IF(AND(I306&lt;&gt;"Accepted",I306&lt;&gt;"Not Needed"),", "&amp;I$1,"")&amp;IF(AND(H306&lt;&gt;"Accepted",H306&lt;&gt;"Not Needed"),", "&amp;H$1,""),3,400)),IF($Q306&gt;=Settings!$C$13,"None",MID(IF(AND(G306&lt;&gt;"Accepted",G306&lt;&gt;"Not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Confirmed",IF($E307="PTA",IF(AND(OR(I307="Accepted",I307="Not Needed"),OR(H307="Accepted",H307="Not Needed")),"Registered",IF(OR(OR(I307="Accepted",I307="Received",I307="Needs Correction"),OR(H307="Accepted",H307="Received",H307="Needs Correction")),"In Progress","Not Started")),IF($Q307&gt;=Settings!$C$13,"Legalized",IF($P307&gt;=Settings!$C$12,"Registered",IF($O307&gt;0,"In Progress","Not Started")))))))</f>
        <v/>
      </c>
      <c r="S307" s="32">
        <f>IF($B307="","",COUNTIF(G307:N307,"Received"))</f>
        <v/>
      </c>
      <c r="T307" s="32">
        <f>IF($B307="","",COUNTIF(G307:N307,"Needs Correction"))</f>
        <v/>
      </c>
      <c r="U307" s="33">
        <f>IF($B307="","",IF($D307&lt;&gt;"Yes","",IF($E307="PTA",IF(AND(OR(I307="Accepted",I307="Not Needed"),OR(H307="Accepted",H307="Not Needed")),"None",MID(IF(AND(I307&lt;&gt;"Accepted",I307&lt;&gt;"Not Needed"),", "&amp;I$1,"")&amp;IF(AND(H307&lt;&gt;"Accepted",H307&lt;&gt;"Not Needed"),", "&amp;H$1,""),3,400)),IF($Q307&gt;=Settings!$C$13,"None",MID(IF(AND(G307&lt;&gt;"Accepted",G307&lt;&gt;"Not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Confirmed",IF($E308="PTA",IF(AND(OR(I308="Accepted",I308="Not Needed"),OR(H308="Accepted",H308="Not Needed")),"Registered",IF(OR(OR(I308="Accepted",I308="Received",I308="Needs Correction"),OR(H308="Accepted",H308="Received",H308="Needs Correction")),"In Progress","Not Started")),IF($Q308&gt;=Settings!$C$13,"Legalized",IF($P308&gt;=Settings!$C$12,"Registered",IF($O308&gt;0,"In Progress","Not Started")))))))</f>
        <v/>
      </c>
      <c r="S308" s="32">
        <f>IF($B308="","",COUNTIF(G308:N308,"Received"))</f>
        <v/>
      </c>
      <c r="T308" s="32">
        <f>IF($B308="","",COUNTIF(G308:N308,"Needs Correction"))</f>
        <v/>
      </c>
      <c r="U308" s="33">
        <f>IF($B308="","",IF($D308&lt;&gt;"Yes","",IF($E308="PTA",IF(AND(OR(I308="Accepted",I308="Not Needed"),OR(H308="Accepted",H308="Not Needed")),"None",MID(IF(AND(I308&lt;&gt;"Accepted",I308&lt;&gt;"Not Needed"),", "&amp;I$1,"")&amp;IF(AND(H308&lt;&gt;"Accepted",H308&lt;&gt;"Not Needed"),", "&amp;H$1,""),3,400)),IF($Q308&gt;=Settings!$C$13,"None",MID(IF(AND(G308&lt;&gt;"Accepted",G308&lt;&gt;"Not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Confirmed",IF($E309="PTA",IF(AND(OR(I309="Accepted",I309="Not Needed"),OR(H309="Accepted",H309="Not Needed")),"Registered",IF(OR(OR(I309="Accepted",I309="Received",I309="Needs Correction"),OR(H309="Accepted",H309="Received",H309="Needs Correction")),"In Progress","Not Started")),IF($Q309&gt;=Settings!$C$13,"Legalized",IF($P309&gt;=Settings!$C$12,"Registered",IF($O309&gt;0,"In Progress","Not Started")))))))</f>
        <v/>
      </c>
      <c r="S309" s="32">
        <f>IF($B309="","",COUNTIF(G309:N309,"Received"))</f>
        <v/>
      </c>
      <c r="T309" s="32">
        <f>IF($B309="","",COUNTIF(G309:N309,"Needs Correction"))</f>
        <v/>
      </c>
      <c r="U309" s="33">
        <f>IF($B309="","",IF($D309&lt;&gt;"Yes","",IF($E309="PTA",IF(AND(OR(I309="Accepted",I309="Not Needed"),OR(H309="Accepted",H309="Not Needed")),"None",MID(IF(AND(I309&lt;&gt;"Accepted",I309&lt;&gt;"Not Needed"),", "&amp;I$1,"")&amp;IF(AND(H309&lt;&gt;"Accepted",H309&lt;&gt;"Not Needed"),", "&amp;H$1,""),3,400)),IF($Q309&gt;=Settings!$C$13,"None",MID(IF(AND(G309&lt;&gt;"Accepted",G309&lt;&gt;"Not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Confirmed",IF($E310="PTA",IF(AND(OR(I310="Accepted",I310="Not Needed"),OR(H310="Accepted",H310="Not Needed")),"Registered",IF(OR(OR(I310="Accepted",I310="Received",I310="Needs Correction"),OR(H310="Accepted",H310="Received",H310="Needs Correction")),"In Progress","Not Started")),IF($Q310&gt;=Settings!$C$13,"Legalized",IF($P310&gt;=Settings!$C$12,"Registered",IF($O310&gt;0,"In Progress","Not Started")))))))</f>
        <v/>
      </c>
      <c r="S310" s="32">
        <f>IF($B310="","",COUNTIF(G310:N310,"Received"))</f>
        <v/>
      </c>
      <c r="T310" s="32">
        <f>IF($B310="","",COUNTIF(G310:N310,"Needs Correction"))</f>
        <v/>
      </c>
      <c r="U310" s="33">
        <f>IF($B310="","",IF($D310&lt;&gt;"Yes","",IF($E310="PTA",IF(AND(OR(I310="Accepted",I310="Not Needed"),OR(H310="Accepted",H310="Not Needed")),"None",MID(IF(AND(I310&lt;&gt;"Accepted",I310&lt;&gt;"Not Needed"),", "&amp;I$1,"")&amp;IF(AND(H310&lt;&gt;"Accepted",H310&lt;&gt;"Not Needed"),", "&amp;H$1,""),3,400)),IF($Q310&gt;=Settings!$C$13,"None",MID(IF(AND(G310&lt;&gt;"Accepted",G310&lt;&gt;"Not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Confirmed",IF($E311="PTA",IF(AND(OR(I311="Accepted",I311="Not Needed"),OR(H311="Accepted",H311="Not Needed")),"Registered",IF(OR(OR(I311="Accepted",I311="Received",I311="Needs Correction"),OR(H311="Accepted",H311="Received",H311="Needs Correction")),"In Progress","Not Started")),IF($Q311&gt;=Settings!$C$13,"Legalized",IF($P311&gt;=Settings!$C$12,"Registered",IF($O311&gt;0,"In Progress","Not Started")))))))</f>
        <v/>
      </c>
      <c r="S311" s="32">
        <f>IF($B311="","",COUNTIF(G311:N311,"Received"))</f>
        <v/>
      </c>
      <c r="T311" s="32">
        <f>IF($B311="","",COUNTIF(G311:N311,"Needs Correction"))</f>
        <v/>
      </c>
      <c r="U311" s="33">
        <f>IF($B311="","",IF($D311&lt;&gt;"Yes","",IF($E311="PTA",IF(AND(OR(I311="Accepted",I311="Not Needed"),OR(H311="Accepted",H311="Not Needed")),"None",MID(IF(AND(I311&lt;&gt;"Accepted",I311&lt;&gt;"Not Needed"),", "&amp;I$1,"")&amp;IF(AND(H311&lt;&gt;"Accepted",H311&lt;&gt;"Not Needed"),", "&amp;H$1,""),3,400)),IF($Q311&gt;=Settings!$C$13,"None",MID(IF(AND(G311&lt;&gt;"Accepted",G311&lt;&gt;"Not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Confirmed",IF($E312="PTA",IF(AND(OR(I312="Accepted",I312="Not Needed"),OR(H312="Accepted",H312="Not Needed")),"Registered",IF(OR(OR(I312="Accepted",I312="Received",I312="Needs Correction"),OR(H312="Accepted",H312="Received",H312="Needs Correction")),"In Progress","Not Started")),IF($Q312&gt;=Settings!$C$13,"Legalized",IF($P312&gt;=Settings!$C$12,"Registered",IF($O312&gt;0,"In Progress","Not Started")))))))</f>
        <v/>
      </c>
      <c r="S312" s="32">
        <f>IF($B312="","",COUNTIF(G312:N312,"Received"))</f>
        <v/>
      </c>
      <c r="T312" s="32">
        <f>IF($B312="","",COUNTIF(G312:N312,"Needs Correction"))</f>
        <v/>
      </c>
      <c r="U312" s="33">
        <f>IF($B312="","",IF($D312&lt;&gt;"Yes","",IF($E312="PTA",IF(AND(OR(I312="Accepted",I312="Not Needed"),OR(H312="Accepted",H312="Not Needed")),"None",MID(IF(AND(I312&lt;&gt;"Accepted",I312&lt;&gt;"Not Needed"),", "&amp;I$1,"")&amp;IF(AND(H312&lt;&gt;"Accepted",H312&lt;&gt;"Not Needed"),", "&amp;H$1,""),3,400)),IF($Q312&gt;=Settings!$C$13,"None",MID(IF(AND(G312&lt;&gt;"Accepted",G312&lt;&gt;"Not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Confirmed",IF($E313="PTA",IF(AND(OR(I313="Accepted",I313="Not Needed"),OR(H313="Accepted",H313="Not Needed")),"Registered",IF(OR(OR(I313="Accepted",I313="Received",I313="Needs Correction"),OR(H313="Accepted",H313="Received",H313="Needs Correction")),"In Progress","Not Started")),IF($Q313&gt;=Settings!$C$13,"Legalized",IF($P313&gt;=Settings!$C$12,"Registered",IF($O313&gt;0,"In Progress","Not Started")))))))</f>
        <v/>
      </c>
      <c r="S313" s="32">
        <f>IF($B313="","",COUNTIF(G313:N313,"Received"))</f>
        <v/>
      </c>
      <c r="T313" s="32">
        <f>IF($B313="","",COUNTIF(G313:N313,"Needs Correction"))</f>
        <v/>
      </c>
      <c r="U313" s="33">
        <f>IF($B313="","",IF($D313&lt;&gt;"Yes","",IF($E313="PTA",IF(AND(OR(I313="Accepted",I313="Not Needed"),OR(H313="Accepted",H313="Not Needed")),"None",MID(IF(AND(I313&lt;&gt;"Accepted",I313&lt;&gt;"Not Needed"),", "&amp;I$1,"")&amp;IF(AND(H313&lt;&gt;"Accepted",H313&lt;&gt;"Not Needed"),", "&amp;H$1,""),3,400)),IF($Q313&gt;=Settings!$C$13,"None",MID(IF(AND(G313&lt;&gt;"Accepted",G313&lt;&gt;"Not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Confirmed",IF($E314="PTA",IF(AND(OR(I314="Accepted",I314="Not Needed"),OR(H314="Accepted",H314="Not Needed")),"Registered",IF(OR(OR(I314="Accepted",I314="Received",I314="Needs Correction"),OR(H314="Accepted",H314="Received",H314="Needs Correction")),"In Progress","Not Started")),IF($Q314&gt;=Settings!$C$13,"Legalized",IF($P314&gt;=Settings!$C$12,"Registered",IF($O314&gt;0,"In Progress","Not Started")))))))</f>
        <v/>
      </c>
      <c r="S314" s="32">
        <f>IF($B314="","",COUNTIF(G314:N314,"Received"))</f>
        <v/>
      </c>
      <c r="T314" s="32">
        <f>IF($B314="","",COUNTIF(G314:N314,"Needs Correction"))</f>
        <v/>
      </c>
      <c r="U314" s="33">
        <f>IF($B314="","",IF($D314&lt;&gt;"Yes","",IF($E314="PTA",IF(AND(OR(I314="Accepted",I314="Not Needed"),OR(H314="Accepted",H314="Not Needed")),"None",MID(IF(AND(I314&lt;&gt;"Accepted",I314&lt;&gt;"Not Needed"),", "&amp;I$1,"")&amp;IF(AND(H314&lt;&gt;"Accepted",H314&lt;&gt;"Not Needed"),", "&amp;H$1,""),3,400)),IF($Q314&gt;=Settings!$C$13,"None",MID(IF(AND(G314&lt;&gt;"Accepted",G314&lt;&gt;"Not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Confirmed",IF($E315="PTA",IF(AND(OR(I315="Accepted",I315="Not Needed"),OR(H315="Accepted",H315="Not Needed")),"Registered",IF(OR(OR(I315="Accepted",I315="Received",I315="Needs Correction"),OR(H315="Accepted",H315="Received",H315="Needs Correction")),"In Progress","Not Started")),IF($Q315&gt;=Settings!$C$13,"Legalized",IF($P315&gt;=Settings!$C$12,"Registered",IF($O315&gt;0,"In Progress","Not Started")))))))</f>
        <v/>
      </c>
      <c r="S315" s="32">
        <f>IF($B315="","",COUNTIF(G315:N315,"Received"))</f>
        <v/>
      </c>
      <c r="T315" s="32">
        <f>IF($B315="","",COUNTIF(G315:N315,"Needs Correction"))</f>
        <v/>
      </c>
      <c r="U315" s="33">
        <f>IF($B315="","",IF($D315&lt;&gt;"Yes","",IF($E315="PTA",IF(AND(OR(I315="Accepted",I315="Not Needed"),OR(H315="Accepted",H315="Not Needed")),"None",MID(IF(AND(I315&lt;&gt;"Accepted",I315&lt;&gt;"Not Needed"),", "&amp;I$1,"")&amp;IF(AND(H315&lt;&gt;"Accepted",H315&lt;&gt;"Not Needed"),", "&amp;H$1,""),3,400)),IF($Q315&gt;=Settings!$C$13,"None",MID(IF(AND(G315&lt;&gt;"Accepted",G315&lt;&gt;"Not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Confirmed",IF($E316="PTA",IF(AND(OR(I316="Accepted",I316="Not Needed"),OR(H316="Accepted",H316="Not Needed")),"Registered",IF(OR(OR(I316="Accepted",I316="Received",I316="Needs Correction"),OR(H316="Accepted",H316="Received",H316="Needs Correction")),"In Progress","Not Started")),IF($Q316&gt;=Settings!$C$13,"Legalized",IF($P316&gt;=Settings!$C$12,"Registered",IF($O316&gt;0,"In Progress","Not Started")))))))</f>
        <v/>
      </c>
      <c r="S316" s="32">
        <f>IF($B316="","",COUNTIF(G316:N316,"Received"))</f>
        <v/>
      </c>
      <c r="T316" s="32">
        <f>IF($B316="","",COUNTIF(G316:N316,"Needs Correction"))</f>
        <v/>
      </c>
      <c r="U316" s="33">
        <f>IF($B316="","",IF($D316&lt;&gt;"Yes","",IF($E316="PTA",IF(AND(OR(I316="Accepted",I316="Not Needed"),OR(H316="Accepted",H316="Not Needed")),"None",MID(IF(AND(I316&lt;&gt;"Accepted",I316&lt;&gt;"Not Needed"),", "&amp;I$1,"")&amp;IF(AND(H316&lt;&gt;"Accepted",H316&lt;&gt;"Not Needed"),", "&amp;H$1,""),3,400)),IF($Q316&gt;=Settings!$C$13,"None",MID(IF(AND(G316&lt;&gt;"Accepted",G316&lt;&gt;"Not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Confirmed",IF($E317="PTA",IF(AND(OR(I317="Accepted",I317="Not Needed"),OR(H317="Accepted",H317="Not Needed")),"Registered",IF(OR(OR(I317="Accepted",I317="Received",I317="Needs Correction"),OR(H317="Accepted",H317="Received",H317="Needs Correction")),"In Progress","Not Started")),IF($Q317&gt;=Settings!$C$13,"Legalized",IF($P317&gt;=Settings!$C$12,"Registered",IF($O317&gt;0,"In Progress","Not Started")))))))</f>
        <v/>
      </c>
      <c r="S317" s="32">
        <f>IF($B317="","",COUNTIF(G317:N317,"Received"))</f>
        <v/>
      </c>
      <c r="T317" s="32">
        <f>IF($B317="","",COUNTIF(G317:N317,"Needs Correction"))</f>
        <v/>
      </c>
      <c r="U317" s="33">
        <f>IF($B317="","",IF($D317&lt;&gt;"Yes","",IF($E317="PTA",IF(AND(OR(I317="Accepted",I317="Not Needed"),OR(H317="Accepted",H317="Not Needed")),"None",MID(IF(AND(I317&lt;&gt;"Accepted",I317&lt;&gt;"Not Needed"),", "&amp;I$1,"")&amp;IF(AND(H317&lt;&gt;"Accepted",H317&lt;&gt;"Not Needed"),", "&amp;H$1,""),3,400)),IF($Q317&gt;=Settings!$C$13,"None",MID(IF(AND(G317&lt;&gt;"Accepted",G317&lt;&gt;"Not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Confirmed",IF($E318="PTA",IF(AND(OR(I318="Accepted",I318="Not Needed"),OR(H318="Accepted",H318="Not Needed")),"Registered",IF(OR(OR(I318="Accepted",I318="Received",I318="Needs Correction"),OR(H318="Accepted",H318="Received",H318="Needs Correction")),"In Progress","Not Started")),IF($Q318&gt;=Settings!$C$13,"Legalized",IF($P318&gt;=Settings!$C$12,"Registered",IF($O318&gt;0,"In Progress","Not Started")))))))</f>
        <v/>
      </c>
      <c r="S318" s="32">
        <f>IF($B318="","",COUNTIF(G318:N318,"Received"))</f>
        <v/>
      </c>
      <c r="T318" s="32">
        <f>IF($B318="","",COUNTIF(G318:N318,"Needs Correction"))</f>
        <v/>
      </c>
      <c r="U318" s="33">
        <f>IF($B318="","",IF($D318&lt;&gt;"Yes","",IF($E318="PTA",IF(AND(OR(I318="Accepted",I318="Not Needed"),OR(H318="Accepted",H318="Not Needed")),"None",MID(IF(AND(I318&lt;&gt;"Accepted",I318&lt;&gt;"Not Needed"),", "&amp;I$1,"")&amp;IF(AND(H318&lt;&gt;"Accepted",H318&lt;&gt;"Not Needed"),", "&amp;H$1,""),3,400)),IF($Q318&gt;=Settings!$C$13,"None",MID(IF(AND(G318&lt;&gt;"Accepted",G318&lt;&gt;"Not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Confirmed",IF($E319="PTA",IF(AND(OR(I319="Accepted",I319="Not Needed"),OR(H319="Accepted",H319="Not Needed")),"Registered",IF(OR(OR(I319="Accepted",I319="Received",I319="Needs Correction"),OR(H319="Accepted",H319="Received",H319="Needs Correction")),"In Progress","Not Started")),IF($Q319&gt;=Settings!$C$13,"Legalized",IF($P319&gt;=Settings!$C$12,"Registered",IF($O319&gt;0,"In Progress","Not Started")))))))</f>
        <v/>
      </c>
      <c r="S319" s="32">
        <f>IF($B319="","",COUNTIF(G319:N319,"Received"))</f>
        <v/>
      </c>
      <c r="T319" s="32">
        <f>IF($B319="","",COUNTIF(G319:N319,"Needs Correction"))</f>
        <v/>
      </c>
      <c r="U319" s="33">
        <f>IF($B319="","",IF($D319&lt;&gt;"Yes","",IF($E319="PTA",IF(AND(OR(I319="Accepted",I319="Not Needed"),OR(H319="Accepted",H319="Not Needed")),"None",MID(IF(AND(I319&lt;&gt;"Accepted",I319&lt;&gt;"Not Needed"),", "&amp;I$1,"")&amp;IF(AND(H319&lt;&gt;"Accepted",H319&lt;&gt;"Not Needed"),", "&amp;H$1,""),3,400)),IF($Q319&gt;=Settings!$C$13,"None",MID(IF(AND(G319&lt;&gt;"Accepted",G319&lt;&gt;"Not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Confirmed",IF($E320="PTA",IF(AND(OR(I320="Accepted",I320="Not Needed"),OR(H320="Accepted",H320="Not Needed")),"Registered",IF(OR(OR(I320="Accepted",I320="Received",I320="Needs Correction"),OR(H320="Accepted",H320="Received",H320="Needs Correction")),"In Progress","Not Started")),IF($Q320&gt;=Settings!$C$13,"Legalized",IF($P320&gt;=Settings!$C$12,"Registered",IF($O320&gt;0,"In Progress","Not Started")))))))</f>
        <v/>
      </c>
      <c r="S320" s="32">
        <f>IF($B320="","",COUNTIF(G320:N320,"Received"))</f>
        <v/>
      </c>
      <c r="T320" s="32">
        <f>IF($B320="","",COUNTIF(G320:N320,"Needs Correction"))</f>
        <v/>
      </c>
      <c r="U320" s="33">
        <f>IF($B320="","",IF($D320&lt;&gt;"Yes","",IF($E320="PTA",IF(AND(OR(I320="Accepted",I320="Not Needed"),OR(H320="Accepted",H320="Not Needed")),"None",MID(IF(AND(I320&lt;&gt;"Accepted",I320&lt;&gt;"Not Needed"),", "&amp;I$1,"")&amp;IF(AND(H320&lt;&gt;"Accepted",H320&lt;&gt;"Not Needed"),", "&amp;H$1,""),3,400)),IF($Q320&gt;=Settings!$C$13,"None",MID(IF(AND(G320&lt;&gt;"Accepted",G320&lt;&gt;"Not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Confirmed",IF($E321="PTA",IF(AND(OR(I321="Accepted",I321="Not Needed"),OR(H321="Accepted",H321="Not Needed")),"Registered",IF(OR(OR(I321="Accepted",I321="Received",I321="Needs Correction"),OR(H321="Accepted",H321="Received",H321="Needs Correction")),"In Progress","Not Started")),IF($Q321&gt;=Settings!$C$13,"Legalized",IF($P321&gt;=Settings!$C$12,"Registered",IF($O321&gt;0,"In Progress","Not Started")))))))</f>
        <v/>
      </c>
      <c r="S321" s="32">
        <f>IF($B321="","",COUNTIF(G321:N321,"Received"))</f>
        <v/>
      </c>
      <c r="T321" s="32">
        <f>IF($B321="","",COUNTIF(G321:N321,"Needs Correction"))</f>
        <v/>
      </c>
      <c r="U321" s="33">
        <f>IF($B321="","",IF($D321&lt;&gt;"Yes","",IF($E321="PTA",IF(AND(OR(I321="Accepted",I321="Not Needed"),OR(H321="Accepted",H321="Not Needed")),"None",MID(IF(AND(I321&lt;&gt;"Accepted",I321&lt;&gt;"Not Needed"),", "&amp;I$1,"")&amp;IF(AND(H321&lt;&gt;"Accepted",H321&lt;&gt;"Not Needed"),", "&amp;H$1,""),3,400)),IF($Q321&gt;=Settings!$C$13,"None",MID(IF(AND(G321&lt;&gt;"Accepted",G321&lt;&gt;"Not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Confirmed",IF($E322="PTA",IF(AND(OR(I322="Accepted",I322="Not Needed"),OR(H322="Accepted",H322="Not Needed")),"Registered",IF(OR(OR(I322="Accepted",I322="Received",I322="Needs Correction"),OR(H322="Accepted",H322="Received",H322="Needs Correction")),"In Progress","Not Started")),IF($Q322&gt;=Settings!$C$13,"Legalized",IF($P322&gt;=Settings!$C$12,"Registered",IF($O322&gt;0,"In Progress","Not Started")))))))</f>
        <v/>
      </c>
      <c r="S322" s="32">
        <f>IF($B322="","",COUNTIF(G322:N322,"Received"))</f>
        <v/>
      </c>
      <c r="T322" s="32">
        <f>IF($B322="","",COUNTIF(G322:N322,"Needs Correction"))</f>
        <v/>
      </c>
      <c r="U322" s="33">
        <f>IF($B322="","",IF($D322&lt;&gt;"Yes","",IF($E322="PTA",IF(AND(OR(I322="Accepted",I322="Not Needed"),OR(H322="Accepted",H322="Not Needed")),"None",MID(IF(AND(I322&lt;&gt;"Accepted",I322&lt;&gt;"Not Needed"),", "&amp;I$1,"")&amp;IF(AND(H322&lt;&gt;"Accepted",H322&lt;&gt;"Not Needed"),", "&amp;H$1,""),3,400)),IF($Q322&gt;=Settings!$C$13,"None",MID(IF(AND(G322&lt;&gt;"Accepted",G322&lt;&gt;"Not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Confirmed",IF($E323="PTA",IF(AND(OR(I323="Accepted",I323="Not Needed"),OR(H323="Accepted",H323="Not Needed")),"Registered",IF(OR(OR(I323="Accepted",I323="Received",I323="Needs Correction"),OR(H323="Accepted",H323="Received",H323="Needs Correction")),"In Progress","Not Started")),IF($Q323&gt;=Settings!$C$13,"Legalized",IF($P323&gt;=Settings!$C$12,"Registered",IF($O323&gt;0,"In Progress","Not Started")))))))</f>
        <v/>
      </c>
      <c r="S323" s="32">
        <f>IF($B323="","",COUNTIF(G323:N323,"Received"))</f>
        <v/>
      </c>
      <c r="T323" s="32">
        <f>IF($B323="","",COUNTIF(G323:N323,"Needs Correction"))</f>
        <v/>
      </c>
      <c r="U323" s="33">
        <f>IF($B323="","",IF($D323&lt;&gt;"Yes","",IF($E323="PTA",IF(AND(OR(I323="Accepted",I323="Not Needed"),OR(H323="Accepted",H323="Not Needed")),"None",MID(IF(AND(I323&lt;&gt;"Accepted",I323&lt;&gt;"Not Needed"),", "&amp;I$1,"")&amp;IF(AND(H323&lt;&gt;"Accepted",H323&lt;&gt;"Not Needed"),", "&amp;H$1,""),3,400)),IF($Q323&gt;=Settings!$C$13,"None",MID(IF(AND(G323&lt;&gt;"Accepted",G323&lt;&gt;"Not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Confirmed",IF($E324="PTA",IF(AND(OR(I324="Accepted",I324="Not Needed"),OR(H324="Accepted",H324="Not Needed")),"Registered",IF(OR(OR(I324="Accepted",I324="Received",I324="Needs Correction"),OR(H324="Accepted",H324="Received",H324="Needs Correction")),"In Progress","Not Started")),IF($Q324&gt;=Settings!$C$13,"Legalized",IF($P324&gt;=Settings!$C$12,"Registered",IF($O324&gt;0,"In Progress","Not Started")))))))</f>
        <v/>
      </c>
      <c r="S324" s="32">
        <f>IF($B324="","",COUNTIF(G324:N324,"Received"))</f>
        <v/>
      </c>
      <c r="T324" s="32">
        <f>IF($B324="","",COUNTIF(G324:N324,"Needs Correction"))</f>
        <v/>
      </c>
      <c r="U324" s="33">
        <f>IF($B324="","",IF($D324&lt;&gt;"Yes","",IF($E324="PTA",IF(AND(OR(I324="Accepted",I324="Not Needed"),OR(H324="Accepted",H324="Not Needed")),"None",MID(IF(AND(I324&lt;&gt;"Accepted",I324&lt;&gt;"Not Needed"),", "&amp;I$1,"")&amp;IF(AND(H324&lt;&gt;"Accepted",H324&lt;&gt;"Not Needed"),", "&amp;H$1,""),3,400)),IF($Q324&gt;=Settings!$C$13,"None",MID(IF(AND(G324&lt;&gt;"Accepted",G324&lt;&gt;"Not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Confirmed",IF($E325="PTA",IF(AND(OR(I325="Accepted",I325="Not Needed"),OR(H325="Accepted",H325="Not Needed")),"Registered",IF(OR(OR(I325="Accepted",I325="Received",I325="Needs Correction"),OR(H325="Accepted",H325="Received",H325="Needs Correction")),"In Progress","Not Started")),IF($Q325&gt;=Settings!$C$13,"Legalized",IF($P325&gt;=Settings!$C$12,"Registered",IF($O325&gt;0,"In Progress","Not Started")))))))</f>
        <v/>
      </c>
      <c r="S325" s="32">
        <f>IF($B325="","",COUNTIF(G325:N325,"Received"))</f>
        <v/>
      </c>
      <c r="T325" s="32">
        <f>IF($B325="","",COUNTIF(G325:N325,"Needs Correction"))</f>
        <v/>
      </c>
      <c r="U325" s="33">
        <f>IF($B325="","",IF($D325&lt;&gt;"Yes","",IF($E325="PTA",IF(AND(OR(I325="Accepted",I325="Not Needed"),OR(H325="Accepted",H325="Not Needed")),"None",MID(IF(AND(I325&lt;&gt;"Accepted",I325&lt;&gt;"Not Needed"),", "&amp;I$1,"")&amp;IF(AND(H325&lt;&gt;"Accepted",H325&lt;&gt;"Not Needed"),", "&amp;H$1,""),3,400)),IF($Q325&gt;=Settings!$C$13,"None",MID(IF(AND(G325&lt;&gt;"Accepted",G325&lt;&gt;"Not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Confirmed",IF($E326="PTA",IF(AND(OR(I326="Accepted",I326="Not Needed"),OR(H326="Accepted",H326="Not Needed")),"Registered",IF(OR(OR(I326="Accepted",I326="Received",I326="Needs Correction"),OR(H326="Accepted",H326="Received",H326="Needs Correction")),"In Progress","Not Started")),IF($Q326&gt;=Settings!$C$13,"Legalized",IF($P326&gt;=Settings!$C$12,"Registered",IF($O326&gt;0,"In Progress","Not Started")))))))</f>
        <v/>
      </c>
      <c r="S326" s="32">
        <f>IF($B326="","",COUNTIF(G326:N326,"Received"))</f>
        <v/>
      </c>
      <c r="T326" s="32">
        <f>IF($B326="","",COUNTIF(G326:N326,"Needs Correction"))</f>
        <v/>
      </c>
      <c r="U326" s="33">
        <f>IF($B326="","",IF($D326&lt;&gt;"Yes","",IF($E326="PTA",IF(AND(OR(I326="Accepted",I326="Not Needed"),OR(H326="Accepted",H326="Not Needed")),"None",MID(IF(AND(I326&lt;&gt;"Accepted",I326&lt;&gt;"Not Needed"),", "&amp;I$1,"")&amp;IF(AND(H326&lt;&gt;"Accepted",H326&lt;&gt;"Not Needed"),", "&amp;H$1,""),3,400)),IF($Q326&gt;=Settings!$C$13,"None",MID(IF(AND(G326&lt;&gt;"Accepted",G326&lt;&gt;"Not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Confirmed",IF($E327="PTA",IF(AND(OR(I327="Accepted",I327="Not Needed"),OR(H327="Accepted",H327="Not Needed")),"Registered",IF(OR(OR(I327="Accepted",I327="Received",I327="Needs Correction"),OR(H327="Accepted",H327="Received",H327="Needs Correction")),"In Progress","Not Started")),IF($Q327&gt;=Settings!$C$13,"Legalized",IF($P327&gt;=Settings!$C$12,"Registered",IF($O327&gt;0,"In Progress","Not Started")))))))</f>
        <v/>
      </c>
      <c r="S327" s="32">
        <f>IF($B327="","",COUNTIF(G327:N327,"Received"))</f>
        <v/>
      </c>
      <c r="T327" s="32">
        <f>IF($B327="","",COUNTIF(G327:N327,"Needs Correction"))</f>
        <v/>
      </c>
      <c r="U327" s="33">
        <f>IF($B327="","",IF($D327&lt;&gt;"Yes","",IF($E327="PTA",IF(AND(OR(I327="Accepted",I327="Not Needed"),OR(H327="Accepted",H327="Not Needed")),"None",MID(IF(AND(I327&lt;&gt;"Accepted",I327&lt;&gt;"Not Needed"),", "&amp;I$1,"")&amp;IF(AND(H327&lt;&gt;"Accepted",H327&lt;&gt;"Not Needed"),", "&amp;H$1,""),3,400)),IF($Q327&gt;=Settings!$C$13,"None",MID(IF(AND(G327&lt;&gt;"Accepted",G327&lt;&gt;"Not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Confirmed",IF($E328="PTA",IF(AND(OR(I328="Accepted",I328="Not Needed"),OR(H328="Accepted",H328="Not Needed")),"Registered",IF(OR(OR(I328="Accepted",I328="Received",I328="Needs Correction"),OR(H328="Accepted",H328="Received",H328="Needs Correction")),"In Progress","Not Started")),IF($Q328&gt;=Settings!$C$13,"Legalized",IF($P328&gt;=Settings!$C$12,"Registered",IF($O328&gt;0,"In Progress","Not Started")))))))</f>
        <v/>
      </c>
      <c r="S328" s="32">
        <f>IF($B328="","",COUNTIF(G328:N328,"Received"))</f>
        <v/>
      </c>
      <c r="T328" s="32">
        <f>IF($B328="","",COUNTIF(G328:N328,"Needs Correction"))</f>
        <v/>
      </c>
      <c r="U328" s="33">
        <f>IF($B328="","",IF($D328&lt;&gt;"Yes","",IF($E328="PTA",IF(AND(OR(I328="Accepted",I328="Not Needed"),OR(H328="Accepted",H328="Not Needed")),"None",MID(IF(AND(I328&lt;&gt;"Accepted",I328&lt;&gt;"Not Needed"),", "&amp;I$1,"")&amp;IF(AND(H328&lt;&gt;"Accepted",H328&lt;&gt;"Not Needed"),", "&amp;H$1,""),3,400)),IF($Q328&gt;=Settings!$C$13,"None",MID(IF(AND(G328&lt;&gt;"Accepted",G328&lt;&gt;"Not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Confirmed",IF($E329="PTA",IF(AND(OR(I329="Accepted",I329="Not Needed"),OR(H329="Accepted",H329="Not Needed")),"Registered",IF(OR(OR(I329="Accepted",I329="Received",I329="Needs Correction"),OR(H329="Accepted",H329="Received",H329="Needs Correction")),"In Progress","Not Started")),IF($Q329&gt;=Settings!$C$13,"Legalized",IF($P329&gt;=Settings!$C$12,"Registered",IF($O329&gt;0,"In Progress","Not Started")))))))</f>
        <v/>
      </c>
      <c r="S329" s="32">
        <f>IF($B329="","",COUNTIF(G329:N329,"Received"))</f>
        <v/>
      </c>
      <c r="T329" s="32">
        <f>IF($B329="","",COUNTIF(G329:N329,"Needs Correction"))</f>
        <v/>
      </c>
      <c r="U329" s="33">
        <f>IF($B329="","",IF($D329&lt;&gt;"Yes","",IF($E329="PTA",IF(AND(OR(I329="Accepted",I329="Not Needed"),OR(H329="Accepted",H329="Not Needed")),"None",MID(IF(AND(I329&lt;&gt;"Accepted",I329&lt;&gt;"Not Needed"),", "&amp;I$1,"")&amp;IF(AND(H329&lt;&gt;"Accepted",H329&lt;&gt;"Not Needed"),", "&amp;H$1,""),3,400)),IF($Q329&gt;=Settings!$C$13,"None",MID(IF(AND(G329&lt;&gt;"Accepted",G329&lt;&gt;"Not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Confirmed",IF($E330="PTA",IF(AND(OR(I330="Accepted",I330="Not Needed"),OR(H330="Accepted",H330="Not Needed")),"Registered",IF(OR(OR(I330="Accepted",I330="Received",I330="Needs Correction"),OR(H330="Accepted",H330="Received",H330="Needs Correction")),"In Progress","Not Started")),IF($Q330&gt;=Settings!$C$13,"Legalized",IF($P330&gt;=Settings!$C$12,"Registered",IF($O330&gt;0,"In Progress","Not Started")))))))</f>
        <v/>
      </c>
      <c r="S330" s="32">
        <f>IF($B330="","",COUNTIF(G330:N330,"Received"))</f>
        <v/>
      </c>
      <c r="T330" s="32">
        <f>IF($B330="","",COUNTIF(G330:N330,"Needs Correction"))</f>
        <v/>
      </c>
      <c r="U330" s="33">
        <f>IF($B330="","",IF($D330&lt;&gt;"Yes","",IF($E330="PTA",IF(AND(OR(I330="Accepted",I330="Not Needed"),OR(H330="Accepted",H330="Not Needed")),"None",MID(IF(AND(I330&lt;&gt;"Accepted",I330&lt;&gt;"Not Needed"),", "&amp;I$1,"")&amp;IF(AND(H330&lt;&gt;"Accepted",H330&lt;&gt;"Not Needed"),", "&amp;H$1,""),3,400)),IF($Q330&gt;=Settings!$C$13,"None",MID(IF(AND(G330&lt;&gt;"Accepted",G330&lt;&gt;"Not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Confirmed",IF($E331="PTA",IF(AND(OR(I331="Accepted",I331="Not Needed"),OR(H331="Accepted",H331="Not Needed")),"Registered",IF(OR(OR(I331="Accepted",I331="Received",I331="Needs Correction"),OR(H331="Accepted",H331="Received",H331="Needs Correction")),"In Progress","Not Started")),IF($Q331&gt;=Settings!$C$13,"Legalized",IF($P331&gt;=Settings!$C$12,"Registered",IF($O331&gt;0,"In Progress","Not Started")))))))</f>
        <v/>
      </c>
      <c r="S331" s="32">
        <f>IF($B331="","",COUNTIF(G331:N331,"Received"))</f>
        <v/>
      </c>
      <c r="T331" s="32">
        <f>IF($B331="","",COUNTIF(G331:N331,"Needs Correction"))</f>
        <v/>
      </c>
      <c r="U331" s="33">
        <f>IF($B331="","",IF($D331&lt;&gt;"Yes","",IF($E331="PTA",IF(AND(OR(I331="Accepted",I331="Not Needed"),OR(H331="Accepted",H331="Not Needed")),"None",MID(IF(AND(I331&lt;&gt;"Accepted",I331&lt;&gt;"Not Needed"),", "&amp;I$1,"")&amp;IF(AND(H331&lt;&gt;"Accepted",H331&lt;&gt;"Not Needed"),", "&amp;H$1,""),3,400)),IF($Q331&gt;=Settings!$C$13,"None",MID(IF(AND(G331&lt;&gt;"Accepted",G331&lt;&gt;"Not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Confirmed",IF($E332="PTA",IF(AND(OR(I332="Accepted",I332="Not Needed"),OR(H332="Accepted",H332="Not Needed")),"Registered",IF(OR(OR(I332="Accepted",I332="Received",I332="Needs Correction"),OR(H332="Accepted",H332="Received",H332="Needs Correction")),"In Progress","Not Started")),IF($Q332&gt;=Settings!$C$13,"Legalized",IF($P332&gt;=Settings!$C$12,"Registered",IF($O332&gt;0,"In Progress","Not Started")))))))</f>
        <v/>
      </c>
      <c r="S332" s="32">
        <f>IF($B332="","",COUNTIF(G332:N332,"Received"))</f>
        <v/>
      </c>
      <c r="T332" s="32">
        <f>IF($B332="","",COUNTIF(G332:N332,"Needs Correction"))</f>
        <v/>
      </c>
      <c r="U332" s="33">
        <f>IF($B332="","",IF($D332&lt;&gt;"Yes","",IF($E332="PTA",IF(AND(OR(I332="Accepted",I332="Not Needed"),OR(H332="Accepted",H332="Not Needed")),"None",MID(IF(AND(I332&lt;&gt;"Accepted",I332&lt;&gt;"Not Needed"),", "&amp;I$1,"")&amp;IF(AND(H332&lt;&gt;"Accepted",H332&lt;&gt;"Not Needed"),", "&amp;H$1,""),3,400)),IF($Q332&gt;=Settings!$C$13,"None",MID(IF(AND(G332&lt;&gt;"Accepted",G332&lt;&gt;"Not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Confirmed",IF($E333="PTA",IF(AND(OR(I333="Accepted",I333="Not Needed"),OR(H333="Accepted",H333="Not Needed")),"Registered",IF(OR(OR(I333="Accepted",I333="Received",I333="Needs Correction"),OR(H333="Accepted",H333="Received",H333="Needs Correction")),"In Progress","Not Started")),IF($Q333&gt;=Settings!$C$13,"Legalized",IF($P333&gt;=Settings!$C$12,"Registered",IF($O333&gt;0,"In Progress","Not Started")))))))</f>
        <v/>
      </c>
      <c r="S333" s="32">
        <f>IF($B333="","",COUNTIF(G333:N333,"Received"))</f>
        <v/>
      </c>
      <c r="T333" s="32">
        <f>IF($B333="","",COUNTIF(G333:N333,"Needs Correction"))</f>
        <v/>
      </c>
      <c r="U333" s="33">
        <f>IF($B333="","",IF($D333&lt;&gt;"Yes","",IF($E333="PTA",IF(AND(OR(I333="Accepted",I333="Not Needed"),OR(H333="Accepted",H333="Not Needed")),"None",MID(IF(AND(I333&lt;&gt;"Accepted",I333&lt;&gt;"Not Needed"),", "&amp;I$1,"")&amp;IF(AND(H333&lt;&gt;"Accepted",H333&lt;&gt;"Not Needed"),", "&amp;H$1,""),3,400)),IF($Q333&gt;=Settings!$C$13,"None",MID(IF(AND(G333&lt;&gt;"Accepted",G333&lt;&gt;"Not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Confirmed",IF($E334="PTA",IF(AND(OR(I334="Accepted",I334="Not Needed"),OR(H334="Accepted",H334="Not Needed")),"Registered",IF(OR(OR(I334="Accepted",I334="Received",I334="Needs Correction"),OR(H334="Accepted",H334="Received",H334="Needs Correction")),"In Progress","Not Started")),IF($Q334&gt;=Settings!$C$13,"Legalized",IF($P334&gt;=Settings!$C$12,"Registered",IF($O334&gt;0,"In Progress","Not Started")))))))</f>
        <v/>
      </c>
      <c r="S334" s="32">
        <f>IF($B334="","",COUNTIF(G334:N334,"Received"))</f>
        <v/>
      </c>
      <c r="T334" s="32">
        <f>IF($B334="","",COUNTIF(G334:N334,"Needs Correction"))</f>
        <v/>
      </c>
      <c r="U334" s="33">
        <f>IF($B334="","",IF($D334&lt;&gt;"Yes","",IF($E334="PTA",IF(AND(OR(I334="Accepted",I334="Not Needed"),OR(H334="Accepted",H334="Not Needed")),"None",MID(IF(AND(I334&lt;&gt;"Accepted",I334&lt;&gt;"Not Needed"),", "&amp;I$1,"")&amp;IF(AND(H334&lt;&gt;"Accepted",H334&lt;&gt;"Not Needed"),", "&amp;H$1,""),3,400)),IF($Q334&gt;=Settings!$C$13,"None",MID(IF(AND(G334&lt;&gt;"Accepted",G334&lt;&gt;"Not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Confirmed",IF($E335="PTA",IF(AND(OR(I335="Accepted",I335="Not Needed"),OR(H335="Accepted",H335="Not Needed")),"Registered",IF(OR(OR(I335="Accepted",I335="Received",I335="Needs Correction"),OR(H335="Accepted",H335="Received",H335="Needs Correction")),"In Progress","Not Started")),IF($Q335&gt;=Settings!$C$13,"Legalized",IF($P335&gt;=Settings!$C$12,"Registered",IF($O335&gt;0,"In Progress","Not Started")))))))</f>
        <v/>
      </c>
      <c r="S335" s="32">
        <f>IF($B335="","",COUNTIF(G335:N335,"Received"))</f>
        <v/>
      </c>
      <c r="T335" s="32">
        <f>IF($B335="","",COUNTIF(G335:N335,"Needs Correction"))</f>
        <v/>
      </c>
      <c r="U335" s="33">
        <f>IF($B335="","",IF($D335&lt;&gt;"Yes","",IF($E335="PTA",IF(AND(OR(I335="Accepted",I335="Not Needed"),OR(H335="Accepted",H335="Not Needed")),"None",MID(IF(AND(I335&lt;&gt;"Accepted",I335&lt;&gt;"Not Needed"),", "&amp;I$1,"")&amp;IF(AND(H335&lt;&gt;"Accepted",H335&lt;&gt;"Not Needed"),", "&amp;H$1,""),3,400)),IF($Q335&gt;=Settings!$C$13,"None",MID(IF(AND(G335&lt;&gt;"Accepted",G335&lt;&gt;"Not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Confirmed",IF($E336="PTA",IF(AND(OR(I336="Accepted",I336="Not Needed"),OR(H336="Accepted",H336="Not Needed")),"Registered",IF(OR(OR(I336="Accepted",I336="Received",I336="Needs Correction"),OR(H336="Accepted",H336="Received",H336="Needs Correction")),"In Progress","Not Started")),IF($Q336&gt;=Settings!$C$13,"Legalized",IF($P336&gt;=Settings!$C$12,"Registered",IF($O336&gt;0,"In Progress","Not Started")))))))</f>
        <v/>
      </c>
      <c r="S336" s="32">
        <f>IF($B336="","",COUNTIF(G336:N336,"Received"))</f>
        <v/>
      </c>
      <c r="T336" s="32">
        <f>IF($B336="","",COUNTIF(G336:N336,"Needs Correction"))</f>
        <v/>
      </c>
      <c r="U336" s="33">
        <f>IF($B336="","",IF($D336&lt;&gt;"Yes","",IF($E336="PTA",IF(AND(OR(I336="Accepted",I336="Not Needed"),OR(H336="Accepted",H336="Not Needed")),"None",MID(IF(AND(I336&lt;&gt;"Accepted",I336&lt;&gt;"Not Needed"),", "&amp;I$1,"")&amp;IF(AND(H336&lt;&gt;"Accepted",H336&lt;&gt;"Not Needed"),", "&amp;H$1,""),3,400)),IF($Q336&gt;=Settings!$C$13,"None",MID(IF(AND(G336&lt;&gt;"Accepted",G336&lt;&gt;"Not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Confirmed",IF($E337="PTA",IF(AND(OR(I337="Accepted",I337="Not Needed"),OR(H337="Accepted",H337="Not Needed")),"Registered",IF(OR(OR(I337="Accepted",I337="Received",I337="Needs Correction"),OR(H337="Accepted",H337="Received",H337="Needs Correction")),"In Progress","Not Started")),IF($Q337&gt;=Settings!$C$13,"Legalized",IF($P337&gt;=Settings!$C$12,"Registered",IF($O337&gt;0,"In Progress","Not Started")))))))</f>
        <v/>
      </c>
      <c r="S337" s="32">
        <f>IF($B337="","",COUNTIF(G337:N337,"Received"))</f>
        <v/>
      </c>
      <c r="T337" s="32">
        <f>IF($B337="","",COUNTIF(G337:N337,"Needs Correction"))</f>
        <v/>
      </c>
      <c r="U337" s="33">
        <f>IF($B337="","",IF($D337&lt;&gt;"Yes","",IF($E337="PTA",IF(AND(OR(I337="Accepted",I337="Not Needed"),OR(H337="Accepted",H337="Not Needed")),"None",MID(IF(AND(I337&lt;&gt;"Accepted",I337&lt;&gt;"Not Needed"),", "&amp;I$1,"")&amp;IF(AND(H337&lt;&gt;"Accepted",H337&lt;&gt;"Not Needed"),", "&amp;H$1,""),3,400)),IF($Q337&gt;=Settings!$C$13,"None",MID(IF(AND(G337&lt;&gt;"Accepted",G337&lt;&gt;"Not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Confirmed",IF($E338="PTA",IF(AND(OR(I338="Accepted",I338="Not Needed"),OR(H338="Accepted",H338="Not Needed")),"Registered",IF(OR(OR(I338="Accepted",I338="Received",I338="Needs Correction"),OR(H338="Accepted",H338="Received",H338="Needs Correction")),"In Progress","Not Started")),IF($Q338&gt;=Settings!$C$13,"Legalized",IF($P338&gt;=Settings!$C$12,"Registered",IF($O338&gt;0,"In Progress","Not Started")))))))</f>
        <v/>
      </c>
      <c r="S338" s="32">
        <f>IF($B338="","",COUNTIF(G338:N338,"Received"))</f>
        <v/>
      </c>
      <c r="T338" s="32">
        <f>IF($B338="","",COUNTIF(G338:N338,"Needs Correction"))</f>
        <v/>
      </c>
      <c r="U338" s="33">
        <f>IF($B338="","",IF($D338&lt;&gt;"Yes","",IF($E338="PTA",IF(AND(OR(I338="Accepted",I338="Not Needed"),OR(H338="Accepted",H338="Not Needed")),"None",MID(IF(AND(I338&lt;&gt;"Accepted",I338&lt;&gt;"Not Needed"),", "&amp;I$1,"")&amp;IF(AND(H338&lt;&gt;"Accepted",H338&lt;&gt;"Not Needed"),", "&amp;H$1,""),3,400)),IF($Q338&gt;=Settings!$C$13,"None",MID(IF(AND(G338&lt;&gt;"Accepted",G338&lt;&gt;"Not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Confirmed",IF($E339="PTA",IF(AND(OR(I339="Accepted",I339="Not Needed"),OR(H339="Accepted",H339="Not Needed")),"Registered",IF(OR(OR(I339="Accepted",I339="Received",I339="Needs Correction"),OR(H339="Accepted",H339="Received",H339="Needs Correction")),"In Progress","Not Started")),IF($Q339&gt;=Settings!$C$13,"Legalized",IF($P339&gt;=Settings!$C$12,"Registered",IF($O339&gt;0,"In Progress","Not Started")))))))</f>
        <v/>
      </c>
      <c r="S339" s="32">
        <f>IF($B339="","",COUNTIF(G339:N339,"Received"))</f>
        <v/>
      </c>
      <c r="T339" s="32">
        <f>IF($B339="","",COUNTIF(G339:N339,"Needs Correction"))</f>
        <v/>
      </c>
      <c r="U339" s="33">
        <f>IF($B339="","",IF($D339&lt;&gt;"Yes","",IF($E339="PTA",IF(AND(OR(I339="Accepted",I339="Not Needed"),OR(H339="Accepted",H339="Not Needed")),"None",MID(IF(AND(I339&lt;&gt;"Accepted",I339&lt;&gt;"Not Needed"),", "&amp;I$1,"")&amp;IF(AND(H339&lt;&gt;"Accepted",H339&lt;&gt;"Not Needed"),", "&amp;H$1,""),3,400)),IF($Q339&gt;=Settings!$C$13,"None",MID(IF(AND(G339&lt;&gt;"Accepted",G339&lt;&gt;"Not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Confirmed",IF($E340="PTA",IF(AND(OR(I340="Accepted",I340="Not Needed"),OR(H340="Accepted",H340="Not Needed")),"Registered",IF(OR(OR(I340="Accepted",I340="Received",I340="Needs Correction"),OR(H340="Accepted",H340="Received",H340="Needs Correction")),"In Progress","Not Started")),IF($Q340&gt;=Settings!$C$13,"Legalized",IF($P340&gt;=Settings!$C$12,"Registered",IF($O340&gt;0,"In Progress","Not Started")))))))</f>
        <v/>
      </c>
      <c r="S340" s="32">
        <f>IF($B340="","",COUNTIF(G340:N340,"Received"))</f>
        <v/>
      </c>
      <c r="T340" s="32">
        <f>IF($B340="","",COUNTIF(G340:N340,"Needs Correction"))</f>
        <v/>
      </c>
      <c r="U340" s="33">
        <f>IF($B340="","",IF($D340&lt;&gt;"Yes","",IF($E340="PTA",IF(AND(OR(I340="Accepted",I340="Not Needed"),OR(H340="Accepted",H340="Not Needed")),"None",MID(IF(AND(I340&lt;&gt;"Accepted",I340&lt;&gt;"Not Needed"),", "&amp;I$1,"")&amp;IF(AND(H340&lt;&gt;"Accepted",H340&lt;&gt;"Not Needed"),", "&amp;H$1,""),3,400)),IF($Q340&gt;=Settings!$C$13,"None",MID(IF(AND(G340&lt;&gt;"Accepted",G340&lt;&gt;"Not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Confirmed",IF($E341="PTA",IF(AND(OR(I341="Accepted",I341="Not Needed"),OR(H341="Accepted",H341="Not Needed")),"Registered",IF(OR(OR(I341="Accepted",I341="Received",I341="Needs Correction"),OR(H341="Accepted",H341="Received",H341="Needs Correction")),"In Progress","Not Started")),IF($Q341&gt;=Settings!$C$13,"Legalized",IF($P341&gt;=Settings!$C$12,"Registered",IF($O341&gt;0,"In Progress","Not Started")))))))</f>
        <v/>
      </c>
      <c r="S341" s="32">
        <f>IF($B341="","",COUNTIF(G341:N341,"Received"))</f>
        <v/>
      </c>
      <c r="T341" s="32">
        <f>IF($B341="","",COUNTIF(G341:N341,"Needs Correction"))</f>
        <v/>
      </c>
      <c r="U341" s="33">
        <f>IF($B341="","",IF($D341&lt;&gt;"Yes","",IF($E341="PTA",IF(AND(OR(I341="Accepted",I341="Not Needed"),OR(H341="Accepted",H341="Not Needed")),"None",MID(IF(AND(I341&lt;&gt;"Accepted",I341&lt;&gt;"Not Needed"),", "&amp;I$1,"")&amp;IF(AND(H341&lt;&gt;"Accepted",H341&lt;&gt;"Not Needed"),", "&amp;H$1,""),3,400)),IF($Q341&gt;=Settings!$C$13,"None",MID(IF(AND(G341&lt;&gt;"Accepted",G341&lt;&gt;"Not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Confirmed",IF($E342="PTA",IF(AND(OR(I342="Accepted",I342="Not Needed"),OR(H342="Accepted",H342="Not Needed")),"Registered",IF(OR(OR(I342="Accepted",I342="Received",I342="Needs Correction"),OR(H342="Accepted",H342="Received",H342="Needs Correction")),"In Progress","Not Started")),IF($Q342&gt;=Settings!$C$13,"Legalized",IF($P342&gt;=Settings!$C$12,"Registered",IF($O342&gt;0,"In Progress","Not Started")))))))</f>
        <v/>
      </c>
      <c r="S342" s="32">
        <f>IF($B342="","",COUNTIF(G342:N342,"Received"))</f>
        <v/>
      </c>
      <c r="T342" s="32">
        <f>IF($B342="","",COUNTIF(G342:N342,"Needs Correction"))</f>
        <v/>
      </c>
      <c r="U342" s="33">
        <f>IF($B342="","",IF($D342&lt;&gt;"Yes","",IF($E342="PTA",IF(AND(OR(I342="Accepted",I342="Not Needed"),OR(H342="Accepted",H342="Not Needed")),"None",MID(IF(AND(I342&lt;&gt;"Accepted",I342&lt;&gt;"Not Needed"),", "&amp;I$1,"")&amp;IF(AND(H342&lt;&gt;"Accepted",H342&lt;&gt;"Not Needed"),", "&amp;H$1,""),3,400)),IF($Q342&gt;=Settings!$C$13,"None",MID(IF(AND(G342&lt;&gt;"Accepted",G342&lt;&gt;"Not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Confirmed",IF($E343="PTA",IF(AND(OR(I343="Accepted",I343="Not Needed"),OR(H343="Accepted",H343="Not Needed")),"Registered",IF(OR(OR(I343="Accepted",I343="Received",I343="Needs Correction"),OR(H343="Accepted",H343="Received",H343="Needs Correction")),"In Progress","Not Started")),IF($Q343&gt;=Settings!$C$13,"Legalized",IF($P343&gt;=Settings!$C$12,"Registered",IF($O343&gt;0,"In Progress","Not Started")))))))</f>
        <v/>
      </c>
      <c r="S343" s="32">
        <f>IF($B343="","",COUNTIF(G343:N343,"Received"))</f>
        <v/>
      </c>
      <c r="T343" s="32">
        <f>IF($B343="","",COUNTIF(G343:N343,"Needs Correction"))</f>
        <v/>
      </c>
      <c r="U343" s="33">
        <f>IF($B343="","",IF($D343&lt;&gt;"Yes","",IF($E343="PTA",IF(AND(OR(I343="Accepted",I343="Not Needed"),OR(H343="Accepted",H343="Not Needed")),"None",MID(IF(AND(I343&lt;&gt;"Accepted",I343&lt;&gt;"Not Needed"),", "&amp;I$1,"")&amp;IF(AND(H343&lt;&gt;"Accepted",H343&lt;&gt;"Not Needed"),", "&amp;H$1,""),3,400)),IF($Q343&gt;=Settings!$C$13,"None",MID(IF(AND(G343&lt;&gt;"Accepted",G343&lt;&gt;"Not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Confirmed",IF($E344="PTA",IF(AND(OR(I344="Accepted",I344="Not Needed"),OR(H344="Accepted",H344="Not Needed")),"Registered",IF(OR(OR(I344="Accepted",I344="Received",I344="Needs Correction"),OR(H344="Accepted",H344="Received",H344="Needs Correction")),"In Progress","Not Started")),IF($Q344&gt;=Settings!$C$13,"Legalized",IF($P344&gt;=Settings!$C$12,"Registered",IF($O344&gt;0,"In Progress","Not Started")))))))</f>
        <v/>
      </c>
      <c r="S344" s="32">
        <f>IF($B344="","",COUNTIF(G344:N344,"Received"))</f>
        <v/>
      </c>
      <c r="T344" s="32">
        <f>IF($B344="","",COUNTIF(G344:N344,"Needs Correction"))</f>
        <v/>
      </c>
      <c r="U344" s="33">
        <f>IF($B344="","",IF($D344&lt;&gt;"Yes","",IF($E344="PTA",IF(AND(OR(I344="Accepted",I344="Not Needed"),OR(H344="Accepted",H344="Not Needed")),"None",MID(IF(AND(I344&lt;&gt;"Accepted",I344&lt;&gt;"Not Needed"),", "&amp;I$1,"")&amp;IF(AND(H344&lt;&gt;"Accepted",H344&lt;&gt;"Not Needed"),", "&amp;H$1,""),3,400)),IF($Q344&gt;=Settings!$C$13,"None",MID(IF(AND(G344&lt;&gt;"Accepted",G344&lt;&gt;"Not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Confirmed",IF($E345="PTA",IF(AND(OR(I345="Accepted",I345="Not Needed"),OR(H345="Accepted",H345="Not Needed")),"Registered",IF(OR(OR(I345="Accepted",I345="Received",I345="Needs Correction"),OR(H345="Accepted",H345="Received",H345="Needs Correction")),"In Progress","Not Started")),IF($Q345&gt;=Settings!$C$13,"Legalized",IF($P345&gt;=Settings!$C$12,"Registered",IF($O345&gt;0,"In Progress","Not Started")))))))</f>
        <v/>
      </c>
      <c r="S345" s="32">
        <f>IF($B345="","",COUNTIF(G345:N345,"Received"))</f>
        <v/>
      </c>
      <c r="T345" s="32">
        <f>IF($B345="","",COUNTIF(G345:N345,"Needs Correction"))</f>
        <v/>
      </c>
      <c r="U345" s="33">
        <f>IF($B345="","",IF($D345&lt;&gt;"Yes","",IF($E345="PTA",IF(AND(OR(I345="Accepted",I345="Not Needed"),OR(H345="Accepted",H345="Not Needed")),"None",MID(IF(AND(I345&lt;&gt;"Accepted",I345&lt;&gt;"Not Needed"),", "&amp;I$1,"")&amp;IF(AND(H345&lt;&gt;"Accepted",H345&lt;&gt;"Not Needed"),", "&amp;H$1,""),3,400)),IF($Q345&gt;=Settings!$C$13,"None",MID(IF(AND(G345&lt;&gt;"Accepted",G345&lt;&gt;"Not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Confirmed",IF($E346="PTA",IF(AND(OR(I346="Accepted",I346="Not Needed"),OR(H346="Accepted",H346="Not Needed")),"Registered",IF(OR(OR(I346="Accepted",I346="Received",I346="Needs Correction"),OR(H346="Accepted",H346="Received",H346="Needs Correction")),"In Progress","Not Started")),IF($Q346&gt;=Settings!$C$13,"Legalized",IF($P346&gt;=Settings!$C$12,"Registered",IF($O346&gt;0,"In Progress","Not Started")))))))</f>
        <v/>
      </c>
      <c r="S346" s="32">
        <f>IF($B346="","",COUNTIF(G346:N346,"Received"))</f>
        <v/>
      </c>
      <c r="T346" s="32">
        <f>IF($B346="","",COUNTIF(G346:N346,"Needs Correction"))</f>
        <v/>
      </c>
      <c r="U346" s="33">
        <f>IF($B346="","",IF($D346&lt;&gt;"Yes","",IF($E346="PTA",IF(AND(OR(I346="Accepted",I346="Not Needed"),OR(H346="Accepted",H346="Not Needed")),"None",MID(IF(AND(I346&lt;&gt;"Accepted",I346&lt;&gt;"Not Needed"),", "&amp;I$1,"")&amp;IF(AND(H346&lt;&gt;"Accepted",H346&lt;&gt;"Not Needed"),", "&amp;H$1,""),3,400)),IF($Q346&gt;=Settings!$C$13,"None",MID(IF(AND(G346&lt;&gt;"Accepted",G346&lt;&gt;"Not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Confirmed",IF($E347="PTA",IF(AND(OR(I347="Accepted",I347="Not Needed"),OR(H347="Accepted",H347="Not Needed")),"Registered",IF(OR(OR(I347="Accepted",I347="Received",I347="Needs Correction"),OR(H347="Accepted",H347="Received",H347="Needs Correction")),"In Progress","Not Started")),IF($Q347&gt;=Settings!$C$13,"Legalized",IF($P347&gt;=Settings!$C$12,"Registered",IF($O347&gt;0,"In Progress","Not Started")))))))</f>
        <v/>
      </c>
      <c r="S347" s="32">
        <f>IF($B347="","",COUNTIF(G347:N347,"Received"))</f>
        <v/>
      </c>
      <c r="T347" s="32">
        <f>IF($B347="","",COUNTIF(G347:N347,"Needs Correction"))</f>
        <v/>
      </c>
      <c r="U347" s="33">
        <f>IF($B347="","",IF($D347&lt;&gt;"Yes","",IF($E347="PTA",IF(AND(OR(I347="Accepted",I347="Not Needed"),OR(H347="Accepted",H347="Not Needed")),"None",MID(IF(AND(I347&lt;&gt;"Accepted",I347&lt;&gt;"Not Needed"),", "&amp;I$1,"")&amp;IF(AND(H347&lt;&gt;"Accepted",H347&lt;&gt;"Not Needed"),", "&amp;H$1,""),3,400)),IF($Q347&gt;=Settings!$C$13,"None",MID(IF(AND(G347&lt;&gt;"Accepted",G347&lt;&gt;"Not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Confirmed",IF($E348="PTA",IF(AND(OR(I348="Accepted",I348="Not Needed"),OR(H348="Accepted",H348="Not Needed")),"Registered",IF(OR(OR(I348="Accepted",I348="Received",I348="Needs Correction"),OR(H348="Accepted",H348="Received",H348="Needs Correction")),"In Progress","Not Started")),IF($Q348&gt;=Settings!$C$13,"Legalized",IF($P348&gt;=Settings!$C$12,"Registered",IF($O348&gt;0,"In Progress","Not Started")))))))</f>
        <v/>
      </c>
      <c r="S348" s="32">
        <f>IF($B348="","",COUNTIF(G348:N348,"Received"))</f>
        <v/>
      </c>
      <c r="T348" s="32">
        <f>IF($B348="","",COUNTIF(G348:N348,"Needs Correction"))</f>
        <v/>
      </c>
      <c r="U348" s="33">
        <f>IF($B348="","",IF($D348&lt;&gt;"Yes","",IF($E348="PTA",IF(AND(OR(I348="Accepted",I348="Not Needed"),OR(H348="Accepted",H348="Not Needed")),"None",MID(IF(AND(I348&lt;&gt;"Accepted",I348&lt;&gt;"Not Needed"),", "&amp;I$1,"")&amp;IF(AND(H348&lt;&gt;"Accepted",H348&lt;&gt;"Not Needed"),", "&amp;H$1,""),3,400)),IF($Q348&gt;=Settings!$C$13,"None",MID(IF(AND(G348&lt;&gt;"Accepted",G348&lt;&gt;"Not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Confirmed",IF($E349="PTA",IF(AND(OR(I349="Accepted",I349="Not Needed"),OR(H349="Accepted",H349="Not Needed")),"Registered",IF(OR(OR(I349="Accepted",I349="Received",I349="Needs Correction"),OR(H349="Accepted",H349="Received",H349="Needs Correction")),"In Progress","Not Started")),IF($Q349&gt;=Settings!$C$13,"Legalized",IF($P349&gt;=Settings!$C$12,"Registered",IF($O349&gt;0,"In Progress","Not Started")))))))</f>
        <v/>
      </c>
      <c r="S349" s="32">
        <f>IF($B349="","",COUNTIF(G349:N349,"Received"))</f>
        <v/>
      </c>
      <c r="T349" s="32">
        <f>IF($B349="","",COUNTIF(G349:N349,"Needs Correction"))</f>
        <v/>
      </c>
      <c r="U349" s="33">
        <f>IF($B349="","",IF($D349&lt;&gt;"Yes","",IF($E349="PTA",IF(AND(OR(I349="Accepted",I349="Not Needed"),OR(H349="Accepted",H349="Not Needed")),"None",MID(IF(AND(I349&lt;&gt;"Accepted",I349&lt;&gt;"Not Needed"),", "&amp;I$1,"")&amp;IF(AND(H349&lt;&gt;"Accepted",H349&lt;&gt;"Not Needed"),", "&amp;H$1,""),3,400)),IF($Q349&gt;=Settings!$C$13,"None",MID(IF(AND(G349&lt;&gt;"Accepted",G349&lt;&gt;"Not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Confirmed",IF($E350="PTA",IF(AND(OR(I350="Accepted",I350="Not Needed"),OR(H350="Accepted",H350="Not Needed")),"Registered",IF(OR(OR(I350="Accepted",I350="Received",I350="Needs Correction"),OR(H350="Accepted",H350="Received",H350="Needs Correction")),"In Progress","Not Started")),IF($Q350&gt;=Settings!$C$13,"Legalized",IF($P350&gt;=Settings!$C$12,"Registered",IF($O350&gt;0,"In Progress","Not Started")))))))</f>
        <v/>
      </c>
      <c r="S350" s="32">
        <f>IF($B350="","",COUNTIF(G350:N350,"Received"))</f>
        <v/>
      </c>
      <c r="T350" s="32">
        <f>IF($B350="","",COUNTIF(G350:N350,"Needs Correction"))</f>
        <v/>
      </c>
      <c r="U350" s="33">
        <f>IF($B350="","",IF($D350&lt;&gt;"Yes","",IF($E350="PTA",IF(AND(OR(I350="Accepted",I350="Not Needed"),OR(H350="Accepted",H350="Not Needed")),"None",MID(IF(AND(I350&lt;&gt;"Accepted",I350&lt;&gt;"Not Needed"),", "&amp;I$1,"")&amp;IF(AND(H350&lt;&gt;"Accepted",H350&lt;&gt;"Not Needed"),", "&amp;H$1,""),3,400)),IF($Q350&gt;=Settings!$C$13,"None",MID(IF(AND(G350&lt;&gt;"Accepted",G350&lt;&gt;"Not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Confirmed",IF($E351="PTA",IF(AND(OR(I351="Accepted",I351="Not Needed"),OR(H351="Accepted",H351="Not Needed")),"Registered",IF(OR(OR(I351="Accepted",I351="Received",I351="Needs Correction"),OR(H351="Accepted",H351="Received",H351="Needs Correction")),"In Progress","Not Started")),IF($Q351&gt;=Settings!$C$13,"Legalized",IF($P351&gt;=Settings!$C$12,"Registered",IF($O351&gt;0,"In Progress","Not Started")))))))</f>
        <v/>
      </c>
      <c r="S351" s="32">
        <f>IF($B351="","",COUNTIF(G351:N351,"Received"))</f>
        <v/>
      </c>
      <c r="T351" s="32">
        <f>IF($B351="","",COUNTIF(G351:N351,"Needs Correction"))</f>
        <v/>
      </c>
      <c r="U351" s="33">
        <f>IF($B351="","",IF($D351&lt;&gt;"Yes","",IF($E351="PTA",IF(AND(OR(I351="Accepted",I351="Not Needed"),OR(H351="Accepted",H351="Not Needed")),"None",MID(IF(AND(I351&lt;&gt;"Accepted",I351&lt;&gt;"Not Needed"),", "&amp;I$1,"")&amp;IF(AND(H351&lt;&gt;"Accepted",H351&lt;&gt;"Not Needed"),", "&amp;H$1,""),3,400)),IF($Q351&gt;=Settings!$C$13,"None",MID(IF(AND(G351&lt;&gt;"Accepted",G351&lt;&gt;"Not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Confirmed",IF($E352="PTA",IF(AND(OR(I352="Accepted",I352="Not Needed"),OR(H352="Accepted",H352="Not Needed")),"Registered",IF(OR(OR(I352="Accepted",I352="Received",I352="Needs Correction"),OR(H352="Accepted",H352="Received",H352="Needs Correction")),"In Progress","Not Started")),IF($Q352&gt;=Settings!$C$13,"Legalized",IF($P352&gt;=Settings!$C$12,"Registered",IF($O352&gt;0,"In Progress","Not Started")))))))</f>
        <v/>
      </c>
      <c r="S352" s="32">
        <f>IF($B352="","",COUNTIF(G352:N352,"Received"))</f>
        <v/>
      </c>
      <c r="T352" s="32">
        <f>IF($B352="","",COUNTIF(G352:N352,"Needs Correction"))</f>
        <v/>
      </c>
      <c r="U352" s="33">
        <f>IF($B352="","",IF($D352&lt;&gt;"Yes","",IF($E352="PTA",IF(AND(OR(I352="Accepted",I352="Not Needed"),OR(H352="Accepted",H352="Not Needed")),"None",MID(IF(AND(I352&lt;&gt;"Accepted",I352&lt;&gt;"Not Needed"),", "&amp;I$1,"")&amp;IF(AND(H352&lt;&gt;"Accepted",H352&lt;&gt;"Not Needed"),", "&amp;H$1,""),3,400)),IF($Q352&gt;=Settings!$C$13,"None",MID(IF(AND(G352&lt;&gt;"Accepted",G352&lt;&gt;"Not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Confirmed",IF($E353="PTA",IF(AND(OR(I353="Accepted",I353="Not Needed"),OR(H353="Accepted",H353="Not Needed")),"Registered",IF(OR(OR(I353="Accepted",I353="Received",I353="Needs Correction"),OR(H353="Accepted",H353="Received",H353="Needs Correction")),"In Progress","Not Started")),IF($Q353&gt;=Settings!$C$13,"Legalized",IF($P353&gt;=Settings!$C$12,"Registered",IF($O353&gt;0,"In Progress","Not Started")))))))</f>
        <v/>
      </c>
      <c r="S353" s="32">
        <f>IF($B353="","",COUNTIF(G353:N353,"Received"))</f>
        <v/>
      </c>
      <c r="T353" s="32">
        <f>IF($B353="","",COUNTIF(G353:N353,"Needs Correction"))</f>
        <v/>
      </c>
      <c r="U353" s="33">
        <f>IF($B353="","",IF($D353&lt;&gt;"Yes","",IF($E353="PTA",IF(AND(OR(I353="Accepted",I353="Not Needed"),OR(H353="Accepted",H353="Not Needed")),"None",MID(IF(AND(I353&lt;&gt;"Accepted",I353&lt;&gt;"Not Needed"),", "&amp;I$1,"")&amp;IF(AND(H353&lt;&gt;"Accepted",H353&lt;&gt;"Not Needed"),", "&amp;H$1,""),3,400)),IF($Q353&gt;=Settings!$C$13,"None",MID(IF(AND(G353&lt;&gt;"Accepted",G353&lt;&gt;"Not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Confirmed",IF($E354="PTA",IF(AND(OR(I354="Accepted",I354="Not Needed"),OR(H354="Accepted",H354="Not Needed")),"Registered",IF(OR(OR(I354="Accepted",I354="Received",I354="Needs Correction"),OR(H354="Accepted",H354="Received",H354="Needs Correction")),"In Progress","Not Started")),IF($Q354&gt;=Settings!$C$13,"Legalized",IF($P354&gt;=Settings!$C$12,"Registered",IF($O354&gt;0,"In Progress","Not Started")))))))</f>
        <v/>
      </c>
      <c r="S354" s="32">
        <f>IF($B354="","",COUNTIF(G354:N354,"Received"))</f>
        <v/>
      </c>
      <c r="T354" s="32">
        <f>IF($B354="","",COUNTIF(G354:N354,"Needs Correction"))</f>
        <v/>
      </c>
      <c r="U354" s="33">
        <f>IF($B354="","",IF($D354&lt;&gt;"Yes","",IF($E354="PTA",IF(AND(OR(I354="Accepted",I354="Not Needed"),OR(H354="Accepted",H354="Not Needed")),"None",MID(IF(AND(I354&lt;&gt;"Accepted",I354&lt;&gt;"Not Needed"),", "&amp;I$1,"")&amp;IF(AND(H354&lt;&gt;"Accepted",H354&lt;&gt;"Not Needed"),", "&amp;H$1,""),3,400)),IF($Q354&gt;=Settings!$C$13,"None",MID(IF(AND(G354&lt;&gt;"Accepted",G354&lt;&gt;"Not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Confirmed",IF($E355="PTA",IF(AND(OR(I355="Accepted",I355="Not Needed"),OR(H355="Accepted",H355="Not Needed")),"Registered",IF(OR(OR(I355="Accepted",I355="Received",I355="Needs Correction"),OR(H355="Accepted",H355="Received",H355="Needs Correction")),"In Progress","Not Started")),IF($Q355&gt;=Settings!$C$13,"Legalized",IF($P355&gt;=Settings!$C$12,"Registered",IF($O355&gt;0,"In Progress","Not Started")))))))</f>
        <v/>
      </c>
      <c r="S355" s="32">
        <f>IF($B355="","",COUNTIF(G355:N355,"Received"))</f>
        <v/>
      </c>
      <c r="T355" s="32">
        <f>IF($B355="","",COUNTIF(G355:N355,"Needs Correction"))</f>
        <v/>
      </c>
      <c r="U355" s="33">
        <f>IF($B355="","",IF($D355&lt;&gt;"Yes","",IF($E355="PTA",IF(AND(OR(I355="Accepted",I355="Not Needed"),OR(H355="Accepted",H355="Not Needed")),"None",MID(IF(AND(I355&lt;&gt;"Accepted",I355&lt;&gt;"Not Needed"),", "&amp;I$1,"")&amp;IF(AND(H355&lt;&gt;"Accepted",H355&lt;&gt;"Not Needed"),", "&amp;H$1,""),3,400)),IF($Q355&gt;=Settings!$C$13,"None",MID(IF(AND(G355&lt;&gt;"Accepted",G355&lt;&gt;"Not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Confirmed",IF($E356="PTA",IF(AND(OR(I356="Accepted",I356="Not Needed"),OR(H356="Accepted",H356="Not Needed")),"Registered",IF(OR(OR(I356="Accepted",I356="Received",I356="Needs Correction"),OR(H356="Accepted",H356="Received",H356="Needs Correction")),"In Progress","Not Started")),IF($Q356&gt;=Settings!$C$13,"Legalized",IF($P356&gt;=Settings!$C$12,"Registered",IF($O356&gt;0,"In Progress","Not Started")))))))</f>
        <v/>
      </c>
      <c r="S356" s="32">
        <f>IF($B356="","",COUNTIF(G356:N356,"Received"))</f>
        <v/>
      </c>
      <c r="T356" s="32">
        <f>IF($B356="","",COUNTIF(G356:N356,"Needs Correction"))</f>
        <v/>
      </c>
      <c r="U356" s="33">
        <f>IF($B356="","",IF($D356&lt;&gt;"Yes","",IF($E356="PTA",IF(AND(OR(I356="Accepted",I356="Not Needed"),OR(H356="Accepted",H356="Not Needed")),"None",MID(IF(AND(I356&lt;&gt;"Accepted",I356&lt;&gt;"Not Needed"),", "&amp;I$1,"")&amp;IF(AND(H356&lt;&gt;"Accepted",H356&lt;&gt;"Not Needed"),", "&amp;H$1,""),3,400)),IF($Q356&gt;=Settings!$C$13,"None",MID(IF(AND(G356&lt;&gt;"Accepted",G356&lt;&gt;"Not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Confirmed",IF($E357="PTA",IF(AND(OR(I357="Accepted",I357="Not Needed"),OR(H357="Accepted",H357="Not Needed")),"Registered",IF(OR(OR(I357="Accepted",I357="Received",I357="Needs Correction"),OR(H357="Accepted",H357="Received",H357="Needs Correction")),"In Progress","Not Started")),IF($Q357&gt;=Settings!$C$13,"Legalized",IF($P357&gt;=Settings!$C$12,"Registered",IF($O357&gt;0,"In Progress","Not Started")))))))</f>
        <v/>
      </c>
      <c r="S357" s="32">
        <f>IF($B357="","",COUNTIF(G357:N357,"Received"))</f>
        <v/>
      </c>
      <c r="T357" s="32">
        <f>IF($B357="","",COUNTIF(G357:N357,"Needs Correction"))</f>
        <v/>
      </c>
      <c r="U357" s="33">
        <f>IF($B357="","",IF($D357&lt;&gt;"Yes","",IF($E357="PTA",IF(AND(OR(I357="Accepted",I357="Not Needed"),OR(H357="Accepted",H357="Not Needed")),"None",MID(IF(AND(I357&lt;&gt;"Accepted",I357&lt;&gt;"Not Needed"),", "&amp;I$1,"")&amp;IF(AND(H357&lt;&gt;"Accepted",H357&lt;&gt;"Not Needed"),", "&amp;H$1,""),3,400)),IF($Q357&gt;=Settings!$C$13,"None",MID(IF(AND(G357&lt;&gt;"Accepted",G357&lt;&gt;"Not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Confirmed",IF($E358="PTA",IF(AND(OR(I358="Accepted",I358="Not Needed"),OR(H358="Accepted",H358="Not Needed")),"Registered",IF(OR(OR(I358="Accepted",I358="Received",I358="Needs Correction"),OR(H358="Accepted",H358="Received",H358="Needs Correction")),"In Progress","Not Started")),IF($Q358&gt;=Settings!$C$13,"Legalized",IF($P358&gt;=Settings!$C$12,"Registered",IF($O358&gt;0,"In Progress","Not Started")))))))</f>
        <v/>
      </c>
      <c r="S358" s="32">
        <f>IF($B358="","",COUNTIF(G358:N358,"Received"))</f>
        <v/>
      </c>
      <c r="T358" s="32">
        <f>IF($B358="","",COUNTIF(G358:N358,"Needs Correction"))</f>
        <v/>
      </c>
      <c r="U358" s="33">
        <f>IF($B358="","",IF($D358&lt;&gt;"Yes","",IF($E358="PTA",IF(AND(OR(I358="Accepted",I358="Not Needed"),OR(H358="Accepted",H358="Not Needed")),"None",MID(IF(AND(I358&lt;&gt;"Accepted",I358&lt;&gt;"Not Needed"),", "&amp;I$1,"")&amp;IF(AND(H358&lt;&gt;"Accepted",H358&lt;&gt;"Not Needed"),", "&amp;H$1,""),3,400)),IF($Q358&gt;=Settings!$C$13,"None",MID(IF(AND(G358&lt;&gt;"Accepted",G358&lt;&gt;"Not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Confirmed",IF($E359="PTA",IF(AND(OR(I359="Accepted",I359="Not Needed"),OR(H359="Accepted",H359="Not Needed")),"Registered",IF(OR(OR(I359="Accepted",I359="Received",I359="Needs Correction"),OR(H359="Accepted",H359="Received",H359="Needs Correction")),"In Progress","Not Started")),IF($Q359&gt;=Settings!$C$13,"Legalized",IF($P359&gt;=Settings!$C$12,"Registered",IF($O359&gt;0,"In Progress","Not Started")))))))</f>
        <v/>
      </c>
      <c r="S359" s="32">
        <f>IF($B359="","",COUNTIF(G359:N359,"Received"))</f>
        <v/>
      </c>
      <c r="T359" s="32">
        <f>IF($B359="","",COUNTIF(G359:N359,"Needs Correction"))</f>
        <v/>
      </c>
      <c r="U359" s="33">
        <f>IF($B359="","",IF($D359&lt;&gt;"Yes","",IF($E359="PTA",IF(AND(OR(I359="Accepted",I359="Not Needed"),OR(H359="Accepted",H359="Not Needed")),"None",MID(IF(AND(I359&lt;&gt;"Accepted",I359&lt;&gt;"Not Needed"),", "&amp;I$1,"")&amp;IF(AND(H359&lt;&gt;"Accepted",H359&lt;&gt;"Not Needed"),", "&amp;H$1,""),3,400)),IF($Q359&gt;=Settings!$C$13,"None",MID(IF(AND(G359&lt;&gt;"Accepted",G359&lt;&gt;"Not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Confirmed",IF($E360="PTA",IF(AND(OR(I360="Accepted",I360="Not Needed"),OR(H360="Accepted",H360="Not Needed")),"Registered",IF(OR(OR(I360="Accepted",I360="Received",I360="Needs Correction"),OR(H360="Accepted",H360="Received",H360="Needs Correction")),"In Progress","Not Started")),IF($Q360&gt;=Settings!$C$13,"Legalized",IF($P360&gt;=Settings!$C$12,"Registered",IF($O360&gt;0,"In Progress","Not Started")))))))</f>
        <v/>
      </c>
      <c r="S360" s="32">
        <f>IF($B360="","",COUNTIF(G360:N360,"Received"))</f>
        <v/>
      </c>
      <c r="T360" s="32">
        <f>IF($B360="","",COUNTIF(G360:N360,"Needs Correction"))</f>
        <v/>
      </c>
      <c r="U360" s="33">
        <f>IF($B360="","",IF($D360&lt;&gt;"Yes","",IF($E360="PTA",IF(AND(OR(I360="Accepted",I360="Not Needed"),OR(H360="Accepted",H360="Not Needed")),"None",MID(IF(AND(I360&lt;&gt;"Accepted",I360&lt;&gt;"Not Needed"),", "&amp;I$1,"")&amp;IF(AND(H360&lt;&gt;"Accepted",H360&lt;&gt;"Not Needed"),", "&amp;H$1,""),3,400)),IF($Q360&gt;=Settings!$C$13,"None",MID(IF(AND(G360&lt;&gt;"Accepted",G360&lt;&gt;"Not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Confirmed",IF($E361="PTA",IF(AND(OR(I361="Accepted",I361="Not Needed"),OR(H361="Accepted",H361="Not Needed")),"Registered",IF(OR(OR(I361="Accepted",I361="Received",I361="Needs Correction"),OR(H361="Accepted",H361="Received",H361="Needs Correction")),"In Progress","Not Started")),IF($Q361&gt;=Settings!$C$13,"Legalized",IF($P361&gt;=Settings!$C$12,"Registered",IF($O361&gt;0,"In Progress","Not Started")))))))</f>
        <v/>
      </c>
      <c r="S361" s="32">
        <f>IF($B361="","",COUNTIF(G361:N361,"Received"))</f>
        <v/>
      </c>
      <c r="T361" s="32">
        <f>IF($B361="","",COUNTIF(G361:N361,"Needs Correction"))</f>
        <v/>
      </c>
      <c r="U361" s="33">
        <f>IF($B361="","",IF($D361&lt;&gt;"Yes","",IF($E361="PTA",IF(AND(OR(I361="Accepted",I361="Not Needed"),OR(H361="Accepted",H361="Not Needed")),"None",MID(IF(AND(I361&lt;&gt;"Accepted",I361&lt;&gt;"Not Needed"),", "&amp;I$1,"")&amp;IF(AND(H361&lt;&gt;"Accepted",H361&lt;&gt;"Not Needed"),", "&amp;H$1,""),3,400)),IF($Q361&gt;=Settings!$C$13,"None",MID(IF(AND(G361&lt;&gt;"Accepted",G361&lt;&gt;"Not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Confirmed",IF($E362="PTA",IF(AND(OR(I362="Accepted",I362="Not Needed"),OR(H362="Accepted",H362="Not Needed")),"Registered",IF(OR(OR(I362="Accepted",I362="Received",I362="Needs Correction"),OR(H362="Accepted",H362="Received",H362="Needs Correction")),"In Progress","Not Started")),IF($Q362&gt;=Settings!$C$13,"Legalized",IF($P362&gt;=Settings!$C$12,"Registered",IF($O362&gt;0,"In Progress","Not Started")))))))</f>
        <v/>
      </c>
      <c r="S362" s="32">
        <f>IF($B362="","",COUNTIF(G362:N362,"Received"))</f>
        <v/>
      </c>
      <c r="T362" s="32">
        <f>IF($B362="","",COUNTIF(G362:N362,"Needs Correction"))</f>
        <v/>
      </c>
      <c r="U362" s="33">
        <f>IF($B362="","",IF($D362&lt;&gt;"Yes","",IF($E362="PTA",IF(AND(OR(I362="Accepted",I362="Not Needed"),OR(H362="Accepted",H362="Not Needed")),"None",MID(IF(AND(I362&lt;&gt;"Accepted",I362&lt;&gt;"Not Needed"),", "&amp;I$1,"")&amp;IF(AND(H362&lt;&gt;"Accepted",H362&lt;&gt;"Not Needed"),", "&amp;H$1,""),3,400)),IF($Q362&gt;=Settings!$C$13,"None",MID(IF(AND(G362&lt;&gt;"Accepted",G362&lt;&gt;"Not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Confirmed",IF($E363="PTA",IF(AND(OR(I363="Accepted",I363="Not Needed"),OR(H363="Accepted",H363="Not Needed")),"Registered",IF(OR(OR(I363="Accepted",I363="Received",I363="Needs Correction"),OR(H363="Accepted",H363="Received",H363="Needs Correction")),"In Progress","Not Started")),IF($Q363&gt;=Settings!$C$13,"Legalized",IF($P363&gt;=Settings!$C$12,"Registered",IF($O363&gt;0,"In Progress","Not Started")))))))</f>
        <v/>
      </c>
      <c r="S363" s="32">
        <f>IF($B363="","",COUNTIF(G363:N363,"Received"))</f>
        <v/>
      </c>
      <c r="T363" s="32">
        <f>IF($B363="","",COUNTIF(G363:N363,"Needs Correction"))</f>
        <v/>
      </c>
      <c r="U363" s="33">
        <f>IF($B363="","",IF($D363&lt;&gt;"Yes","",IF($E363="PTA",IF(AND(OR(I363="Accepted",I363="Not Needed"),OR(H363="Accepted",H363="Not Needed")),"None",MID(IF(AND(I363&lt;&gt;"Accepted",I363&lt;&gt;"Not Needed"),", "&amp;I$1,"")&amp;IF(AND(H363&lt;&gt;"Accepted",H363&lt;&gt;"Not Needed"),", "&amp;H$1,""),3,400)),IF($Q363&gt;=Settings!$C$13,"None",MID(IF(AND(G363&lt;&gt;"Accepted",G363&lt;&gt;"Not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Confirmed",IF($E364="PTA",IF(AND(OR(I364="Accepted",I364="Not Needed"),OR(H364="Accepted",H364="Not Needed")),"Registered",IF(OR(OR(I364="Accepted",I364="Received",I364="Needs Correction"),OR(H364="Accepted",H364="Received",H364="Needs Correction")),"In Progress","Not Started")),IF($Q364&gt;=Settings!$C$13,"Legalized",IF($P364&gt;=Settings!$C$12,"Registered",IF($O364&gt;0,"In Progress","Not Started")))))))</f>
        <v/>
      </c>
      <c r="S364" s="32">
        <f>IF($B364="","",COUNTIF(G364:N364,"Received"))</f>
        <v/>
      </c>
      <c r="T364" s="32">
        <f>IF($B364="","",COUNTIF(G364:N364,"Needs Correction"))</f>
        <v/>
      </c>
      <c r="U364" s="33">
        <f>IF($B364="","",IF($D364&lt;&gt;"Yes","",IF($E364="PTA",IF(AND(OR(I364="Accepted",I364="Not Needed"),OR(H364="Accepted",H364="Not Needed")),"None",MID(IF(AND(I364&lt;&gt;"Accepted",I364&lt;&gt;"Not Needed"),", "&amp;I$1,"")&amp;IF(AND(H364&lt;&gt;"Accepted",H364&lt;&gt;"Not Needed"),", "&amp;H$1,""),3,400)),IF($Q364&gt;=Settings!$C$13,"None",MID(IF(AND(G364&lt;&gt;"Accepted",G364&lt;&gt;"Not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Confirmed",IF($E365="PTA",IF(AND(OR(I365="Accepted",I365="Not Needed"),OR(H365="Accepted",H365="Not Needed")),"Registered",IF(OR(OR(I365="Accepted",I365="Received",I365="Needs Correction"),OR(H365="Accepted",H365="Received",H365="Needs Correction")),"In Progress","Not Started")),IF($Q365&gt;=Settings!$C$13,"Legalized",IF($P365&gt;=Settings!$C$12,"Registered",IF($O365&gt;0,"In Progress","Not Started")))))))</f>
        <v/>
      </c>
      <c r="S365" s="32">
        <f>IF($B365="","",COUNTIF(G365:N365,"Received"))</f>
        <v/>
      </c>
      <c r="T365" s="32">
        <f>IF($B365="","",COUNTIF(G365:N365,"Needs Correction"))</f>
        <v/>
      </c>
      <c r="U365" s="33">
        <f>IF($B365="","",IF($D365&lt;&gt;"Yes","",IF($E365="PTA",IF(AND(OR(I365="Accepted",I365="Not Needed"),OR(H365="Accepted",H365="Not Needed")),"None",MID(IF(AND(I365&lt;&gt;"Accepted",I365&lt;&gt;"Not Needed"),", "&amp;I$1,"")&amp;IF(AND(H365&lt;&gt;"Accepted",H365&lt;&gt;"Not Needed"),", "&amp;H$1,""),3,400)),IF($Q365&gt;=Settings!$C$13,"None",MID(IF(AND(G365&lt;&gt;"Accepted",G365&lt;&gt;"Not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Confirmed",IF($E366="PTA",IF(AND(OR(I366="Accepted",I366="Not Needed"),OR(H366="Accepted",H366="Not Needed")),"Registered",IF(OR(OR(I366="Accepted",I366="Received",I366="Needs Correction"),OR(H366="Accepted",H366="Received",H366="Needs Correction")),"In Progress","Not Started")),IF($Q366&gt;=Settings!$C$13,"Legalized",IF($P366&gt;=Settings!$C$12,"Registered",IF($O366&gt;0,"In Progress","Not Started")))))))</f>
        <v/>
      </c>
      <c r="S366" s="32">
        <f>IF($B366="","",COUNTIF(G366:N366,"Received"))</f>
        <v/>
      </c>
      <c r="T366" s="32">
        <f>IF($B366="","",COUNTIF(G366:N366,"Needs Correction"))</f>
        <v/>
      </c>
      <c r="U366" s="33">
        <f>IF($B366="","",IF($D366&lt;&gt;"Yes","",IF($E366="PTA",IF(AND(OR(I366="Accepted",I366="Not Needed"),OR(H366="Accepted",H366="Not Needed")),"None",MID(IF(AND(I366&lt;&gt;"Accepted",I366&lt;&gt;"Not Needed"),", "&amp;I$1,"")&amp;IF(AND(H366&lt;&gt;"Accepted",H366&lt;&gt;"Not Needed"),", "&amp;H$1,""),3,400)),IF($Q366&gt;=Settings!$C$13,"None",MID(IF(AND(G366&lt;&gt;"Accepted",G366&lt;&gt;"Not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Confirmed",IF($E367="PTA",IF(AND(OR(I367="Accepted",I367="Not Needed"),OR(H367="Accepted",H367="Not Needed")),"Registered",IF(OR(OR(I367="Accepted",I367="Received",I367="Needs Correction"),OR(H367="Accepted",H367="Received",H367="Needs Correction")),"In Progress","Not Started")),IF($Q367&gt;=Settings!$C$13,"Legalized",IF($P367&gt;=Settings!$C$12,"Registered",IF($O367&gt;0,"In Progress","Not Started")))))))</f>
        <v/>
      </c>
      <c r="S367" s="32">
        <f>IF($B367="","",COUNTIF(G367:N367,"Received"))</f>
        <v/>
      </c>
      <c r="T367" s="32">
        <f>IF($B367="","",COUNTIF(G367:N367,"Needs Correction"))</f>
        <v/>
      </c>
      <c r="U367" s="33">
        <f>IF($B367="","",IF($D367&lt;&gt;"Yes","",IF($E367="PTA",IF(AND(OR(I367="Accepted",I367="Not Needed"),OR(H367="Accepted",H367="Not Needed")),"None",MID(IF(AND(I367&lt;&gt;"Accepted",I367&lt;&gt;"Not Needed"),", "&amp;I$1,"")&amp;IF(AND(H367&lt;&gt;"Accepted",H367&lt;&gt;"Not Needed"),", "&amp;H$1,""),3,400)),IF($Q367&gt;=Settings!$C$13,"None",MID(IF(AND(G367&lt;&gt;"Accepted",G367&lt;&gt;"Not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Confirmed",IF($E368="PTA",IF(AND(OR(I368="Accepted",I368="Not Needed"),OR(H368="Accepted",H368="Not Needed")),"Registered",IF(OR(OR(I368="Accepted",I368="Received",I368="Needs Correction"),OR(H368="Accepted",H368="Received",H368="Needs Correction")),"In Progress","Not Started")),IF($Q368&gt;=Settings!$C$13,"Legalized",IF($P368&gt;=Settings!$C$12,"Registered",IF($O368&gt;0,"In Progress","Not Started")))))))</f>
        <v/>
      </c>
      <c r="S368" s="32">
        <f>IF($B368="","",COUNTIF(G368:N368,"Received"))</f>
        <v/>
      </c>
      <c r="T368" s="32">
        <f>IF($B368="","",COUNTIF(G368:N368,"Needs Correction"))</f>
        <v/>
      </c>
      <c r="U368" s="33">
        <f>IF($B368="","",IF($D368&lt;&gt;"Yes","",IF($E368="PTA",IF(AND(OR(I368="Accepted",I368="Not Needed"),OR(H368="Accepted",H368="Not Needed")),"None",MID(IF(AND(I368&lt;&gt;"Accepted",I368&lt;&gt;"Not Needed"),", "&amp;I$1,"")&amp;IF(AND(H368&lt;&gt;"Accepted",H368&lt;&gt;"Not Needed"),", "&amp;H$1,""),3,400)),IF($Q368&gt;=Settings!$C$13,"None",MID(IF(AND(G368&lt;&gt;"Accepted",G368&lt;&gt;"Not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Confirmed",IF($E369="PTA",IF(AND(OR(I369="Accepted",I369="Not Needed"),OR(H369="Accepted",H369="Not Needed")),"Registered",IF(OR(OR(I369="Accepted",I369="Received",I369="Needs Correction"),OR(H369="Accepted",H369="Received",H369="Needs Correction")),"In Progress","Not Started")),IF($Q369&gt;=Settings!$C$13,"Legalized",IF($P369&gt;=Settings!$C$12,"Registered",IF($O369&gt;0,"In Progress","Not Started")))))))</f>
        <v/>
      </c>
      <c r="S369" s="32">
        <f>IF($B369="","",COUNTIF(G369:N369,"Received"))</f>
        <v/>
      </c>
      <c r="T369" s="32">
        <f>IF($B369="","",COUNTIF(G369:N369,"Needs Correction"))</f>
        <v/>
      </c>
      <c r="U369" s="33">
        <f>IF($B369="","",IF($D369&lt;&gt;"Yes","",IF($E369="PTA",IF(AND(OR(I369="Accepted",I369="Not Needed"),OR(H369="Accepted",H369="Not Needed")),"None",MID(IF(AND(I369&lt;&gt;"Accepted",I369&lt;&gt;"Not Needed"),", "&amp;I$1,"")&amp;IF(AND(H369&lt;&gt;"Accepted",H369&lt;&gt;"Not Needed"),", "&amp;H$1,""),3,400)),IF($Q369&gt;=Settings!$C$13,"None",MID(IF(AND(G369&lt;&gt;"Accepted",G369&lt;&gt;"Not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Confirmed",IF($E370="PTA",IF(AND(OR(I370="Accepted",I370="Not Needed"),OR(H370="Accepted",H370="Not Needed")),"Registered",IF(OR(OR(I370="Accepted",I370="Received",I370="Needs Correction"),OR(H370="Accepted",H370="Received",H370="Needs Correction")),"In Progress","Not Started")),IF($Q370&gt;=Settings!$C$13,"Legalized",IF($P370&gt;=Settings!$C$12,"Registered",IF($O370&gt;0,"In Progress","Not Started")))))))</f>
        <v/>
      </c>
      <c r="S370" s="32">
        <f>IF($B370="","",COUNTIF(G370:N370,"Received"))</f>
        <v/>
      </c>
      <c r="T370" s="32">
        <f>IF($B370="","",COUNTIF(G370:N370,"Needs Correction"))</f>
        <v/>
      </c>
      <c r="U370" s="33">
        <f>IF($B370="","",IF($D370&lt;&gt;"Yes","",IF($E370="PTA",IF(AND(OR(I370="Accepted",I370="Not Needed"),OR(H370="Accepted",H370="Not Needed")),"None",MID(IF(AND(I370&lt;&gt;"Accepted",I370&lt;&gt;"Not Needed"),", "&amp;I$1,"")&amp;IF(AND(H370&lt;&gt;"Accepted",H370&lt;&gt;"Not Needed"),", "&amp;H$1,""),3,400)),IF($Q370&gt;=Settings!$C$13,"None",MID(IF(AND(G370&lt;&gt;"Accepted",G370&lt;&gt;"Not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Confirmed",IF($E371="PTA",IF(AND(OR(I371="Accepted",I371="Not Needed"),OR(H371="Accepted",H371="Not Needed")),"Registered",IF(OR(OR(I371="Accepted",I371="Received",I371="Needs Correction"),OR(H371="Accepted",H371="Received",H371="Needs Correction")),"In Progress","Not Started")),IF($Q371&gt;=Settings!$C$13,"Legalized",IF($P371&gt;=Settings!$C$12,"Registered",IF($O371&gt;0,"In Progress","Not Started")))))))</f>
        <v/>
      </c>
      <c r="S371" s="32">
        <f>IF($B371="","",COUNTIF(G371:N371,"Received"))</f>
        <v/>
      </c>
      <c r="T371" s="32">
        <f>IF($B371="","",COUNTIF(G371:N371,"Needs Correction"))</f>
        <v/>
      </c>
      <c r="U371" s="33">
        <f>IF($B371="","",IF($D371&lt;&gt;"Yes","",IF($E371="PTA",IF(AND(OR(I371="Accepted",I371="Not Needed"),OR(H371="Accepted",H371="Not Needed")),"None",MID(IF(AND(I371&lt;&gt;"Accepted",I371&lt;&gt;"Not Needed"),", "&amp;I$1,"")&amp;IF(AND(H371&lt;&gt;"Accepted",H371&lt;&gt;"Not Needed"),", "&amp;H$1,""),3,400)),IF($Q371&gt;=Settings!$C$13,"None",MID(IF(AND(G371&lt;&gt;"Accepted",G371&lt;&gt;"Not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Confirmed",IF($E372="PTA",IF(AND(OR(I372="Accepted",I372="Not Needed"),OR(H372="Accepted",H372="Not Needed")),"Registered",IF(OR(OR(I372="Accepted",I372="Received",I372="Needs Correction"),OR(H372="Accepted",H372="Received",H372="Needs Correction")),"In Progress","Not Started")),IF($Q372&gt;=Settings!$C$13,"Legalized",IF($P372&gt;=Settings!$C$12,"Registered",IF($O372&gt;0,"In Progress","Not Started")))))))</f>
        <v/>
      </c>
      <c r="S372" s="32">
        <f>IF($B372="","",COUNTIF(G372:N372,"Received"))</f>
        <v/>
      </c>
      <c r="T372" s="32">
        <f>IF($B372="","",COUNTIF(G372:N372,"Needs Correction"))</f>
        <v/>
      </c>
      <c r="U372" s="33">
        <f>IF($B372="","",IF($D372&lt;&gt;"Yes","",IF($E372="PTA",IF(AND(OR(I372="Accepted",I372="Not Needed"),OR(H372="Accepted",H372="Not Needed")),"None",MID(IF(AND(I372&lt;&gt;"Accepted",I372&lt;&gt;"Not Needed"),", "&amp;I$1,"")&amp;IF(AND(H372&lt;&gt;"Accepted",H372&lt;&gt;"Not Needed"),", "&amp;H$1,""),3,400)),IF($Q372&gt;=Settings!$C$13,"None",MID(IF(AND(G372&lt;&gt;"Accepted",G372&lt;&gt;"Not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Confirmed",IF($E373="PTA",IF(AND(OR(I373="Accepted",I373="Not Needed"),OR(H373="Accepted",H373="Not Needed")),"Registered",IF(OR(OR(I373="Accepted",I373="Received",I373="Needs Correction"),OR(H373="Accepted",H373="Received",H373="Needs Correction")),"In Progress","Not Started")),IF($Q373&gt;=Settings!$C$13,"Legalized",IF($P373&gt;=Settings!$C$12,"Registered",IF($O373&gt;0,"In Progress","Not Started")))))))</f>
        <v/>
      </c>
      <c r="S373" s="32">
        <f>IF($B373="","",COUNTIF(G373:N373,"Received"))</f>
        <v/>
      </c>
      <c r="T373" s="32">
        <f>IF($B373="","",COUNTIF(G373:N373,"Needs Correction"))</f>
        <v/>
      </c>
      <c r="U373" s="33">
        <f>IF($B373="","",IF($D373&lt;&gt;"Yes","",IF($E373="PTA",IF(AND(OR(I373="Accepted",I373="Not Needed"),OR(H373="Accepted",H373="Not Needed")),"None",MID(IF(AND(I373&lt;&gt;"Accepted",I373&lt;&gt;"Not Needed"),", "&amp;I$1,"")&amp;IF(AND(H373&lt;&gt;"Accepted",H373&lt;&gt;"Not Needed"),", "&amp;H$1,""),3,400)),IF($Q373&gt;=Settings!$C$13,"None",MID(IF(AND(G373&lt;&gt;"Accepted",G373&lt;&gt;"Not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Confirmed",IF($E374="PTA",IF(AND(OR(I374="Accepted",I374="Not Needed"),OR(H374="Accepted",H374="Not Needed")),"Registered",IF(OR(OR(I374="Accepted",I374="Received",I374="Needs Correction"),OR(H374="Accepted",H374="Received",H374="Needs Correction")),"In Progress","Not Started")),IF($Q374&gt;=Settings!$C$13,"Legalized",IF($P374&gt;=Settings!$C$12,"Registered",IF($O374&gt;0,"In Progress","Not Started")))))))</f>
        <v/>
      </c>
      <c r="S374" s="32">
        <f>IF($B374="","",COUNTIF(G374:N374,"Received"))</f>
        <v/>
      </c>
      <c r="T374" s="32">
        <f>IF($B374="","",COUNTIF(G374:N374,"Needs Correction"))</f>
        <v/>
      </c>
      <c r="U374" s="33">
        <f>IF($B374="","",IF($D374&lt;&gt;"Yes","",IF($E374="PTA",IF(AND(OR(I374="Accepted",I374="Not Needed"),OR(H374="Accepted",H374="Not Needed")),"None",MID(IF(AND(I374&lt;&gt;"Accepted",I374&lt;&gt;"Not Needed"),", "&amp;I$1,"")&amp;IF(AND(H374&lt;&gt;"Accepted",H374&lt;&gt;"Not Needed"),", "&amp;H$1,""),3,400)),IF($Q374&gt;=Settings!$C$13,"None",MID(IF(AND(G374&lt;&gt;"Accepted",G374&lt;&gt;"Not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Confirmed",IF($E375="PTA",IF(AND(OR(I375="Accepted",I375="Not Needed"),OR(H375="Accepted",H375="Not Needed")),"Registered",IF(OR(OR(I375="Accepted",I375="Received",I375="Needs Correction"),OR(H375="Accepted",H375="Received",H375="Needs Correction")),"In Progress","Not Started")),IF($Q375&gt;=Settings!$C$13,"Legalized",IF($P375&gt;=Settings!$C$12,"Registered",IF($O375&gt;0,"In Progress","Not Started")))))))</f>
        <v/>
      </c>
      <c r="S375" s="32">
        <f>IF($B375="","",COUNTIF(G375:N375,"Received"))</f>
        <v/>
      </c>
      <c r="T375" s="32">
        <f>IF($B375="","",COUNTIF(G375:N375,"Needs Correction"))</f>
        <v/>
      </c>
      <c r="U375" s="33">
        <f>IF($B375="","",IF($D375&lt;&gt;"Yes","",IF($E375="PTA",IF(AND(OR(I375="Accepted",I375="Not Needed"),OR(H375="Accepted",H375="Not Needed")),"None",MID(IF(AND(I375&lt;&gt;"Accepted",I375&lt;&gt;"Not Needed"),", "&amp;I$1,"")&amp;IF(AND(H375&lt;&gt;"Accepted",H375&lt;&gt;"Not Needed"),", "&amp;H$1,""),3,400)),IF($Q375&gt;=Settings!$C$13,"None",MID(IF(AND(G375&lt;&gt;"Accepted",G375&lt;&gt;"Not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Confirmed",IF($E376="PTA",IF(AND(OR(I376="Accepted",I376="Not Needed"),OR(H376="Accepted",H376="Not Needed")),"Registered",IF(OR(OR(I376="Accepted",I376="Received",I376="Needs Correction"),OR(H376="Accepted",H376="Received",H376="Needs Correction")),"In Progress","Not Started")),IF($Q376&gt;=Settings!$C$13,"Legalized",IF($P376&gt;=Settings!$C$12,"Registered",IF($O376&gt;0,"In Progress","Not Started")))))))</f>
        <v/>
      </c>
      <c r="S376" s="32">
        <f>IF($B376="","",COUNTIF(G376:N376,"Received"))</f>
        <v/>
      </c>
      <c r="T376" s="32">
        <f>IF($B376="","",COUNTIF(G376:N376,"Needs Correction"))</f>
        <v/>
      </c>
      <c r="U376" s="33">
        <f>IF($B376="","",IF($D376&lt;&gt;"Yes","",IF($E376="PTA",IF(AND(OR(I376="Accepted",I376="Not Needed"),OR(H376="Accepted",H376="Not Needed")),"None",MID(IF(AND(I376&lt;&gt;"Accepted",I376&lt;&gt;"Not Needed"),", "&amp;I$1,"")&amp;IF(AND(H376&lt;&gt;"Accepted",H376&lt;&gt;"Not Needed"),", "&amp;H$1,""),3,400)),IF($Q376&gt;=Settings!$C$13,"None",MID(IF(AND(G376&lt;&gt;"Accepted",G376&lt;&gt;"Not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Confirmed",IF($E377="PTA",IF(AND(OR(I377="Accepted",I377="Not Needed"),OR(H377="Accepted",H377="Not Needed")),"Registered",IF(OR(OR(I377="Accepted",I377="Received",I377="Needs Correction"),OR(H377="Accepted",H377="Received",H377="Needs Correction")),"In Progress","Not Started")),IF($Q377&gt;=Settings!$C$13,"Legalized",IF($P377&gt;=Settings!$C$12,"Registered",IF($O377&gt;0,"In Progress","Not Started")))))))</f>
        <v/>
      </c>
      <c r="S377" s="32">
        <f>IF($B377="","",COUNTIF(G377:N377,"Received"))</f>
        <v/>
      </c>
      <c r="T377" s="32">
        <f>IF($B377="","",COUNTIF(G377:N377,"Needs Correction"))</f>
        <v/>
      </c>
      <c r="U377" s="33">
        <f>IF($B377="","",IF($D377&lt;&gt;"Yes","",IF($E377="PTA",IF(AND(OR(I377="Accepted",I377="Not Needed"),OR(H377="Accepted",H377="Not Needed")),"None",MID(IF(AND(I377&lt;&gt;"Accepted",I377&lt;&gt;"Not Needed"),", "&amp;I$1,"")&amp;IF(AND(H377&lt;&gt;"Accepted",H377&lt;&gt;"Not Needed"),", "&amp;H$1,""),3,400)),IF($Q377&gt;=Settings!$C$13,"None",MID(IF(AND(G377&lt;&gt;"Accepted",G377&lt;&gt;"Not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Confirmed",IF($E378="PTA",IF(AND(OR(I378="Accepted",I378="Not Needed"),OR(H378="Accepted",H378="Not Needed")),"Registered",IF(OR(OR(I378="Accepted",I378="Received",I378="Needs Correction"),OR(H378="Accepted",H378="Received",H378="Needs Correction")),"In Progress","Not Started")),IF($Q378&gt;=Settings!$C$13,"Legalized",IF($P378&gt;=Settings!$C$12,"Registered",IF($O378&gt;0,"In Progress","Not Started")))))))</f>
        <v/>
      </c>
      <c r="S378" s="32">
        <f>IF($B378="","",COUNTIF(G378:N378,"Received"))</f>
        <v/>
      </c>
      <c r="T378" s="32">
        <f>IF($B378="","",COUNTIF(G378:N378,"Needs Correction"))</f>
        <v/>
      </c>
      <c r="U378" s="33">
        <f>IF($B378="","",IF($D378&lt;&gt;"Yes","",IF($E378="PTA",IF(AND(OR(I378="Accepted",I378="Not Needed"),OR(H378="Accepted",H378="Not Needed")),"None",MID(IF(AND(I378&lt;&gt;"Accepted",I378&lt;&gt;"Not Needed"),", "&amp;I$1,"")&amp;IF(AND(H378&lt;&gt;"Accepted",H378&lt;&gt;"Not Needed"),", "&amp;H$1,""),3,400)),IF($Q378&gt;=Settings!$C$13,"None",MID(IF(AND(G378&lt;&gt;"Accepted",G378&lt;&gt;"Not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Confirmed",IF($E379="PTA",IF(AND(OR(I379="Accepted",I379="Not Needed"),OR(H379="Accepted",H379="Not Needed")),"Registered",IF(OR(OR(I379="Accepted",I379="Received",I379="Needs Correction"),OR(H379="Accepted",H379="Received",H379="Needs Correction")),"In Progress","Not Started")),IF($Q379&gt;=Settings!$C$13,"Legalized",IF($P379&gt;=Settings!$C$12,"Registered",IF($O379&gt;0,"In Progress","Not Started")))))))</f>
        <v/>
      </c>
      <c r="S379" s="32">
        <f>IF($B379="","",COUNTIF(G379:N379,"Received"))</f>
        <v/>
      </c>
      <c r="T379" s="32">
        <f>IF($B379="","",COUNTIF(G379:N379,"Needs Correction"))</f>
        <v/>
      </c>
      <c r="U379" s="33">
        <f>IF($B379="","",IF($D379&lt;&gt;"Yes","",IF($E379="PTA",IF(AND(OR(I379="Accepted",I379="Not Needed"),OR(H379="Accepted",H379="Not Needed")),"None",MID(IF(AND(I379&lt;&gt;"Accepted",I379&lt;&gt;"Not Needed"),", "&amp;I$1,"")&amp;IF(AND(H379&lt;&gt;"Accepted",H379&lt;&gt;"Not Needed"),", "&amp;H$1,""),3,400)),IF($Q379&gt;=Settings!$C$13,"None",MID(IF(AND(G379&lt;&gt;"Accepted",G379&lt;&gt;"Not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Confirmed",IF($E380="PTA",IF(AND(OR(I380="Accepted",I380="Not Needed"),OR(H380="Accepted",H380="Not Needed")),"Registered",IF(OR(OR(I380="Accepted",I380="Received",I380="Needs Correction"),OR(H380="Accepted",H380="Received",H380="Needs Correction")),"In Progress","Not Started")),IF($Q380&gt;=Settings!$C$13,"Legalized",IF($P380&gt;=Settings!$C$12,"Registered",IF($O380&gt;0,"In Progress","Not Started")))))))</f>
        <v/>
      </c>
      <c r="S380" s="32">
        <f>IF($B380="","",COUNTIF(G380:N380,"Received"))</f>
        <v/>
      </c>
      <c r="T380" s="32">
        <f>IF($B380="","",COUNTIF(G380:N380,"Needs Correction"))</f>
        <v/>
      </c>
      <c r="U380" s="33">
        <f>IF($B380="","",IF($D380&lt;&gt;"Yes","",IF($E380="PTA",IF(AND(OR(I380="Accepted",I380="Not Needed"),OR(H380="Accepted",H380="Not Needed")),"None",MID(IF(AND(I380&lt;&gt;"Accepted",I380&lt;&gt;"Not Needed"),", "&amp;I$1,"")&amp;IF(AND(H380&lt;&gt;"Accepted",H380&lt;&gt;"Not Needed"),", "&amp;H$1,""),3,400)),IF($Q380&gt;=Settings!$C$13,"None",MID(IF(AND(G380&lt;&gt;"Accepted",G380&lt;&gt;"Not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Confirmed",IF($E381="PTA",IF(AND(OR(I381="Accepted",I381="Not Needed"),OR(H381="Accepted",H381="Not Needed")),"Registered",IF(OR(OR(I381="Accepted",I381="Received",I381="Needs Correction"),OR(H381="Accepted",H381="Received",H381="Needs Correction")),"In Progress","Not Started")),IF($Q381&gt;=Settings!$C$13,"Legalized",IF($P381&gt;=Settings!$C$12,"Registered",IF($O381&gt;0,"In Progress","Not Started")))))))</f>
        <v/>
      </c>
      <c r="S381" s="32">
        <f>IF($B381="","",COUNTIF(G381:N381,"Received"))</f>
        <v/>
      </c>
      <c r="T381" s="32">
        <f>IF($B381="","",COUNTIF(G381:N381,"Needs Correction"))</f>
        <v/>
      </c>
      <c r="U381" s="33">
        <f>IF($B381="","",IF($D381&lt;&gt;"Yes","",IF($E381="PTA",IF(AND(OR(I381="Accepted",I381="Not Needed"),OR(H381="Accepted",H381="Not Needed")),"None",MID(IF(AND(I381&lt;&gt;"Accepted",I381&lt;&gt;"Not Needed"),", "&amp;I$1,"")&amp;IF(AND(H381&lt;&gt;"Accepted",H381&lt;&gt;"Not Needed"),", "&amp;H$1,""),3,400)),IF($Q381&gt;=Settings!$C$13,"None",MID(IF(AND(G381&lt;&gt;"Accepted",G381&lt;&gt;"Not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Confirmed",IF($E382="PTA",IF(AND(OR(I382="Accepted",I382="Not Needed"),OR(H382="Accepted",H382="Not Needed")),"Registered",IF(OR(OR(I382="Accepted",I382="Received",I382="Needs Correction"),OR(H382="Accepted",H382="Received",H382="Needs Correction")),"In Progress","Not Started")),IF($Q382&gt;=Settings!$C$13,"Legalized",IF($P382&gt;=Settings!$C$12,"Registered",IF($O382&gt;0,"In Progress","Not Started")))))))</f>
        <v/>
      </c>
      <c r="S382" s="32">
        <f>IF($B382="","",COUNTIF(G382:N382,"Received"))</f>
        <v/>
      </c>
      <c r="T382" s="32">
        <f>IF($B382="","",COUNTIF(G382:N382,"Needs Correction"))</f>
        <v/>
      </c>
      <c r="U382" s="33">
        <f>IF($B382="","",IF($D382&lt;&gt;"Yes","",IF($E382="PTA",IF(AND(OR(I382="Accepted",I382="Not Needed"),OR(H382="Accepted",H382="Not Needed")),"None",MID(IF(AND(I382&lt;&gt;"Accepted",I382&lt;&gt;"Not Needed"),", "&amp;I$1,"")&amp;IF(AND(H382&lt;&gt;"Accepted",H382&lt;&gt;"Not Needed"),", "&amp;H$1,""),3,400)),IF($Q382&gt;=Settings!$C$13,"None",MID(IF(AND(G382&lt;&gt;"Accepted",G382&lt;&gt;"Not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Confirmed",IF($E383="PTA",IF(AND(OR(I383="Accepted",I383="Not Needed"),OR(H383="Accepted",H383="Not Needed")),"Registered",IF(OR(OR(I383="Accepted",I383="Received",I383="Needs Correction"),OR(H383="Accepted",H383="Received",H383="Needs Correction")),"In Progress","Not Started")),IF($Q383&gt;=Settings!$C$13,"Legalized",IF($P383&gt;=Settings!$C$12,"Registered",IF($O383&gt;0,"In Progress","Not Started")))))))</f>
        <v/>
      </c>
      <c r="S383" s="32">
        <f>IF($B383="","",COUNTIF(G383:N383,"Received"))</f>
        <v/>
      </c>
      <c r="T383" s="32">
        <f>IF($B383="","",COUNTIF(G383:N383,"Needs Correction"))</f>
        <v/>
      </c>
      <c r="U383" s="33">
        <f>IF($B383="","",IF($D383&lt;&gt;"Yes","",IF($E383="PTA",IF(AND(OR(I383="Accepted",I383="Not Needed"),OR(H383="Accepted",H383="Not Needed")),"None",MID(IF(AND(I383&lt;&gt;"Accepted",I383&lt;&gt;"Not Needed"),", "&amp;I$1,"")&amp;IF(AND(H383&lt;&gt;"Accepted",H383&lt;&gt;"Not Needed"),", "&amp;H$1,""),3,400)),IF($Q383&gt;=Settings!$C$13,"None",MID(IF(AND(G383&lt;&gt;"Accepted",G383&lt;&gt;"Not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Confirmed",IF($E384="PTA",IF(AND(OR(I384="Accepted",I384="Not Needed"),OR(H384="Accepted",H384="Not Needed")),"Registered",IF(OR(OR(I384="Accepted",I384="Received",I384="Needs Correction"),OR(H384="Accepted",H384="Received",H384="Needs Correction")),"In Progress","Not Started")),IF($Q384&gt;=Settings!$C$13,"Legalized",IF($P384&gt;=Settings!$C$12,"Registered",IF($O384&gt;0,"In Progress","Not Started")))))))</f>
        <v/>
      </c>
      <c r="S384" s="32">
        <f>IF($B384="","",COUNTIF(G384:N384,"Received"))</f>
        <v/>
      </c>
      <c r="T384" s="32">
        <f>IF($B384="","",COUNTIF(G384:N384,"Needs Correction"))</f>
        <v/>
      </c>
      <c r="U384" s="33">
        <f>IF($B384="","",IF($D384&lt;&gt;"Yes","",IF($E384="PTA",IF(AND(OR(I384="Accepted",I384="Not Needed"),OR(H384="Accepted",H384="Not Needed")),"None",MID(IF(AND(I384&lt;&gt;"Accepted",I384&lt;&gt;"Not Needed"),", "&amp;I$1,"")&amp;IF(AND(H384&lt;&gt;"Accepted",H384&lt;&gt;"Not Needed"),", "&amp;H$1,""),3,400)),IF($Q384&gt;=Settings!$C$13,"None",MID(IF(AND(G384&lt;&gt;"Accepted",G384&lt;&gt;"Not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Confirmed",IF($E385="PTA",IF(AND(OR(I385="Accepted",I385="Not Needed"),OR(H385="Accepted",H385="Not Needed")),"Registered",IF(OR(OR(I385="Accepted",I385="Received",I385="Needs Correction"),OR(H385="Accepted",H385="Received",H385="Needs Correction")),"In Progress","Not Started")),IF($Q385&gt;=Settings!$C$13,"Legalized",IF($P385&gt;=Settings!$C$12,"Registered",IF($O385&gt;0,"In Progress","Not Started")))))))</f>
        <v/>
      </c>
      <c r="S385" s="32">
        <f>IF($B385="","",COUNTIF(G385:N385,"Received"))</f>
        <v/>
      </c>
      <c r="T385" s="32">
        <f>IF($B385="","",COUNTIF(G385:N385,"Needs Correction"))</f>
        <v/>
      </c>
      <c r="U385" s="33">
        <f>IF($B385="","",IF($D385&lt;&gt;"Yes","",IF($E385="PTA",IF(AND(OR(I385="Accepted",I385="Not Needed"),OR(H385="Accepted",H385="Not Needed")),"None",MID(IF(AND(I385&lt;&gt;"Accepted",I385&lt;&gt;"Not Needed"),", "&amp;I$1,"")&amp;IF(AND(H385&lt;&gt;"Accepted",H385&lt;&gt;"Not Needed"),", "&amp;H$1,""),3,400)),IF($Q385&gt;=Settings!$C$13,"None",MID(IF(AND(G385&lt;&gt;"Accepted",G385&lt;&gt;"Not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Confirmed",IF($E386="PTA",IF(AND(OR(I386="Accepted",I386="Not Needed"),OR(H386="Accepted",H386="Not Needed")),"Registered",IF(OR(OR(I386="Accepted",I386="Received",I386="Needs Correction"),OR(H386="Accepted",H386="Received",H386="Needs Correction")),"In Progress","Not Started")),IF($Q386&gt;=Settings!$C$13,"Legalized",IF($P386&gt;=Settings!$C$12,"Registered",IF($O386&gt;0,"In Progress","Not Started")))))))</f>
        <v/>
      </c>
      <c r="S386" s="32">
        <f>IF($B386="","",COUNTIF(G386:N386,"Received"))</f>
        <v/>
      </c>
      <c r="T386" s="32">
        <f>IF($B386="","",COUNTIF(G386:N386,"Needs Correction"))</f>
        <v/>
      </c>
      <c r="U386" s="33">
        <f>IF($B386="","",IF($D386&lt;&gt;"Yes","",IF($E386="PTA",IF(AND(OR(I386="Accepted",I386="Not Needed"),OR(H386="Accepted",H386="Not Needed")),"None",MID(IF(AND(I386&lt;&gt;"Accepted",I386&lt;&gt;"Not Needed"),", "&amp;I$1,"")&amp;IF(AND(H386&lt;&gt;"Accepted",H386&lt;&gt;"Not Needed"),", "&amp;H$1,""),3,400)),IF($Q386&gt;=Settings!$C$13,"None",MID(IF(AND(G386&lt;&gt;"Accepted",G386&lt;&gt;"Not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Confirmed",IF($E387="PTA",IF(AND(OR(I387="Accepted",I387="Not Needed"),OR(H387="Accepted",H387="Not Needed")),"Registered",IF(OR(OR(I387="Accepted",I387="Received",I387="Needs Correction"),OR(H387="Accepted",H387="Received",H387="Needs Correction")),"In Progress","Not Started")),IF($Q387&gt;=Settings!$C$13,"Legalized",IF($P387&gt;=Settings!$C$12,"Registered",IF($O387&gt;0,"In Progress","Not Started")))))))</f>
        <v/>
      </c>
      <c r="S387" s="32">
        <f>IF($B387="","",COUNTIF(G387:N387,"Received"))</f>
        <v/>
      </c>
      <c r="T387" s="32">
        <f>IF($B387="","",COUNTIF(G387:N387,"Needs Correction"))</f>
        <v/>
      </c>
      <c r="U387" s="33">
        <f>IF($B387="","",IF($D387&lt;&gt;"Yes","",IF($E387="PTA",IF(AND(OR(I387="Accepted",I387="Not Needed"),OR(H387="Accepted",H387="Not Needed")),"None",MID(IF(AND(I387&lt;&gt;"Accepted",I387&lt;&gt;"Not Needed"),", "&amp;I$1,"")&amp;IF(AND(H387&lt;&gt;"Accepted",H387&lt;&gt;"Not Needed"),", "&amp;H$1,""),3,400)),IF($Q387&gt;=Settings!$C$13,"None",MID(IF(AND(G387&lt;&gt;"Accepted",G387&lt;&gt;"Not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Confirmed",IF($E388="PTA",IF(AND(OR(I388="Accepted",I388="Not Needed"),OR(H388="Accepted",H388="Not Needed")),"Registered",IF(OR(OR(I388="Accepted",I388="Received",I388="Needs Correction"),OR(H388="Accepted",H388="Received",H388="Needs Correction")),"In Progress","Not Started")),IF($Q388&gt;=Settings!$C$13,"Legalized",IF($P388&gt;=Settings!$C$12,"Registered",IF($O388&gt;0,"In Progress","Not Started")))))))</f>
        <v/>
      </c>
      <c r="S388" s="32">
        <f>IF($B388="","",COUNTIF(G388:N388,"Received"))</f>
        <v/>
      </c>
      <c r="T388" s="32">
        <f>IF($B388="","",COUNTIF(G388:N388,"Needs Correction"))</f>
        <v/>
      </c>
      <c r="U388" s="33">
        <f>IF($B388="","",IF($D388&lt;&gt;"Yes","",IF($E388="PTA",IF(AND(OR(I388="Accepted",I388="Not Needed"),OR(H388="Accepted",H388="Not Needed")),"None",MID(IF(AND(I388&lt;&gt;"Accepted",I388&lt;&gt;"Not Needed"),", "&amp;I$1,"")&amp;IF(AND(H388&lt;&gt;"Accepted",H388&lt;&gt;"Not Needed"),", "&amp;H$1,""),3,400)),IF($Q388&gt;=Settings!$C$13,"None",MID(IF(AND(G388&lt;&gt;"Accepted",G388&lt;&gt;"Not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Confirmed",IF($E389="PTA",IF(AND(OR(I389="Accepted",I389="Not Needed"),OR(H389="Accepted",H389="Not Needed")),"Registered",IF(OR(OR(I389="Accepted",I389="Received",I389="Needs Correction"),OR(H389="Accepted",H389="Received",H389="Needs Correction")),"In Progress","Not Started")),IF($Q389&gt;=Settings!$C$13,"Legalized",IF($P389&gt;=Settings!$C$12,"Registered",IF($O389&gt;0,"In Progress","Not Started")))))))</f>
        <v/>
      </c>
      <c r="S389" s="32">
        <f>IF($B389="","",COUNTIF(G389:N389,"Received"))</f>
        <v/>
      </c>
      <c r="T389" s="32">
        <f>IF($B389="","",COUNTIF(G389:N389,"Needs Correction"))</f>
        <v/>
      </c>
      <c r="U389" s="33">
        <f>IF($B389="","",IF($D389&lt;&gt;"Yes","",IF($E389="PTA",IF(AND(OR(I389="Accepted",I389="Not Needed"),OR(H389="Accepted",H389="Not Needed")),"None",MID(IF(AND(I389&lt;&gt;"Accepted",I389&lt;&gt;"Not Needed"),", "&amp;I$1,"")&amp;IF(AND(H389&lt;&gt;"Accepted",H389&lt;&gt;"Not Needed"),", "&amp;H$1,""),3,400)),IF($Q389&gt;=Settings!$C$13,"None",MID(IF(AND(G389&lt;&gt;"Accepted",G389&lt;&gt;"Not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Confirmed",IF($E390="PTA",IF(AND(OR(I390="Accepted",I390="Not Needed"),OR(H390="Accepted",H390="Not Needed")),"Registered",IF(OR(OR(I390="Accepted",I390="Received",I390="Needs Correction"),OR(H390="Accepted",H390="Received",H390="Needs Correction")),"In Progress","Not Started")),IF($Q390&gt;=Settings!$C$13,"Legalized",IF($P390&gt;=Settings!$C$12,"Registered",IF($O390&gt;0,"In Progress","Not Started")))))))</f>
        <v/>
      </c>
      <c r="S390" s="32">
        <f>IF($B390="","",COUNTIF(G390:N390,"Received"))</f>
        <v/>
      </c>
      <c r="T390" s="32">
        <f>IF($B390="","",COUNTIF(G390:N390,"Needs Correction"))</f>
        <v/>
      </c>
      <c r="U390" s="33">
        <f>IF($B390="","",IF($D390&lt;&gt;"Yes","",IF($E390="PTA",IF(AND(OR(I390="Accepted",I390="Not Needed"),OR(H390="Accepted",H390="Not Needed")),"None",MID(IF(AND(I390&lt;&gt;"Accepted",I390&lt;&gt;"Not Needed"),", "&amp;I$1,"")&amp;IF(AND(H390&lt;&gt;"Accepted",H390&lt;&gt;"Not Needed"),", "&amp;H$1,""),3,400)),IF($Q390&gt;=Settings!$C$13,"None",MID(IF(AND(G390&lt;&gt;"Accepted",G390&lt;&gt;"Not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Confirmed",IF($E391="PTA",IF(AND(OR(I391="Accepted",I391="Not Needed"),OR(H391="Accepted",H391="Not Needed")),"Registered",IF(OR(OR(I391="Accepted",I391="Received",I391="Needs Correction"),OR(H391="Accepted",H391="Received",H391="Needs Correction")),"In Progress","Not Started")),IF($Q391&gt;=Settings!$C$13,"Legalized",IF($P391&gt;=Settings!$C$12,"Registered",IF($O391&gt;0,"In Progress","Not Started")))))))</f>
        <v/>
      </c>
      <c r="S391" s="32">
        <f>IF($B391="","",COUNTIF(G391:N391,"Received"))</f>
        <v/>
      </c>
      <c r="T391" s="32">
        <f>IF($B391="","",COUNTIF(G391:N391,"Needs Correction"))</f>
        <v/>
      </c>
      <c r="U391" s="33">
        <f>IF($B391="","",IF($D391&lt;&gt;"Yes","",IF($E391="PTA",IF(AND(OR(I391="Accepted",I391="Not Needed"),OR(H391="Accepted",H391="Not Needed")),"None",MID(IF(AND(I391&lt;&gt;"Accepted",I391&lt;&gt;"Not Needed"),", "&amp;I$1,"")&amp;IF(AND(H391&lt;&gt;"Accepted",H391&lt;&gt;"Not Needed"),", "&amp;H$1,""),3,400)),IF($Q391&gt;=Settings!$C$13,"None",MID(IF(AND(G391&lt;&gt;"Accepted",G391&lt;&gt;"Not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Confirmed",IF($E392="PTA",IF(AND(OR(I392="Accepted",I392="Not Needed"),OR(H392="Accepted",H392="Not Needed")),"Registered",IF(OR(OR(I392="Accepted",I392="Received",I392="Needs Correction"),OR(H392="Accepted",H392="Received",H392="Needs Correction")),"In Progress","Not Started")),IF($Q392&gt;=Settings!$C$13,"Legalized",IF($P392&gt;=Settings!$C$12,"Registered",IF($O392&gt;0,"In Progress","Not Started")))))))</f>
        <v/>
      </c>
      <c r="S392" s="32">
        <f>IF($B392="","",COUNTIF(G392:N392,"Received"))</f>
        <v/>
      </c>
      <c r="T392" s="32">
        <f>IF($B392="","",COUNTIF(G392:N392,"Needs Correction"))</f>
        <v/>
      </c>
      <c r="U392" s="33">
        <f>IF($B392="","",IF($D392&lt;&gt;"Yes","",IF($E392="PTA",IF(AND(OR(I392="Accepted",I392="Not Needed"),OR(H392="Accepted",H392="Not Needed")),"None",MID(IF(AND(I392&lt;&gt;"Accepted",I392&lt;&gt;"Not Needed"),", "&amp;I$1,"")&amp;IF(AND(H392&lt;&gt;"Accepted",H392&lt;&gt;"Not Needed"),", "&amp;H$1,""),3,400)),IF($Q392&gt;=Settings!$C$13,"None",MID(IF(AND(G392&lt;&gt;"Accepted",G392&lt;&gt;"Not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Confirmed",IF($E393="PTA",IF(AND(OR(I393="Accepted",I393="Not Needed"),OR(H393="Accepted",H393="Not Needed")),"Registered",IF(OR(OR(I393="Accepted",I393="Received",I393="Needs Correction"),OR(H393="Accepted",H393="Received",H393="Needs Correction")),"In Progress","Not Started")),IF($Q393&gt;=Settings!$C$13,"Legalized",IF($P393&gt;=Settings!$C$12,"Registered",IF($O393&gt;0,"In Progress","Not Started")))))))</f>
        <v/>
      </c>
      <c r="S393" s="32">
        <f>IF($B393="","",COUNTIF(G393:N393,"Received"))</f>
        <v/>
      </c>
      <c r="T393" s="32">
        <f>IF($B393="","",COUNTIF(G393:N393,"Needs Correction"))</f>
        <v/>
      </c>
      <c r="U393" s="33">
        <f>IF($B393="","",IF($D393&lt;&gt;"Yes","",IF($E393="PTA",IF(AND(OR(I393="Accepted",I393="Not Needed"),OR(H393="Accepted",H393="Not Needed")),"None",MID(IF(AND(I393&lt;&gt;"Accepted",I393&lt;&gt;"Not Needed"),", "&amp;I$1,"")&amp;IF(AND(H393&lt;&gt;"Accepted",H393&lt;&gt;"Not Needed"),", "&amp;H$1,""),3,400)),IF($Q393&gt;=Settings!$C$13,"None",MID(IF(AND(G393&lt;&gt;"Accepted",G393&lt;&gt;"Not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Confirmed",IF($E394="PTA",IF(AND(OR(I394="Accepted",I394="Not Needed"),OR(H394="Accepted",H394="Not Needed")),"Registered",IF(OR(OR(I394="Accepted",I394="Received",I394="Needs Correction"),OR(H394="Accepted",H394="Received",H394="Needs Correction")),"In Progress","Not Started")),IF($Q394&gt;=Settings!$C$13,"Legalized",IF($P394&gt;=Settings!$C$12,"Registered",IF($O394&gt;0,"In Progress","Not Started")))))))</f>
        <v/>
      </c>
      <c r="S394" s="32">
        <f>IF($B394="","",COUNTIF(G394:N394,"Received"))</f>
        <v/>
      </c>
      <c r="T394" s="32">
        <f>IF($B394="","",COUNTIF(G394:N394,"Needs Correction"))</f>
        <v/>
      </c>
      <c r="U394" s="33">
        <f>IF($B394="","",IF($D394&lt;&gt;"Yes","",IF($E394="PTA",IF(AND(OR(I394="Accepted",I394="Not Needed"),OR(H394="Accepted",H394="Not Needed")),"None",MID(IF(AND(I394&lt;&gt;"Accepted",I394&lt;&gt;"Not Needed"),", "&amp;I$1,"")&amp;IF(AND(H394&lt;&gt;"Accepted",H394&lt;&gt;"Not Needed"),", "&amp;H$1,""),3,400)),IF($Q394&gt;=Settings!$C$13,"None",MID(IF(AND(G394&lt;&gt;"Accepted",G394&lt;&gt;"Not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Confirmed",IF($E395="PTA",IF(AND(OR(I395="Accepted",I395="Not Needed"),OR(H395="Accepted",H395="Not Needed")),"Registered",IF(OR(OR(I395="Accepted",I395="Received",I395="Needs Correction"),OR(H395="Accepted",H395="Received",H395="Needs Correction")),"In Progress","Not Started")),IF($Q395&gt;=Settings!$C$13,"Legalized",IF($P395&gt;=Settings!$C$12,"Registered",IF($O395&gt;0,"In Progress","Not Started")))))))</f>
        <v/>
      </c>
      <c r="S395" s="32">
        <f>IF($B395="","",COUNTIF(G395:N395,"Received"))</f>
        <v/>
      </c>
      <c r="T395" s="32">
        <f>IF($B395="","",COUNTIF(G395:N395,"Needs Correction"))</f>
        <v/>
      </c>
      <c r="U395" s="33">
        <f>IF($B395="","",IF($D395&lt;&gt;"Yes","",IF($E395="PTA",IF(AND(OR(I395="Accepted",I395="Not Needed"),OR(H395="Accepted",H395="Not Needed")),"None",MID(IF(AND(I395&lt;&gt;"Accepted",I395&lt;&gt;"Not Needed"),", "&amp;I$1,"")&amp;IF(AND(H395&lt;&gt;"Accepted",H395&lt;&gt;"Not Needed"),", "&amp;H$1,""),3,400)),IF($Q395&gt;=Settings!$C$13,"None",MID(IF(AND(G395&lt;&gt;"Accepted",G395&lt;&gt;"Not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Confirmed",IF($E396="PTA",IF(AND(OR(I396="Accepted",I396="Not Needed"),OR(H396="Accepted",H396="Not Needed")),"Registered",IF(OR(OR(I396="Accepted",I396="Received",I396="Needs Correction"),OR(H396="Accepted",H396="Received",H396="Needs Correction")),"In Progress","Not Started")),IF($Q396&gt;=Settings!$C$13,"Legalized",IF($P396&gt;=Settings!$C$12,"Registered",IF($O396&gt;0,"In Progress","Not Started")))))))</f>
        <v/>
      </c>
      <c r="S396" s="32">
        <f>IF($B396="","",COUNTIF(G396:N396,"Received"))</f>
        <v/>
      </c>
      <c r="T396" s="32">
        <f>IF($B396="","",COUNTIF(G396:N396,"Needs Correction"))</f>
        <v/>
      </c>
      <c r="U396" s="33">
        <f>IF($B396="","",IF($D396&lt;&gt;"Yes","",IF($E396="PTA",IF(AND(OR(I396="Accepted",I396="Not Needed"),OR(H396="Accepted",H396="Not Needed")),"None",MID(IF(AND(I396&lt;&gt;"Accepted",I396&lt;&gt;"Not Needed"),", "&amp;I$1,"")&amp;IF(AND(H396&lt;&gt;"Accepted",H396&lt;&gt;"Not Needed"),", "&amp;H$1,""),3,400)),IF($Q396&gt;=Settings!$C$13,"None",MID(IF(AND(G396&lt;&gt;"Accepted",G396&lt;&gt;"Not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Confirmed",IF($E397="PTA",IF(AND(OR(I397="Accepted",I397="Not Needed"),OR(H397="Accepted",H397="Not Needed")),"Registered",IF(OR(OR(I397="Accepted",I397="Received",I397="Needs Correction"),OR(H397="Accepted",H397="Received",H397="Needs Correction")),"In Progress","Not Started")),IF($Q397&gt;=Settings!$C$13,"Legalized",IF($P397&gt;=Settings!$C$12,"Registered",IF($O397&gt;0,"In Progress","Not Started")))))))</f>
        <v/>
      </c>
      <c r="S397" s="32">
        <f>IF($B397="","",COUNTIF(G397:N397,"Received"))</f>
        <v/>
      </c>
      <c r="T397" s="32">
        <f>IF($B397="","",COUNTIF(G397:N397,"Needs Correction"))</f>
        <v/>
      </c>
      <c r="U397" s="33">
        <f>IF($B397="","",IF($D397&lt;&gt;"Yes","",IF($E397="PTA",IF(AND(OR(I397="Accepted",I397="Not Needed"),OR(H397="Accepted",H397="Not Needed")),"None",MID(IF(AND(I397&lt;&gt;"Accepted",I397&lt;&gt;"Not Needed"),", "&amp;I$1,"")&amp;IF(AND(H397&lt;&gt;"Accepted",H397&lt;&gt;"Not Needed"),", "&amp;H$1,""),3,400)),IF($Q397&gt;=Settings!$C$13,"None",MID(IF(AND(G397&lt;&gt;"Accepted",G397&lt;&gt;"Not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Confirmed",IF($E398="PTA",IF(AND(OR(I398="Accepted",I398="Not Needed"),OR(H398="Accepted",H398="Not Needed")),"Registered",IF(OR(OR(I398="Accepted",I398="Received",I398="Needs Correction"),OR(H398="Accepted",H398="Received",H398="Needs Correction")),"In Progress","Not Started")),IF($Q398&gt;=Settings!$C$13,"Legalized",IF($P398&gt;=Settings!$C$12,"Registered",IF($O398&gt;0,"In Progress","Not Started")))))))</f>
        <v/>
      </c>
      <c r="S398" s="32">
        <f>IF($B398="","",COUNTIF(G398:N398,"Received"))</f>
        <v/>
      </c>
      <c r="T398" s="32">
        <f>IF($B398="","",COUNTIF(G398:N398,"Needs Correction"))</f>
        <v/>
      </c>
      <c r="U398" s="33">
        <f>IF($B398="","",IF($D398&lt;&gt;"Yes","",IF($E398="PTA",IF(AND(OR(I398="Accepted",I398="Not Needed"),OR(H398="Accepted",H398="Not Needed")),"None",MID(IF(AND(I398&lt;&gt;"Accepted",I398&lt;&gt;"Not Needed"),", "&amp;I$1,"")&amp;IF(AND(H398&lt;&gt;"Accepted",H398&lt;&gt;"Not Needed"),", "&amp;H$1,""),3,400)),IF($Q398&gt;=Settings!$C$13,"None",MID(IF(AND(G398&lt;&gt;"Accepted",G398&lt;&gt;"Not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Confirmed",IF($E399="PTA",IF(AND(OR(I399="Accepted",I399="Not Needed"),OR(H399="Accepted",H399="Not Needed")),"Registered",IF(OR(OR(I399="Accepted",I399="Received",I399="Needs Correction"),OR(H399="Accepted",H399="Received",H399="Needs Correction")),"In Progress","Not Started")),IF($Q399&gt;=Settings!$C$13,"Legalized",IF($P399&gt;=Settings!$C$12,"Registered",IF($O399&gt;0,"In Progress","Not Started")))))))</f>
        <v/>
      </c>
      <c r="S399" s="32">
        <f>IF($B399="","",COUNTIF(G399:N399,"Received"))</f>
        <v/>
      </c>
      <c r="T399" s="32">
        <f>IF($B399="","",COUNTIF(G399:N399,"Needs Correction"))</f>
        <v/>
      </c>
      <c r="U399" s="33">
        <f>IF($B399="","",IF($D399&lt;&gt;"Yes","",IF($E399="PTA",IF(AND(OR(I399="Accepted",I399="Not Needed"),OR(H399="Accepted",H399="Not Needed")),"None",MID(IF(AND(I399&lt;&gt;"Accepted",I399&lt;&gt;"Not Needed"),", "&amp;I$1,"")&amp;IF(AND(H399&lt;&gt;"Accepted",H399&lt;&gt;"Not Needed"),", "&amp;H$1,""),3,400)),IF($Q399&gt;=Settings!$C$13,"None",MID(IF(AND(G399&lt;&gt;"Accepted",G399&lt;&gt;"Not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Confirmed",IF($E400="PTA",IF(AND(OR(I400="Accepted",I400="Not Needed"),OR(H400="Accepted",H400="Not Needed")),"Registered",IF(OR(OR(I400="Accepted",I400="Received",I400="Needs Correction"),OR(H400="Accepted",H400="Received",H400="Needs Correction")),"In Progress","Not Started")),IF($Q400&gt;=Settings!$C$13,"Legalized",IF($P400&gt;=Settings!$C$12,"Registered",IF($O400&gt;0,"In Progress","Not Started")))))))</f>
        <v/>
      </c>
      <c r="S400" s="32">
        <f>IF($B400="","",COUNTIF(G400:N400,"Received"))</f>
        <v/>
      </c>
      <c r="T400" s="32">
        <f>IF($B400="","",COUNTIF(G400:N400,"Needs Correction"))</f>
        <v/>
      </c>
      <c r="U400" s="33">
        <f>IF($B400="","",IF($D400&lt;&gt;"Yes","",IF($E400="PTA",IF(AND(OR(I400="Accepted",I400="Not Needed"),OR(H400="Accepted",H400="Not Needed")),"None",MID(IF(AND(I400&lt;&gt;"Accepted",I400&lt;&gt;"Not Needed"),", "&amp;I$1,"")&amp;IF(AND(H400&lt;&gt;"Accepted",H400&lt;&gt;"Not Needed"),", "&amp;H$1,""),3,400)),IF($Q400&gt;=Settings!$C$13,"None",MID(IF(AND(G400&lt;&gt;"Accepted",G400&lt;&gt;"Not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Confirmed",IF($E401="PTA",IF(AND(OR(I401="Accepted",I401="Not Needed"),OR(H401="Accepted",H401="Not Needed")),"Registered",IF(OR(OR(I401="Accepted",I401="Received",I401="Needs Correction"),OR(H401="Accepted",H401="Received",H401="Needs Correction")),"In Progress","Not Started")),IF($Q401&gt;=Settings!$C$13,"Legalized",IF($P401&gt;=Settings!$C$12,"Registered",IF($O401&gt;0,"In Progress","Not Started")))))))</f>
        <v/>
      </c>
      <c r="S401" s="32">
        <f>IF($B401="","",COUNTIF(G401:N401,"Received"))</f>
        <v/>
      </c>
      <c r="T401" s="32">
        <f>IF($B401="","",COUNTIF(G401:N401,"Needs Correction"))</f>
        <v/>
      </c>
      <c r="U401" s="33">
        <f>IF($B401="","",IF($D401&lt;&gt;"Yes","",IF($E401="PTA",IF(AND(OR(I401="Accepted",I401="Not Needed"),OR(H401="Accepted",H401="Not Needed")),"None",MID(IF(AND(I401&lt;&gt;"Accepted",I401&lt;&gt;"Not Needed"),", "&amp;I$1,"")&amp;IF(AND(H401&lt;&gt;"Accepted",H401&lt;&gt;"Not Needed"),", "&amp;H$1,""),3,400)),IF($Q401&gt;=Settings!$C$13,"None",MID(IF(AND(G401&lt;&gt;"Accepted",G401&lt;&gt;"Not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Confirmed",IF($E402="PTA",IF(AND(OR(I402="Accepted",I402="Not Needed"),OR(H402="Accepted",H402="Not Needed")),"Registered",IF(OR(OR(I402="Accepted",I402="Received",I402="Needs Correction"),OR(H402="Accepted",H402="Received",H402="Needs Correction")),"In Progress","Not Started")),IF($Q402&gt;=Settings!$C$13,"Legalized",IF($P402&gt;=Settings!$C$12,"Registered",IF($O402&gt;0,"In Progress","Not Started")))))))</f>
        <v/>
      </c>
      <c r="S402" s="32">
        <f>IF($B402="","",COUNTIF(G402:N402,"Received"))</f>
        <v/>
      </c>
      <c r="T402" s="32">
        <f>IF($B402="","",COUNTIF(G402:N402,"Needs Correction"))</f>
        <v/>
      </c>
      <c r="U402" s="33">
        <f>IF($B402="","",IF($D402&lt;&gt;"Yes","",IF($E402="PTA",IF(AND(OR(I402="Accepted",I402="Not Needed"),OR(H402="Accepted",H402="Not Needed")),"None",MID(IF(AND(I402&lt;&gt;"Accepted",I402&lt;&gt;"Not Needed"),", "&amp;I$1,"")&amp;IF(AND(H402&lt;&gt;"Accepted",H402&lt;&gt;"Not Needed"),", "&amp;H$1,""),3,400)),IF($Q402&gt;=Settings!$C$13,"None",MID(IF(AND(G402&lt;&gt;"Accepted",G402&lt;&gt;"Not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Confirmed",IF($E403="PTA",IF(AND(OR(I403="Accepted",I403="Not Needed"),OR(H403="Accepted",H403="Not Needed")),"Registered",IF(OR(OR(I403="Accepted",I403="Received",I403="Needs Correction"),OR(H403="Accepted",H403="Received",H403="Needs Correction")),"In Progress","Not Started")),IF($Q403&gt;=Settings!$C$13,"Legalized",IF($P403&gt;=Settings!$C$12,"Registered",IF($O403&gt;0,"In Progress","Not Started")))))))</f>
        <v/>
      </c>
      <c r="S403" s="32">
        <f>IF($B403="","",COUNTIF(G403:N403,"Received"))</f>
        <v/>
      </c>
      <c r="T403" s="32">
        <f>IF($B403="","",COUNTIF(G403:N403,"Needs Correction"))</f>
        <v/>
      </c>
      <c r="U403" s="33">
        <f>IF($B403="","",IF($D403&lt;&gt;"Yes","",IF($E403="PTA",IF(AND(OR(I403="Accepted",I403="Not Needed"),OR(H403="Accepted",H403="Not Needed")),"None",MID(IF(AND(I403&lt;&gt;"Accepted",I403&lt;&gt;"Not Needed"),", "&amp;I$1,"")&amp;IF(AND(H403&lt;&gt;"Accepted",H403&lt;&gt;"Not Needed"),", "&amp;H$1,""),3,400)),IF($Q403&gt;=Settings!$C$13,"None",MID(IF(AND(G403&lt;&gt;"Accepted",G403&lt;&gt;"Not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Confirmed",IF($E404="PTA",IF(AND(OR(I404="Accepted",I404="Not Needed"),OR(H404="Accepted",H404="Not Needed")),"Registered",IF(OR(OR(I404="Accepted",I404="Received",I404="Needs Correction"),OR(H404="Accepted",H404="Received",H404="Needs Correction")),"In Progress","Not Started")),IF($Q404&gt;=Settings!$C$13,"Legalized",IF($P404&gt;=Settings!$C$12,"Registered",IF($O404&gt;0,"In Progress","Not Started")))))))</f>
        <v/>
      </c>
      <c r="S404" s="32">
        <f>IF($B404="","",COUNTIF(G404:N404,"Received"))</f>
        <v/>
      </c>
      <c r="T404" s="32">
        <f>IF($B404="","",COUNTIF(G404:N404,"Needs Correction"))</f>
        <v/>
      </c>
      <c r="U404" s="33">
        <f>IF($B404="","",IF($D404&lt;&gt;"Yes","",IF($E404="PTA",IF(AND(OR(I404="Accepted",I404="Not Needed"),OR(H404="Accepted",H404="Not Needed")),"None",MID(IF(AND(I404&lt;&gt;"Accepted",I404&lt;&gt;"Not Needed"),", "&amp;I$1,"")&amp;IF(AND(H404&lt;&gt;"Accepted",H404&lt;&gt;"Not Needed"),", "&amp;H$1,""),3,400)),IF($Q404&gt;=Settings!$C$13,"None",MID(IF(AND(G404&lt;&gt;"Accepted",G404&lt;&gt;"Not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Confirmed",IF($E405="PTA",IF(AND(OR(I405="Accepted",I405="Not Needed"),OR(H405="Accepted",H405="Not Needed")),"Registered",IF(OR(OR(I405="Accepted",I405="Received",I405="Needs Correction"),OR(H405="Accepted",H405="Received",H405="Needs Correction")),"In Progress","Not Started")),IF($Q405&gt;=Settings!$C$13,"Legalized",IF($P405&gt;=Settings!$C$12,"Registered",IF($O405&gt;0,"In Progress","Not Started")))))))</f>
        <v/>
      </c>
      <c r="S405" s="32">
        <f>IF($B405="","",COUNTIF(G405:N405,"Received"))</f>
        <v/>
      </c>
      <c r="T405" s="32">
        <f>IF($B405="","",COUNTIF(G405:N405,"Needs Correction"))</f>
        <v/>
      </c>
      <c r="U405" s="33">
        <f>IF($B405="","",IF($D405&lt;&gt;"Yes","",IF($E405="PTA",IF(AND(OR(I405="Accepted",I405="Not Needed"),OR(H405="Accepted",H405="Not Needed")),"None",MID(IF(AND(I405&lt;&gt;"Accepted",I405&lt;&gt;"Not Needed"),", "&amp;I$1,"")&amp;IF(AND(H405&lt;&gt;"Accepted",H405&lt;&gt;"Not Needed"),", "&amp;H$1,""),3,400)),IF($Q405&gt;=Settings!$C$13,"None",MID(IF(AND(G405&lt;&gt;"Accepted",G405&lt;&gt;"Not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Confirmed",IF($E406="PTA",IF(AND(OR(I406="Accepted",I406="Not Needed"),OR(H406="Accepted",H406="Not Needed")),"Registered",IF(OR(OR(I406="Accepted",I406="Received",I406="Needs Correction"),OR(H406="Accepted",H406="Received",H406="Needs Correction")),"In Progress","Not Started")),IF($Q406&gt;=Settings!$C$13,"Legalized",IF($P406&gt;=Settings!$C$12,"Registered",IF($O406&gt;0,"In Progress","Not Started")))))))</f>
        <v/>
      </c>
      <c r="S406" s="32">
        <f>IF($B406="","",COUNTIF(G406:N406,"Received"))</f>
        <v/>
      </c>
      <c r="T406" s="32">
        <f>IF($B406="","",COUNTIF(G406:N406,"Needs Correction"))</f>
        <v/>
      </c>
      <c r="U406" s="33">
        <f>IF($B406="","",IF($D406&lt;&gt;"Yes","",IF($E406="PTA",IF(AND(OR(I406="Accepted",I406="Not Needed"),OR(H406="Accepted",H406="Not Needed")),"None",MID(IF(AND(I406&lt;&gt;"Accepted",I406&lt;&gt;"Not Needed"),", "&amp;I$1,"")&amp;IF(AND(H406&lt;&gt;"Accepted",H406&lt;&gt;"Not Needed"),", "&amp;H$1,""),3,400)),IF($Q406&gt;=Settings!$C$13,"None",MID(IF(AND(G406&lt;&gt;"Accepted",G406&lt;&gt;"Not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Confirmed",IF($E407="PTA",IF(AND(OR(I407="Accepted",I407="Not Needed"),OR(H407="Accepted",H407="Not Needed")),"Registered",IF(OR(OR(I407="Accepted",I407="Received",I407="Needs Correction"),OR(H407="Accepted",H407="Received",H407="Needs Correction")),"In Progress","Not Started")),IF($Q407&gt;=Settings!$C$13,"Legalized",IF($P407&gt;=Settings!$C$12,"Registered",IF($O407&gt;0,"In Progress","Not Started")))))))</f>
        <v/>
      </c>
      <c r="S407" s="32">
        <f>IF($B407="","",COUNTIF(G407:N407,"Received"))</f>
        <v/>
      </c>
      <c r="T407" s="32">
        <f>IF($B407="","",COUNTIF(G407:N407,"Needs Correction"))</f>
        <v/>
      </c>
      <c r="U407" s="33">
        <f>IF($B407="","",IF($D407&lt;&gt;"Yes","",IF($E407="PTA",IF(AND(OR(I407="Accepted",I407="Not Needed"),OR(H407="Accepted",H407="Not Needed")),"None",MID(IF(AND(I407&lt;&gt;"Accepted",I407&lt;&gt;"Not Needed"),", "&amp;I$1,"")&amp;IF(AND(H407&lt;&gt;"Accepted",H407&lt;&gt;"Not Needed"),", "&amp;H$1,""),3,400)),IF($Q407&gt;=Settings!$C$13,"None",MID(IF(AND(G407&lt;&gt;"Accepted",G407&lt;&gt;"Not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Confirmed",IF($E408="PTA",IF(AND(OR(I408="Accepted",I408="Not Needed"),OR(H408="Accepted",H408="Not Needed")),"Registered",IF(OR(OR(I408="Accepted",I408="Received",I408="Needs Correction"),OR(H408="Accepted",H408="Received",H408="Needs Correction")),"In Progress","Not Started")),IF($Q408&gt;=Settings!$C$13,"Legalized",IF($P408&gt;=Settings!$C$12,"Registered",IF($O408&gt;0,"In Progress","Not Started")))))))</f>
        <v/>
      </c>
      <c r="S408" s="32">
        <f>IF($B408="","",COUNTIF(G408:N408,"Received"))</f>
        <v/>
      </c>
      <c r="T408" s="32">
        <f>IF($B408="","",COUNTIF(G408:N408,"Needs Correction"))</f>
        <v/>
      </c>
      <c r="U408" s="33">
        <f>IF($B408="","",IF($D408&lt;&gt;"Yes","",IF($E408="PTA",IF(AND(OR(I408="Accepted",I408="Not Needed"),OR(H408="Accepted",H408="Not Needed")),"None",MID(IF(AND(I408&lt;&gt;"Accepted",I408&lt;&gt;"Not Needed"),", "&amp;I$1,"")&amp;IF(AND(H408&lt;&gt;"Accepted",H408&lt;&gt;"Not Needed"),", "&amp;H$1,""),3,400)),IF($Q408&gt;=Settings!$C$13,"None",MID(IF(AND(G408&lt;&gt;"Accepted",G408&lt;&gt;"Not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Confirmed",IF($E409="PTA",IF(AND(OR(I409="Accepted",I409="Not Needed"),OR(H409="Accepted",H409="Not Needed")),"Registered",IF(OR(OR(I409="Accepted",I409="Received",I409="Needs Correction"),OR(H409="Accepted",H409="Received",H409="Needs Correction")),"In Progress","Not Started")),IF($Q409&gt;=Settings!$C$13,"Legalized",IF($P409&gt;=Settings!$C$12,"Registered",IF($O409&gt;0,"In Progress","Not Started")))))))</f>
        <v/>
      </c>
      <c r="S409" s="32">
        <f>IF($B409="","",COUNTIF(G409:N409,"Received"))</f>
        <v/>
      </c>
      <c r="T409" s="32">
        <f>IF($B409="","",COUNTIF(G409:N409,"Needs Correction"))</f>
        <v/>
      </c>
      <c r="U409" s="33">
        <f>IF($B409="","",IF($D409&lt;&gt;"Yes","",IF($E409="PTA",IF(AND(OR(I409="Accepted",I409="Not Needed"),OR(H409="Accepted",H409="Not Needed")),"None",MID(IF(AND(I409&lt;&gt;"Accepted",I409&lt;&gt;"Not Needed"),", "&amp;I$1,"")&amp;IF(AND(H409&lt;&gt;"Accepted",H409&lt;&gt;"Not Needed"),", "&amp;H$1,""),3,400)),IF($Q409&gt;=Settings!$C$13,"None",MID(IF(AND(G409&lt;&gt;"Accepted",G409&lt;&gt;"Not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Confirmed",IF($E410="PTA",IF(AND(OR(I410="Accepted",I410="Not Needed"),OR(H410="Accepted",H410="Not Needed")),"Registered",IF(OR(OR(I410="Accepted",I410="Received",I410="Needs Correction"),OR(H410="Accepted",H410="Received",H410="Needs Correction")),"In Progress","Not Started")),IF($Q410&gt;=Settings!$C$13,"Legalized",IF($P410&gt;=Settings!$C$12,"Registered",IF($O410&gt;0,"In Progress","Not Started")))))))</f>
        <v/>
      </c>
      <c r="S410" s="32">
        <f>IF($B410="","",COUNTIF(G410:N410,"Received"))</f>
        <v/>
      </c>
      <c r="T410" s="32">
        <f>IF($B410="","",COUNTIF(G410:N410,"Needs Correction"))</f>
        <v/>
      </c>
      <c r="U410" s="33">
        <f>IF($B410="","",IF($D410&lt;&gt;"Yes","",IF($E410="PTA",IF(AND(OR(I410="Accepted",I410="Not Needed"),OR(H410="Accepted",H410="Not Needed")),"None",MID(IF(AND(I410&lt;&gt;"Accepted",I410&lt;&gt;"Not Needed"),", "&amp;I$1,"")&amp;IF(AND(H410&lt;&gt;"Accepted",H410&lt;&gt;"Not Needed"),", "&amp;H$1,""),3,400)),IF($Q410&gt;=Settings!$C$13,"None",MID(IF(AND(G410&lt;&gt;"Accepted",G410&lt;&gt;"Not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Confirmed",IF($E411="PTA",IF(AND(OR(I411="Accepted",I411="Not Needed"),OR(H411="Accepted",H411="Not Needed")),"Registered",IF(OR(OR(I411="Accepted",I411="Received",I411="Needs Correction"),OR(H411="Accepted",H411="Received",H411="Needs Correction")),"In Progress","Not Started")),IF($Q411&gt;=Settings!$C$13,"Legalized",IF($P411&gt;=Settings!$C$12,"Registered",IF($O411&gt;0,"In Progress","Not Started")))))))</f>
        <v/>
      </c>
      <c r="S411" s="32">
        <f>IF($B411="","",COUNTIF(G411:N411,"Received"))</f>
        <v/>
      </c>
      <c r="T411" s="32">
        <f>IF($B411="","",COUNTIF(G411:N411,"Needs Correction"))</f>
        <v/>
      </c>
      <c r="U411" s="33">
        <f>IF($B411="","",IF($D411&lt;&gt;"Yes","",IF($E411="PTA",IF(AND(OR(I411="Accepted",I411="Not Needed"),OR(H411="Accepted",H411="Not Needed")),"None",MID(IF(AND(I411&lt;&gt;"Accepted",I411&lt;&gt;"Not Needed"),", "&amp;I$1,"")&amp;IF(AND(H411&lt;&gt;"Accepted",H411&lt;&gt;"Not Needed"),", "&amp;H$1,""),3,400)),IF($Q411&gt;=Settings!$C$13,"None",MID(IF(AND(G411&lt;&gt;"Accepted",G411&lt;&gt;"Not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Confirmed",IF($E412="PTA",IF(AND(OR(I412="Accepted",I412="Not Needed"),OR(H412="Accepted",H412="Not Needed")),"Registered",IF(OR(OR(I412="Accepted",I412="Received",I412="Needs Correction"),OR(H412="Accepted",H412="Received",H412="Needs Correction")),"In Progress","Not Started")),IF($Q412&gt;=Settings!$C$13,"Legalized",IF($P412&gt;=Settings!$C$12,"Registered",IF($O412&gt;0,"In Progress","Not Started")))))))</f>
        <v/>
      </c>
      <c r="S412" s="32">
        <f>IF($B412="","",COUNTIF(G412:N412,"Received"))</f>
        <v/>
      </c>
      <c r="T412" s="32">
        <f>IF($B412="","",COUNTIF(G412:N412,"Needs Correction"))</f>
        <v/>
      </c>
      <c r="U412" s="33">
        <f>IF($B412="","",IF($D412&lt;&gt;"Yes","",IF($E412="PTA",IF(AND(OR(I412="Accepted",I412="Not Needed"),OR(H412="Accepted",H412="Not Needed")),"None",MID(IF(AND(I412&lt;&gt;"Accepted",I412&lt;&gt;"Not Needed"),", "&amp;I$1,"")&amp;IF(AND(H412&lt;&gt;"Accepted",H412&lt;&gt;"Not Needed"),", "&amp;H$1,""),3,400)),IF($Q412&gt;=Settings!$C$13,"None",MID(IF(AND(G412&lt;&gt;"Accepted",G412&lt;&gt;"Not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Confirmed",IF($E413="PTA",IF(AND(OR(I413="Accepted",I413="Not Needed"),OR(H413="Accepted",H413="Not Needed")),"Registered",IF(OR(OR(I413="Accepted",I413="Received",I413="Needs Correction"),OR(H413="Accepted",H413="Received",H413="Needs Correction")),"In Progress","Not Started")),IF($Q413&gt;=Settings!$C$13,"Legalized",IF($P413&gt;=Settings!$C$12,"Registered",IF($O413&gt;0,"In Progress","Not Started")))))))</f>
        <v/>
      </c>
      <c r="S413" s="32">
        <f>IF($B413="","",COUNTIF(G413:N413,"Received"))</f>
        <v/>
      </c>
      <c r="T413" s="32">
        <f>IF($B413="","",COUNTIF(G413:N413,"Needs Correction"))</f>
        <v/>
      </c>
      <c r="U413" s="33">
        <f>IF($B413="","",IF($D413&lt;&gt;"Yes","",IF($E413="PTA",IF(AND(OR(I413="Accepted",I413="Not Needed"),OR(H413="Accepted",H413="Not Needed")),"None",MID(IF(AND(I413&lt;&gt;"Accepted",I413&lt;&gt;"Not Needed"),", "&amp;I$1,"")&amp;IF(AND(H413&lt;&gt;"Accepted",H413&lt;&gt;"Not Needed"),", "&amp;H$1,""),3,400)),IF($Q413&gt;=Settings!$C$13,"None",MID(IF(AND(G413&lt;&gt;"Accepted",G413&lt;&gt;"Not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Confirmed",IF($E414="PTA",IF(AND(OR(I414="Accepted",I414="Not Needed"),OR(H414="Accepted",H414="Not Needed")),"Registered",IF(OR(OR(I414="Accepted",I414="Received",I414="Needs Correction"),OR(H414="Accepted",H414="Received",H414="Needs Correction")),"In Progress","Not Started")),IF($Q414&gt;=Settings!$C$13,"Legalized",IF($P414&gt;=Settings!$C$12,"Registered",IF($O414&gt;0,"In Progress","Not Started")))))))</f>
        <v/>
      </c>
      <c r="S414" s="32">
        <f>IF($B414="","",COUNTIF(G414:N414,"Received"))</f>
        <v/>
      </c>
      <c r="T414" s="32">
        <f>IF($B414="","",COUNTIF(G414:N414,"Needs Correction"))</f>
        <v/>
      </c>
      <c r="U414" s="33">
        <f>IF($B414="","",IF($D414&lt;&gt;"Yes","",IF($E414="PTA",IF(AND(OR(I414="Accepted",I414="Not Needed"),OR(H414="Accepted",H414="Not Needed")),"None",MID(IF(AND(I414&lt;&gt;"Accepted",I414&lt;&gt;"Not Needed"),", "&amp;I$1,"")&amp;IF(AND(H414&lt;&gt;"Accepted",H414&lt;&gt;"Not Needed"),", "&amp;H$1,""),3,400)),IF($Q414&gt;=Settings!$C$13,"None",MID(IF(AND(G414&lt;&gt;"Accepted",G414&lt;&gt;"Not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Confirmed",IF($E415="PTA",IF(AND(OR(I415="Accepted",I415="Not Needed"),OR(H415="Accepted",H415="Not Needed")),"Registered",IF(OR(OR(I415="Accepted",I415="Received",I415="Needs Correction"),OR(H415="Accepted",H415="Received",H415="Needs Correction")),"In Progress","Not Started")),IF($Q415&gt;=Settings!$C$13,"Legalized",IF($P415&gt;=Settings!$C$12,"Registered",IF($O415&gt;0,"In Progress","Not Started")))))))</f>
        <v/>
      </c>
      <c r="S415" s="32">
        <f>IF($B415="","",COUNTIF(G415:N415,"Received"))</f>
        <v/>
      </c>
      <c r="T415" s="32">
        <f>IF($B415="","",COUNTIF(G415:N415,"Needs Correction"))</f>
        <v/>
      </c>
      <c r="U415" s="33">
        <f>IF($B415="","",IF($D415&lt;&gt;"Yes","",IF($E415="PTA",IF(AND(OR(I415="Accepted",I415="Not Needed"),OR(H415="Accepted",H415="Not Needed")),"None",MID(IF(AND(I415&lt;&gt;"Accepted",I415&lt;&gt;"Not Needed"),", "&amp;I$1,"")&amp;IF(AND(H415&lt;&gt;"Accepted",H415&lt;&gt;"Not Needed"),", "&amp;H$1,""),3,400)),IF($Q415&gt;=Settings!$C$13,"None",MID(IF(AND(G415&lt;&gt;"Accepted",G415&lt;&gt;"Not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Confirmed",IF($E416="PTA",IF(AND(OR(I416="Accepted",I416="Not Needed"),OR(H416="Accepted",H416="Not Needed")),"Registered",IF(OR(OR(I416="Accepted",I416="Received",I416="Needs Correction"),OR(H416="Accepted",H416="Received",H416="Needs Correction")),"In Progress","Not Started")),IF($Q416&gt;=Settings!$C$13,"Legalized",IF($P416&gt;=Settings!$C$12,"Registered",IF($O416&gt;0,"In Progress","Not Started")))))))</f>
        <v/>
      </c>
      <c r="S416" s="32">
        <f>IF($B416="","",COUNTIF(G416:N416,"Received"))</f>
        <v/>
      </c>
      <c r="T416" s="32">
        <f>IF($B416="","",COUNTIF(G416:N416,"Needs Correction"))</f>
        <v/>
      </c>
      <c r="U416" s="33">
        <f>IF($B416="","",IF($D416&lt;&gt;"Yes","",IF($E416="PTA",IF(AND(OR(I416="Accepted",I416="Not Needed"),OR(H416="Accepted",H416="Not Needed")),"None",MID(IF(AND(I416&lt;&gt;"Accepted",I416&lt;&gt;"Not Needed"),", "&amp;I$1,"")&amp;IF(AND(H416&lt;&gt;"Accepted",H416&lt;&gt;"Not Needed"),", "&amp;H$1,""),3,400)),IF($Q416&gt;=Settings!$C$13,"None",MID(IF(AND(G416&lt;&gt;"Accepted",G416&lt;&gt;"Not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Confirmed",IF($E417="PTA",IF(AND(OR(I417="Accepted",I417="Not Needed"),OR(H417="Accepted",H417="Not Needed")),"Registered",IF(OR(OR(I417="Accepted",I417="Received",I417="Needs Correction"),OR(H417="Accepted",H417="Received",H417="Needs Correction")),"In Progress","Not Started")),IF($Q417&gt;=Settings!$C$13,"Legalized",IF($P417&gt;=Settings!$C$12,"Registered",IF($O417&gt;0,"In Progress","Not Started")))))))</f>
        <v/>
      </c>
      <c r="S417" s="32">
        <f>IF($B417="","",COUNTIF(G417:N417,"Received"))</f>
        <v/>
      </c>
      <c r="T417" s="32">
        <f>IF($B417="","",COUNTIF(G417:N417,"Needs Correction"))</f>
        <v/>
      </c>
      <c r="U417" s="33">
        <f>IF($B417="","",IF($D417&lt;&gt;"Yes","",IF($E417="PTA",IF(AND(OR(I417="Accepted",I417="Not Needed"),OR(H417="Accepted",H417="Not Needed")),"None",MID(IF(AND(I417&lt;&gt;"Accepted",I417&lt;&gt;"Not Needed"),", "&amp;I$1,"")&amp;IF(AND(H417&lt;&gt;"Accepted",H417&lt;&gt;"Not Needed"),", "&amp;H$1,""),3,400)),IF($Q417&gt;=Settings!$C$13,"None",MID(IF(AND(G417&lt;&gt;"Accepted",G417&lt;&gt;"Not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Confirmed",IF($E418="PTA",IF(AND(OR(I418="Accepted",I418="Not Needed"),OR(H418="Accepted",H418="Not Needed")),"Registered",IF(OR(OR(I418="Accepted",I418="Received",I418="Needs Correction"),OR(H418="Accepted",H418="Received",H418="Needs Correction")),"In Progress","Not Started")),IF($Q418&gt;=Settings!$C$13,"Legalized",IF($P418&gt;=Settings!$C$12,"Registered",IF($O418&gt;0,"In Progress","Not Started")))))))</f>
        <v/>
      </c>
      <c r="S418" s="32">
        <f>IF($B418="","",COUNTIF(G418:N418,"Received"))</f>
        <v/>
      </c>
      <c r="T418" s="32">
        <f>IF($B418="","",COUNTIF(G418:N418,"Needs Correction"))</f>
        <v/>
      </c>
      <c r="U418" s="33">
        <f>IF($B418="","",IF($D418&lt;&gt;"Yes","",IF($E418="PTA",IF(AND(OR(I418="Accepted",I418="Not Needed"),OR(H418="Accepted",H418="Not Needed")),"None",MID(IF(AND(I418&lt;&gt;"Accepted",I418&lt;&gt;"Not Needed"),", "&amp;I$1,"")&amp;IF(AND(H418&lt;&gt;"Accepted",H418&lt;&gt;"Not Needed"),", "&amp;H$1,""),3,400)),IF($Q418&gt;=Settings!$C$13,"None",MID(IF(AND(G418&lt;&gt;"Accepted",G418&lt;&gt;"Not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Confirmed",IF($E419="PTA",IF(AND(OR(I419="Accepted",I419="Not Needed"),OR(H419="Accepted",H419="Not Needed")),"Registered",IF(OR(OR(I419="Accepted",I419="Received",I419="Needs Correction"),OR(H419="Accepted",H419="Received",H419="Needs Correction")),"In Progress","Not Started")),IF($Q419&gt;=Settings!$C$13,"Legalized",IF($P419&gt;=Settings!$C$12,"Registered",IF($O419&gt;0,"In Progress","Not Started")))))))</f>
        <v/>
      </c>
      <c r="S419" s="32">
        <f>IF($B419="","",COUNTIF(G419:N419,"Received"))</f>
        <v/>
      </c>
      <c r="T419" s="32">
        <f>IF($B419="","",COUNTIF(G419:N419,"Needs Correction"))</f>
        <v/>
      </c>
      <c r="U419" s="33">
        <f>IF($B419="","",IF($D419&lt;&gt;"Yes","",IF($E419="PTA",IF(AND(OR(I419="Accepted",I419="Not Needed"),OR(H419="Accepted",H419="Not Needed")),"None",MID(IF(AND(I419&lt;&gt;"Accepted",I419&lt;&gt;"Not Needed"),", "&amp;I$1,"")&amp;IF(AND(H419&lt;&gt;"Accepted",H419&lt;&gt;"Not Needed"),", "&amp;H$1,""),3,400)),IF($Q419&gt;=Settings!$C$13,"None",MID(IF(AND(G419&lt;&gt;"Accepted",G419&lt;&gt;"Not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Confirmed",IF($E420="PTA",IF(AND(OR(I420="Accepted",I420="Not Needed"),OR(H420="Accepted",H420="Not Needed")),"Registered",IF(OR(OR(I420="Accepted",I420="Received",I420="Needs Correction"),OR(H420="Accepted",H420="Received",H420="Needs Correction")),"In Progress","Not Started")),IF($Q420&gt;=Settings!$C$13,"Legalized",IF($P420&gt;=Settings!$C$12,"Registered",IF($O420&gt;0,"In Progress","Not Started")))))))</f>
        <v/>
      </c>
      <c r="S420" s="32">
        <f>IF($B420="","",COUNTIF(G420:N420,"Received"))</f>
        <v/>
      </c>
      <c r="T420" s="32">
        <f>IF($B420="","",COUNTIF(G420:N420,"Needs Correction"))</f>
        <v/>
      </c>
      <c r="U420" s="33">
        <f>IF($B420="","",IF($D420&lt;&gt;"Yes","",IF($E420="PTA",IF(AND(OR(I420="Accepted",I420="Not Needed"),OR(H420="Accepted",H420="Not Needed")),"None",MID(IF(AND(I420&lt;&gt;"Accepted",I420&lt;&gt;"Not Needed"),", "&amp;I$1,"")&amp;IF(AND(H420&lt;&gt;"Accepted",H420&lt;&gt;"Not Needed"),", "&amp;H$1,""),3,400)),IF($Q420&gt;=Settings!$C$13,"None",MID(IF(AND(G420&lt;&gt;"Accepted",G420&lt;&gt;"Not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Confirmed",IF($E421="PTA",IF(AND(OR(I421="Accepted",I421="Not Needed"),OR(H421="Accepted",H421="Not Needed")),"Registered",IF(OR(OR(I421="Accepted",I421="Received",I421="Needs Correction"),OR(H421="Accepted",H421="Received",H421="Needs Correction")),"In Progress","Not Started")),IF($Q421&gt;=Settings!$C$13,"Legalized",IF($P421&gt;=Settings!$C$12,"Registered",IF($O421&gt;0,"In Progress","Not Started")))))))</f>
        <v/>
      </c>
      <c r="S421" s="32">
        <f>IF($B421="","",COUNTIF(G421:N421,"Received"))</f>
        <v/>
      </c>
      <c r="T421" s="32">
        <f>IF($B421="","",COUNTIF(G421:N421,"Needs Correction"))</f>
        <v/>
      </c>
      <c r="U421" s="33">
        <f>IF($B421="","",IF($D421&lt;&gt;"Yes","",IF($E421="PTA",IF(AND(OR(I421="Accepted",I421="Not Needed"),OR(H421="Accepted",H421="Not Needed")),"None",MID(IF(AND(I421&lt;&gt;"Accepted",I421&lt;&gt;"Not Needed"),", "&amp;I$1,"")&amp;IF(AND(H421&lt;&gt;"Accepted",H421&lt;&gt;"Not Needed"),", "&amp;H$1,""),3,400)),IF($Q421&gt;=Settings!$C$13,"None",MID(IF(AND(G421&lt;&gt;"Accepted",G421&lt;&gt;"Not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Confirmed",IF($E422="PTA",IF(AND(OR(I422="Accepted",I422="Not Needed"),OR(H422="Accepted",H422="Not Needed")),"Registered",IF(OR(OR(I422="Accepted",I422="Received",I422="Needs Correction"),OR(H422="Accepted",H422="Received",H422="Needs Correction")),"In Progress","Not Started")),IF($Q422&gt;=Settings!$C$13,"Legalized",IF($P422&gt;=Settings!$C$12,"Registered",IF($O422&gt;0,"In Progress","Not Started")))))))</f>
        <v/>
      </c>
      <c r="S422" s="32">
        <f>IF($B422="","",COUNTIF(G422:N422,"Received"))</f>
        <v/>
      </c>
      <c r="T422" s="32">
        <f>IF($B422="","",COUNTIF(G422:N422,"Needs Correction"))</f>
        <v/>
      </c>
      <c r="U422" s="33">
        <f>IF($B422="","",IF($D422&lt;&gt;"Yes","",IF($E422="PTA",IF(AND(OR(I422="Accepted",I422="Not Needed"),OR(H422="Accepted",H422="Not Needed")),"None",MID(IF(AND(I422&lt;&gt;"Accepted",I422&lt;&gt;"Not Needed"),", "&amp;I$1,"")&amp;IF(AND(H422&lt;&gt;"Accepted",H422&lt;&gt;"Not Needed"),", "&amp;H$1,""),3,400)),IF($Q422&gt;=Settings!$C$13,"None",MID(IF(AND(G422&lt;&gt;"Accepted",G422&lt;&gt;"Not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Confirmed",IF($E423="PTA",IF(AND(OR(I423="Accepted",I423="Not Needed"),OR(H423="Accepted",H423="Not Needed")),"Registered",IF(OR(OR(I423="Accepted",I423="Received",I423="Needs Correction"),OR(H423="Accepted",H423="Received",H423="Needs Correction")),"In Progress","Not Started")),IF($Q423&gt;=Settings!$C$13,"Legalized",IF($P423&gt;=Settings!$C$12,"Registered",IF($O423&gt;0,"In Progress","Not Started")))))))</f>
        <v/>
      </c>
      <c r="S423" s="32">
        <f>IF($B423="","",COUNTIF(G423:N423,"Received"))</f>
        <v/>
      </c>
      <c r="T423" s="32">
        <f>IF($B423="","",COUNTIF(G423:N423,"Needs Correction"))</f>
        <v/>
      </c>
      <c r="U423" s="33">
        <f>IF($B423="","",IF($D423&lt;&gt;"Yes","",IF($E423="PTA",IF(AND(OR(I423="Accepted",I423="Not Needed"),OR(H423="Accepted",H423="Not Needed")),"None",MID(IF(AND(I423&lt;&gt;"Accepted",I423&lt;&gt;"Not Needed"),", "&amp;I$1,"")&amp;IF(AND(H423&lt;&gt;"Accepted",H423&lt;&gt;"Not Needed"),", "&amp;H$1,""),3,400)),IF($Q423&gt;=Settings!$C$13,"None",MID(IF(AND(G423&lt;&gt;"Accepted",G423&lt;&gt;"Not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Confirmed",IF($E424="PTA",IF(AND(OR(I424="Accepted",I424="Not Needed"),OR(H424="Accepted",H424="Not Needed")),"Registered",IF(OR(OR(I424="Accepted",I424="Received",I424="Needs Correction"),OR(H424="Accepted",H424="Received",H424="Needs Correction")),"In Progress","Not Started")),IF($Q424&gt;=Settings!$C$13,"Legalized",IF($P424&gt;=Settings!$C$12,"Registered",IF($O424&gt;0,"In Progress","Not Started")))))))</f>
        <v/>
      </c>
      <c r="S424" s="32">
        <f>IF($B424="","",COUNTIF(G424:N424,"Received"))</f>
        <v/>
      </c>
      <c r="T424" s="32">
        <f>IF($B424="","",COUNTIF(G424:N424,"Needs Correction"))</f>
        <v/>
      </c>
      <c r="U424" s="33">
        <f>IF($B424="","",IF($D424&lt;&gt;"Yes","",IF($E424="PTA",IF(AND(OR(I424="Accepted",I424="Not Needed"),OR(H424="Accepted",H424="Not Needed")),"None",MID(IF(AND(I424&lt;&gt;"Accepted",I424&lt;&gt;"Not Needed"),", "&amp;I$1,"")&amp;IF(AND(H424&lt;&gt;"Accepted",H424&lt;&gt;"Not Needed"),", "&amp;H$1,""),3,400)),IF($Q424&gt;=Settings!$C$13,"None",MID(IF(AND(G424&lt;&gt;"Accepted",G424&lt;&gt;"Not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Confirmed",IF($E425="PTA",IF(AND(OR(I425="Accepted",I425="Not Needed"),OR(H425="Accepted",H425="Not Needed")),"Registered",IF(OR(OR(I425="Accepted",I425="Received",I425="Needs Correction"),OR(H425="Accepted",H425="Received",H425="Needs Correction")),"In Progress","Not Started")),IF($Q425&gt;=Settings!$C$13,"Legalized",IF($P425&gt;=Settings!$C$12,"Registered",IF($O425&gt;0,"In Progress","Not Started")))))))</f>
        <v/>
      </c>
      <c r="S425" s="32">
        <f>IF($B425="","",COUNTIF(G425:N425,"Received"))</f>
        <v/>
      </c>
      <c r="T425" s="32">
        <f>IF($B425="","",COUNTIF(G425:N425,"Needs Correction"))</f>
        <v/>
      </c>
      <c r="U425" s="33">
        <f>IF($B425="","",IF($D425&lt;&gt;"Yes","",IF($E425="PTA",IF(AND(OR(I425="Accepted",I425="Not Needed"),OR(H425="Accepted",H425="Not Needed")),"None",MID(IF(AND(I425&lt;&gt;"Accepted",I425&lt;&gt;"Not Needed"),", "&amp;I$1,"")&amp;IF(AND(H425&lt;&gt;"Accepted",H425&lt;&gt;"Not Needed"),", "&amp;H$1,""),3,400)),IF($Q425&gt;=Settings!$C$13,"None",MID(IF(AND(G425&lt;&gt;"Accepted",G425&lt;&gt;"Not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Confirmed",IF($E426="PTA",IF(AND(OR(I426="Accepted",I426="Not Needed"),OR(H426="Accepted",H426="Not Needed")),"Registered",IF(OR(OR(I426="Accepted",I426="Received",I426="Needs Correction"),OR(H426="Accepted",H426="Received",H426="Needs Correction")),"In Progress","Not Started")),IF($Q426&gt;=Settings!$C$13,"Legalized",IF($P426&gt;=Settings!$C$12,"Registered",IF($O426&gt;0,"In Progress","Not Started")))))))</f>
        <v/>
      </c>
      <c r="S426" s="32">
        <f>IF($B426="","",COUNTIF(G426:N426,"Received"))</f>
        <v/>
      </c>
      <c r="T426" s="32">
        <f>IF($B426="","",COUNTIF(G426:N426,"Needs Correction"))</f>
        <v/>
      </c>
      <c r="U426" s="33">
        <f>IF($B426="","",IF($D426&lt;&gt;"Yes","",IF($E426="PTA",IF(AND(OR(I426="Accepted",I426="Not Needed"),OR(H426="Accepted",H426="Not Needed")),"None",MID(IF(AND(I426&lt;&gt;"Accepted",I426&lt;&gt;"Not Needed"),", "&amp;I$1,"")&amp;IF(AND(H426&lt;&gt;"Accepted",H426&lt;&gt;"Not Needed"),", "&amp;H$1,""),3,400)),IF($Q426&gt;=Settings!$C$13,"None",MID(IF(AND(G426&lt;&gt;"Accepted",G426&lt;&gt;"Not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Confirmed",IF($E427="PTA",IF(AND(OR(I427="Accepted",I427="Not Needed"),OR(H427="Accepted",H427="Not Needed")),"Registered",IF(OR(OR(I427="Accepted",I427="Received",I427="Needs Correction"),OR(H427="Accepted",H427="Received",H427="Needs Correction")),"In Progress","Not Started")),IF($Q427&gt;=Settings!$C$13,"Legalized",IF($P427&gt;=Settings!$C$12,"Registered",IF($O427&gt;0,"In Progress","Not Started")))))))</f>
        <v/>
      </c>
      <c r="S427" s="32">
        <f>IF($B427="","",COUNTIF(G427:N427,"Received"))</f>
        <v/>
      </c>
      <c r="T427" s="32">
        <f>IF($B427="","",COUNTIF(G427:N427,"Needs Correction"))</f>
        <v/>
      </c>
      <c r="U427" s="33">
        <f>IF($B427="","",IF($D427&lt;&gt;"Yes","",IF($E427="PTA",IF(AND(OR(I427="Accepted",I427="Not Needed"),OR(H427="Accepted",H427="Not Needed")),"None",MID(IF(AND(I427&lt;&gt;"Accepted",I427&lt;&gt;"Not Needed"),", "&amp;I$1,"")&amp;IF(AND(H427&lt;&gt;"Accepted",H427&lt;&gt;"Not Needed"),", "&amp;H$1,""),3,400)),IF($Q427&gt;=Settings!$C$13,"None",MID(IF(AND(G427&lt;&gt;"Accepted",G427&lt;&gt;"Not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Confirmed",IF($E428="PTA",IF(AND(OR(I428="Accepted",I428="Not Needed"),OR(H428="Accepted",H428="Not Needed")),"Registered",IF(OR(OR(I428="Accepted",I428="Received",I428="Needs Correction"),OR(H428="Accepted",H428="Received",H428="Needs Correction")),"In Progress","Not Started")),IF($Q428&gt;=Settings!$C$13,"Legalized",IF($P428&gt;=Settings!$C$12,"Registered",IF($O428&gt;0,"In Progress","Not Started")))))))</f>
        <v/>
      </c>
      <c r="S428" s="32">
        <f>IF($B428="","",COUNTIF(G428:N428,"Received"))</f>
        <v/>
      </c>
      <c r="T428" s="32">
        <f>IF($B428="","",COUNTIF(G428:N428,"Needs Correction"))</f>
        <v/>
      </c>
      <c r="U428" s="33">
        <f>IF($B428="","",IF($D428&lt;&gt;"Yes","",IF($E428="PTA",IF(AND(OR(I428="Accepted",I428="Not Needed"),OR(H428="Accepted",H428="Not Needed")),"None",MID(IF(AND(I428&lt;&gt;"Accepted",I428&lt;&gt;"Not Needed"),", "&amp;I$1,"")&amp;IF(AND(H428&lt;&gt;"Accepted",H428&lt;&gt;"Not Needed"),", "&amp;H$1,""),3,400)),IF($Q428&gt;=Settings!$C$13,"None",MID(IF(AND(G428&lt;&gt;"Accepted",G428&lt;&gt;"Not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Confirmed",IF($E429="PTA",IF(AND(OR(I429="Accepted",I429="Not Needed"),OR(H429="Accepted",H429="Not Needed")),"Registered",IF(OR(OR(I429="Accepted",I429="Received",I429="Needs Correction"),OR(H429="Accepted",H429="Received",H429="Needs Correction")),"In Progress","Not Started")),IF($Q429&gt;=Settings!$C$13,"Legalized",IF($P429&gt;=Settings!$C$12,"Registered",IF($O429&gt;0,"In Progress","Not Started")))))))</f>
        <v/>
      </c>
      <c r="S429" s="32">
        <f>IF($B429="","",COUNTIF(G429:N429,"Received"))</f>
        <v/>
      </c>
      <c r="T429" s="32">
        <f>IF($B429="","",COUNTIF(G429:N429,"Needs Correction"))</f>
        <v/>
      </c>
      <c r="U429" s="33">
        <f>IF($B429="","",IF($D429&lt;&gt;"Yes","",IF($E429="PTA",IF(AND(OR(I429="Accepted",I429="Not Needed"),OR(H429="Accepted",H429="Not Needed")),"None",MID(IF(AND(I429&lt;&gt;"Accepted",I429&lt;&gt;"Not Needed"),", "&amp;I$1,"")&amp;IF(AND(H429&lt;&gt;"Accepted",H429&lt;&gt;"Not Needed"),", "&amp;H$1,""),3,400)),IF($Q429&gt;=Settings!$C$13,"None",MID(IF(AND(G429&lt;&gt;"Accepted",G429&lt;&gt;"Not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Confirmed",IF($E430="PTA",IF(AND(OR(I430="Accepted",I430="Not Needed"),OR(H430="Accepted",H430="Not Needed")),"Registered",IF(OR(OR(I430="Accepted",I430="Received",I430="Needs Correction"),OR(H430="Accepted",H430="Received",H430="Needs Correction")),"In Progress","Not Started")),IF($Q430&gt;=Settings!$C$13,"Legalized",IF($P430&gt;=Settings!$C$12,"Registered",IF($O430&gt;0,"In Progress","Not Started")))))))</f>
        <v/>
      </c>
      <c r="S430" s="32">
        <f>IF($B430="","",COUNTIF(G430:N430,"Received"))</f>
        <v/>
      </c>
      <c r="T430" s="32">
        <f>IF($B430="","",COUNTIF(G430:N430,"Needs Correction"))</f>
        <v/>
      </c>
      <c r="U430" s="33">
        <f>IF($B430="","",IF($D430&lt;&gt;"Yes","",IF($E430="PTA",IF(AND(OR(I430="Accepted",I430="Not Needed"),OR(H430="Accepted",H430="Not Needed")),"None",MID(IF(AND(I430&lt;&gt;"Accepted",I430&lt;&gt;"Not Needed"),", "&amp;I$1,"")&amp;IF(AND(H430&lt;&gt;"Accepted",H430&lt;&gt;"Not Needed"),", "&amp;H$1,""),3,400)),IF($Q430&gt;=Settings!$C$13,"None",MID(IF(AND(G430&lt;&gt;"Accepted",G430&lt;&gt;"Not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Confirmed",IF($E431="PTA",IF(AND(OR(I431="Accepted",I431="Not Needed"),OR(H431="Accepted",H431="Not Needed")),"Registered",IF(OR(OR(I431="Accepted",I431="Received",I431="Needs Correction"),OR(H431="Accepted",H431="Received",H431="Needs Correction")),"In Progress","Not Started")),IF($Q431&gt;=Settings!$C$13,"Legalized",IF($P431&gt;=Settings!$C$12,"Registered",IF($O431&gt;0,"In Progress","Not Started")))))))</f>
        <v/>
      </c>
      <c r="S431" s="32">
        <f>IF($B431="","",COUNTIF(G431:N431,"Received"))</f>
        <v/>
      </c>
      <c r="T431" s="32">
        <f>IF($B431="","",COUNTIF(G431:N431,"Needs Correction"))</f>
        <v/>
      </c>
      <c r="U431" s="33">
        <f>IF($B431="","",IF($D431&lt;&gt;"Yes","",IF($E431="PTA",IF(AND(OR(I431="Accepted",I431="Not Needed"),OR(H431="Accepted",H431="Not Needed")),"None",MID(IF(AND(I431&lt;&gt;"Accepted",I431&lt;&gt;"Not Needed"),", "&amp;I$1,"")&amp;IF(AND(H431&lt;&gt;"Accepted",H431&lt;&gt;"Not Needed"),", "&amp;H$1,""),3,400)),IF($Q431&gt;=Settings!$C$13,"None",MID(IF(AND(G431&lt;&gt;"Accepted",G431&lt;&gt;"Not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Confirmed",IF($E432="PTA",IF(AND(OR(I432="Accepted",I432="Not Needed"),OR(H432="Accepted",H432="Not Needed")),"Registered",IF(OR(OR(I432="Accepted",I432="Received",I432="Needs Correction"),OR(H432="Accepted",H432="Received",H432="Needs Correction")),"In Progress","Not Started")),IF($Q432&gt;=Settings!$C$13,"Legalized",IF($P432&gt;=Settings!$C$12,"Registered",IF($O432&gt;0,"In Progress","Not Started")))))))</f>
        <v/>
      </c>
      <c r="S432" s="32">
        <f>IF($B432="","",COUNTIF(G432:N432,"Received"))</f>
        <v/>
      </c>
      <c r="T432" s="32">
        <f>IF($B432="","",COUNTIF(G432:N432,"Needs Correction"))</f>
        <v/>
      </c>
      <c r="U432" s="33">
        <f>IF($B432="","",IF($D432&lt;&gt;"Yes","",IF($E432="PTA",IF(AND(OR(I432="Accepted",I432="Not Needed"),OR(H432="Accepted",H432="Not Needed")),"None",MID(IF(AND(I432&lt;&gt;"Accepted",I432&lt;&gt;"Not Needed"),", "&amp;I$1,"")&amp;IF(AND(H432&lt;&gt;"Accepted",H432&lt;&gt;"Not Needed"),", "&amp;H$1,""),3,400)),IF($Q432&gt;=Settings!$C$13,"None",MID(IF(AND(G432&lt;&gt;"Accepted",G432&lt;&gt;"Not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Confirmed",IF($E433="PTA",IF(AND(OR(I433="Accepted",I433="Not Needed"),OR(H433="Accepted",H433="Not Needed")),"Registered",IF(OR(OR(I433="Accepted",I433="Received",I433="Needs Correction"),OR(H433="Accepted",H433="Received",H433="Needs Correction")),"In Progress","Not Started")),IF($Q433&gt;=Settings!$C$13,"Legalized",IF($P433&gt;=Settings!$C$12,"Registered",IF($O433&gt;0,"In Progress","Not Started")))))))</f>
        <v/>
      </c>
      <c r="S433" s="32">
        <f>IF($B433="","",COUNTIF(G433:N433,"Received"))</f>
        <v/>
      </c>
      <c r="T433" s="32">
        <f>IF($B433="","",COUNTIF(G433:N433,"Needs Correction"))</f>
        <v/>
      </c>
      <c r="U433" s="33">
        <f>IF($B433="","",IF($D433&lt;&gt;"Yes","",IF($E433="PTA",IF(AND(OR(I433="Accepted",I433="Not Needed"),OR(H433="Accepted",H433="Not Needed")),"None",MID(IF(AND(I433&lt;&gt;"Accepted",I433&lt;&gt;"Not Needed"),", "&amp;I$1,"")&amp;IF(AND(H433&lt;&gt;"Accepted",H433&lt;&gt;"Not Needed"),", "&amp;H$1,""),3,400)),IF($Q433&gt;=Settings!$C$13,"None",MID(IF(AND(G433&lt;&gt;"Accepted",G433&lt;&gt;"Not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Confirmed",IF($E434="PTA",IF(AND(OR(I434="Accepted",I434="Not Needed"),OR(H434="Accepted",H434="Not Needed")),"Registered",IF(OR(OR(I434="Accepted",I434="Received",I434="Needs Correction"),OR(H434="Accepted",H434="Received",H434="Needs Correction")),"In Progress","Not Started")),IF($Q434&gt;=Settings!$C$13,"Legalized",IF($P434&gt;=Settings!$C$12,"Registered",IF($O434&gt;0,"In Progress","Not Started")))))))</f>
        <v/>
      </c>
      <c r="S434" s="32">
        <f>IF($B434="","",COUNTIF(G434:N434,"Received"))</f>
        <v/>
      </c>
      <c r="T434" s="32">
        <f>IF($B434="","",COUNTIF(G434:N434,"Needs Correction"))</f>
        <v/>
      </c>
      <c r="U434" s="33">
        <f>IF($B434="","",IF($D434&lt;&gt;"Yes","",IF($E434="PTA",IF(AND(OR(I434="Accepted",I434="Not Needed"),OR(H434="Accepted",H434="Not Needed")),"None",MID(IF(AND(I434&lt;&gt;"Accepted",I434&lt;&gt;"Not Needed"),", "&amp;I$1,"")&amp;IF(AND(H434&lt;&gt;"Accepted",H434&lt;&gt;"Not Needed"),", "&amp;H$1,""),3,400)),IF($Q434&gt;=Settings!$C$13,"None",MID(IF(AND(G434&lt;&gt;"Accepted",G434&lt;&gt;"Not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Confirmed",IF($E435="PTA",IF(AND(OR(I435="Accepted",I435="Not Needed"),OR(H435="Accepted",H435="Not Needed")),"Registered",IF(OR(OR(I435="Accepted",I435="Received",I435="Needs Correction"),OR(H435="Accepted",H435="Received",H435="Needs Correction")),"In Progress","Not Started")),IF($Q435&gt;=Settings!$C$13,"Legalized",IF($P435&gt;=Settings!$C$12,"Registered",IF($O435&gt;0,"In Progress","Not Started")))))))</f>
        <v/>
      </c>
      <c r="S435" s="32">
        <f>IF($B435="","",COUNTIF(G435:N435,"Received"))</f>
        <v/>
      </c>
      <c r="T435" s="32">
        <f>IF($B435="","",COUNTIF(G435:N435,"Needs Correction"))</f>
        <v/>
      </c>
      <c r="U435" s="33">
        <f>IF($B435="","",IF($D435&lt;&gt;"Yes","",IF($E435="PTA",IF(AND(OR(I435="Accepted",I435="Not Needed"),OR(H435="Accepted",H435="Not Needed")),"None",MID(IF(AND(I435&lt;&gt;"Accepted",I435&lt;&gt;"Not Needed"),", "&amp;I$1,"")&amp;IF(AND(H435&lt;&gt;"Accepted",H435&lt;&gt;"Not Needed"),", "&amp;H$1,""),3,400)),IF($Q435&gt;=Settings!$C$13,"None",MID(IF(AND(G435&lt;&gt;"Accepted",G435&lt;&gt;"Not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Confirmed",IF($E436="PTA",IF(AND(OR(I436="Accepted",I436="Not Needed"),OR(H436="Accepted",H436="Not Needed")),"Registered",IF(OR(OR(I436="Accepted",I436="Received",I436="Needs Correction"),OR(H436="Accepted",H436="Received",H436="Needs Correction")),"In Progress","Not Started")),IF($Q436&gt;=Settings!$C$13,"Legalized",IF($P436&gt;=Settings!$C$12,"Registered",IF($O436&gt;0,"In Progress","Not Started")))))))</f>
        <v/>
      </c>
      <c r="S436" s="32">
        <f>IF($B436="","",COUNTIF(G436:N436,"Received"))</f>
        <v/>
      </c>
      <c r="T436" s="32">
        <f>IF($B436="","",COUNTIF(G436:N436,"Needs Correction"))</f>
        <v/>
      </c>
      <c r="U436" s="33">
        <f>IF($B436="","",IF($D436&lt;&gt;"Yes","",IF($E436="PTA",IF(AND(OR(I436="Accepted",I436="Not Needed"),OR(H436="Accepted",H436="Not Needed")),"None",MID(IF(AND(I436&lt;&gt;"Accepted",I436&lt;&gt;"Not Needed"),", "&amp;I$1,"")&amp;IF(AND(H436&lt;&gt;"Accepted",H436&lt;&gt;"Not Needed"),", "&amp;H$1,""),3,400)),IF($Q436&gt;=Settings!$C$13,"None",MID(IF(AND(G436&lt;&gt;"Accepted",G436&lt;&gt;"Not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Confirmed",IF($E437="PTA",IF(AND(OR(I437="Accepted",I437="Not Needed"),OR(H437="Accepted",H437="Not Needed")),"Registered",IF(OR(OR(I437="Accepted",I437="Received",I437="Needs Correction"),OR(H437="Accepted",H437="Received",H437="Needs Correction")),"In Progress","Not Started")),IF($Q437&gt;=Settings!$C$13,"Legalized",IF($P437&gt;=Settings!$C$12,"Registered",IF($O437&gt;0,"In Progress","Not Started")))))))</f>
        <v/>
      </c>
      <c r="S437" s="32">
        <f>IF($B437="","",COUNTIF(G437:N437,"Received"))</f>
        <v/>
      </c>
      <c r="T437" s="32">
        <f>IF($B437="","",COUNTIF(G437:N437,"Needs Correction"))</f>
        <v/>
      </c>
      <c r="U437" s="33">
        <f>IF($B437="","",IF($D437&lt;&gt;"Yes","",IF($E437="PTA",IF(AND(OR(I437="Accepted",I437="Not Needed"),OR(H437="Accepted",H437="Not Needed")),"None",MID(IF(AND(I437&lt;&gt;"Accepted",I437&lt;&gt;"Not Needed"),", "&amp;I$1,"")&amp;IF(AND(H437&lt;&gt;"Accepted",H437&lt;&gt;"Not Needed"),", "&amp;H$1,""),3,400)),IF($Q437&gt;=Settings!$C$13,"None",MID(IF(AND(G437&lt;&gt;"Accepted",G437&lt;&gt;"Not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Confirmed",IF($E438="PTA",IF(AND(OR(I438="Accepted",I438="Not Needed"),OR(H438="Accepted",H438="Not Needed")),"Registered",IF(OR(OR(I438="Accepted",I438="Received",I438="Needs Correction"),OR(H438="Accepted",H438="Received",H438="Needs Correction")),"In Progress","Not Started")),IF($Q438&gt;=Settings!$C$13,"Legalized",IF($P438&gt;=Settings!$C$12,"Registered",IF($O438&gt;0,"In Progress","Not Started")))))))</f>
        <v/>
      </c>
      <c r="S438" s="32">
        <f>IF($B438="","",COUNTIF(G438:N438,"Received"))</f>
        <v/>
      </c>
      <c r="T438" s="32">
        <f>IF($B438="","",COUNTIF(G438:N438,"Needs Correction"))</f>
        <v/>
      </c>
      <c r="U438" s="33">
        <f>IF($B438="","",IF($D438&lt;&gt;"Yes","",IF($E438="PTA",IF(AND(OR(I438="Accepted",I438="Not Needed"),OR(H438="Accepted",H438="Not Needed")),"None",MID(IF(AND(I438&lt;&gt;"Accepted",I438&lt;&gt;"Not Needed"),", "&amp;I$1,"")&amp;IF(AND(H438&lt;&gt;"Accepted",H438&lt;&gt;"Not Needed"),", "&amp;H$1,""),3,400)),IF($Q438&gt;=Settings!$C$13,"None",MID(IF(AND(G438&lt;&gt;"Accepted",G438&lt;&gt;"Not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Confirmed",IF($E439="PTA",IF(AND(OR(I439="Accepted",I439="Not Needed"),OR(H439="Accepted",H439="Not Needed")),"Registered",IF(OR(OR(I439="Accepted",I439="Received",I439="Needs Correction"),OR(H439="Accepted",H439="Received",H439="Needs Correction")),"In Progress","Not Started")),IF($Q439&gt;=Settings!$C$13,"Legalized",IF($P439&gt;=Settings!$C$12,"Registered",IF($O439&gt;0,"In Progress","Not Started")))))))</f>
        <v/>
      </c>
      <c r="S439" s="32">
        <f>IF($B439="","",COUNTIF(G439:N439,"Received"))</f>
        <v/>
      </c>
      <c r="T439" s="32">
        <f>IF($B439="","",COUNTIF(G439:N439,"Needs Correction"))</f>
        <v/>
      </c>
      <c r="U439" s="33">
        <f>IF($B439="","",IF($D439&lt;&gt;"Yes","",IF($E439="PTA",IF(AND(OR(I439="Accepted",I439="Not Needed"),OR(H439="Accepted",H439="Not Needed")),"None",MID(IF(AND(I439&lt;&gt;"Accepted",I439&lt;&gt;"Not Needed"),", "&amp;I$1,"")&amp;IF(AND(H439&lt;&gt;"Accepted",H439&lt;&gt;"Not Needed"),", "&amp;H$1,""),3,400)),IF($Q439&gt;=Settings!$C$13,"None",MID(IF(AND(G439&lt;&gt;"Accepted",G439&lt;&gt;"Not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Confirmed",IF($E440="PTA",IF(AND(OR(I440="Accepted",I440="Not Needed"),OR(H440="Accepted",H440="Not Needed")),"Registered",IF(OR(OR(I440="Accepted",I440="Received",I440="Needs Correction"),OR(H440="Accepted",H440="Received",H440="Needs Correction")),"In Progress","Not Started")),IF($Q440&gt;=Settings!$C$13,"Legalized",IF($P440&gt;=Settings!$C$12,"Registered",IF($O440&gt;0,"In Progress","Not Started")))))))</f>
        <v/>
      </c>
      <c r="S440" s="32">
        <f>IF($B440="","",COUNTIF(G440:N440,"Received"))</f>
        <v/>
      </c>
      <c r="T440" s="32">
        <f>IF($B440="","",COUNTIF(G440:N440,"Needs Correction"))</f>
        <v/>
      </c>
      <c r="U440" s="33">
        <f>IF($B440="","",IF($D440&lt;&gt;"Yes","",IF($E440="PTA",IF(AND(OR(I440="Accepted",I440="Not Needed"),OR(H440="Accepted",H440="Not Needed")),"None",MID(IF(AND(I440&lt;&gt;"Accepted",I440&lt;&gt;"Not Needed"),", "&amp;I$1,"")&amp;IF(AND(H440&lt;&gt;"Accepted",H440&lt;&gt;"Not Needed"),", "&amp;H$1,""),3,400)),IF($Q440&gt;=Settings!$C$13,"None",MID(IF(AND(G440&lt;&gt;"Accepted",G440&lt;&gt;"Not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Confirmed",IF($E441="PTA",IF(AND(OR(I441="Accepted",I441="Not Needed"),OR(H441="Accepted",H441="Not Needed")),"Registered",IF(OR(OR(I441="Accepted",I441="Received",I441="Needs Correction"),OR(H441="Accepted",H441="Received",H441="Needs Correction")),"In Progress","Not Started")),IF($Q441&gt;=Settings!$C$13,"Legalized",IF($P441&gt;=Settings!$C$12,"Registered",IF($O441&gt;0,"In Progress","Not Started")))))))</f>
        <v/>
      </c>
      <c r="S441" s="32">
        <f>IF($B441="","",COUNTIF(G441:N441,"Received"))</f>
        <v/>
      </c>
      <c r="T441" s="32">
        <f>IF($B441="","",COUNTIF(G441:N441,"Needs Correction"))</f>
        <v/>
      </c>
      <c r="U441" s="33">
        <f>IF($B441="","",IF($D441&lt;&gt;"Yes","",IF($E441="PTA",IF(AND(OR(I441="Accepted",I441="Not Needed"),OR(H441="Accepted",H441="Not Needed")),"None",MID(IF(AND(I441&lt;&gt;"Accepted",I441&lt;&gt;"Not Needed"),", "&amp;I$1,"")&amp;IF(AND(H441&lt;&gt;"Accepted",H441&lt;&gt;"Not Needed"),", "&amp;H$1,""),3,400)),IF($Q441&gt;=Settings!$C$13,"None",MID(IF(AND(G441&lt;&gt;"Accepted",G441&lt;&gt;"Not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Confirmed",IF($E442="PTA",IF(AND(OR(I442="Accepted",I442="Not Needed"),OR(H442="Accepted",H442="Not Needed")),"Registered",IF(OR(OR(I442="Accepted",I442="Received",I442="Needs Correction"),OR(H442="Accepted",H442="Received",H442="Needs Correction")),"In Progress","Not Started")),IF($Q442&gt;=Settings!$C$13,"Legalized",IF($P442&gt;=Settings!$C$12,"Registered",IF($O442&gt;0,"In Progress","Not Started")))))))</f>
        <v/>
      </c>
      <c r="S442" s="32">
        <f>IF($B442="","",COUNTIF(G442:N442,"Received"))</f>
        <v/>
      </c>
      <c r="T442" s="32">
        <f>IF($B442="","",COUNTIF(G442:N442,"Needs Correction"))</f>
        <v/>
      </c>
      <c r="U442" s="33">
        <f>IF($B442="","",IF($D442&lt;&gt;"Yes","",IF($E442="PTA",IF(AND(OR(I442="Accepted",I442="Not Needed"),OR(H442="Accepted",H442="Not Needed")),"None",MID(IF(AND(I442&lt;&gt;"Accepted",I442&lt;&gt;"Not Needed"),", "&amp;I$1,"")&amp;IF(AND(H442&lt;&gt;"Accepted",H442&lt;&gt;"Not Needed"),", "&amp;H$1,""),3,400)),IF($Q442&gt;=Settings!$C$13,"None",MID(IF(AND(G442&lt;&gt;"Accepted",G442&lt;&gt;"Not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Confirmed",IF($E443="PTA",IF(AND(OR(I443="Accepted",I443="Not Needed"),OR(H443="Accepted",H443="Not Needed")),"Registered",IF(OR(OR(I443="Accepted",I443="Received",I443="Needs Correction"),OR(H443="Accepted",H443="Received",H443="Needs Correction")),"In Progress","Not Started")),IF($Q443&gt;=Settings!$C$13,"Legalized",IF($P443&gt;=Settings!$C$12,"Registered",IF($O443&gt;0,"In Progress","Not Started")))))))</f>
        <v/>
      </c>
      <c r="S443" s="32">
        <f>IF($B443="","",COUNTIF(G443:N443,"Received"))</f>
        <v/>
      </c>
      <c r="T443" s="32">
        <f>IF($B443="","",COUNTIF(G443:N443,"Needs Correction"))</f>
        <v/>
      </c>
      <c r="U443" s="33">
        <f>IF($B443="","",IF($D443&lt;&gt;"Yes","",IF($E443="PTA",IF(AND(OR(I443="Accepted",I443="Not Needed"),OR(H443="Accepted",H443="Not Needed")),"None",MID(IF(AND(I443&lt;&gt;"Accepted",I443&lt;&gt;"Not Needed"),", "&amp;I$1,"")&amp;IF(AND(H443&lt;&gt;"Accepted",H443&lt;&gt;"Not Needed"),", "&amp;H$1,""),3,400)),IF($Q443&gt;=Settings!$C$13,"None",MID(IF(AND(G443&lt;&gt;"Accepted",G443&lt;&gt;"Not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Confirmed",IF($E444="PTA",IF(AND(OR(I444="Accepted",I444="Not Needed"),OR(H444="Accepted",H444="Not Needed")),"Registered",IF(OR(OR(I444="Accepted",I444="Received",I444="Needs Correction"),OR(H444="Accepted",H444="Received",H444="Needs Correction")),"In Progress","Not Started")),IF($Q444&gt;=Settings!$C$13,"Legalized",IF($P444&gt;=Settings!$C$12,"Registered",IF($O444&gt;0,"In Progress","Not Started")))))))</f>
        <v/>
      </c>
      <c r="S444" s="32">
        <f>IF($B444="","",COUNTIF(G444:N444,"Received"))</f>
        <v/>
      </c>
      <c r="T444" s="32">
        <f>IF($B444="","",COUNTIF(G444:N444,"Needs Correction"))</f>
        <v/>
      </c>
      <c r="U444" s="33">
        <f>IF($B444="","",IF($D444&lt;&gt;"Yes","",IF($E444="PTA",IF(AND(OR(I444="Accepted",I444="Not Needed"),OR(H444="Accepted",H444="Not Needed")),"None",MID(IF(AND(I444&lt;&gt;"Accepted",I444&lt;&gt;"Not Needed"),", "&amp;I$1,"")&amp;IF(AND(H444&lt;&gt;"Accepted",H444&lt;&gt;"Not Needed"),", "&amp;H$1,""),3,400)),IF($Q444&gt;=Settings!$C$13,"None",MID(IF(AND(G444&lt;&gt;"Accepted",G444&lt;&gt;"Not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Confirmed",IF($E445="PTA",IF(AND(OR(I445="Accepted",I445="Not Needed"),OR(H445="Accepted",H445="Not Needed")),"Registered",IF(OR(OR(I445="Accepted",I445="Received",I445="Needs Correction"),OR(H445="Accepted",H445="Received",H445="Needs Correction")),"In Progress","Not Started")),IF($Q445&gt;=Settings!$C$13,"Legalized",IF($P445&gt;=Settings!$C$12,"Registered",IF($O445&gt;0,"In Progress","Not Started")))))))</f>
        <v/>
      </c>
      <c r="S445" s="32">
        <f>IF($B445="","",COUNTIF(G445:N445,"Received"))</f>
        <v/>
      </c>
      <c r="T445" s="32">
        <f>IF($B445="","",COUNTIF(G445:N445,"Needs Correction"))</f>
        <v/>
      </c>
      <c r="U445" s="33">
        <f>IF($B445="","",IF($D445&lt;&gt;"Yes","",IF($E445="PTA",IF(AND(OR(I445="Accepted",I445="Not Needed"),OR(H445="Accepted",H445="Not Needed")),"None",MID(IF(AND(I445&lt;&gt;"Accepted",I445&lt;&gt;"Not Needed"),", "&amp;I$1,"")&amp;IF(AND(H445&lt;&gt;"Accepted",H445&lt;&gt;"Not Needed"),", "&amp;H$1,""),3,400)),IF($Q445&gt;=Settings!$C$13,"None",MID(IF(AND(G445&lt;&gt;"Accepted",G445&lt;&gt;"Not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Confirmed",IF($E446="PTA",IF(AND(OR(I446="Accepted",I446="Not Needed"),OR(H446="Accepted",H446="Not Needed")),"Registered",IF(OR(OR(I446="Accepted",I446="Received",I446="Needs Correction"),OR(H446="Accepted",H446="Received",H446="Needs Correction")),"In Progress","Not Started")),IF($Q446&gt;=Settings!$C$13,"Legalized",IF($P446&gt;=Settings!$C$12,"Registered",IF($O446&gt;0,"In Progress","Not Started")))))))</f>
        <v/>
      </c>
      <c r="S446" s="32">
        <f>IF($B446="","",COUNTIF(G446:N446,"Received"))</f>
        <v/>
      </c>
      <c r="T446" s="32">
        <f>IF($B446="","",COUNTIF(G446:N446,"Needs Correction"))</f>
        <v/>
      </c>
      <c r="U446" s="33">
        <f>IF($B446="","",IF($D446&lt;&gt;"Yes","",IF($E446="PTA",IF(AND(OR(I446="Accepted",I446="Not Needed"),OR(H446="Accepted",H446="Not Needed")),"None",MID(IF(AND(I446&lt;&gt;"Accepted",I446&lt;&gt;"Not Needed"),", "&amp;I$1,"")&amp;IF(AND(H446&lt;&gt;"Accepted",H446&lt;&gt;"Not Needed"),", "&amp;H$1,""),3,400)),IF($Q446&gt;=Settings!$C$13,"None",MID(IF(AND(G446&lt;&gt;"Accepted",G446&lt;&gt;"Not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Confirmed",IF($E447="PTA",IF(AND(OR(I447="Accepted",I447="Not Needed"),OR(H447="Accepted",H447="Not Needed")),"Registered",IF(OR(OR(I447="Accepted",I447="Received",I447="Needs Correction"),OR(H447="Accepted",H447="Received",H447="Needs Correction")),"In Progress","Not Started")),IF($Q447&gt;=Settings!$C$13,"Legalized",IF($P447&gt;=Settings!$C$12,"Registered",IF($O447&gt;0,"In Progress","Not Started")))))))</f>
        <v/>
      </c>
      <c r="S447" s="32">
        <f>IF($B447="","",COUNTIF(G447:N447,"Received"))</f>
        <v/>
      </c>
      <c r="T447" s="32">
        <f>IF($B447="","",COUNTIF(G447:N447,"Needs Correction"))</f>
        <v/>
      </c>
      <c r="U447" s="33">
        <f>IF($B447="","",IF($D447&lt;&gt;"Yes","",IF($E447="PTA",IF(AND(OR(I447="Accepted",I447="Not Needed"),OR(H447="Accepted",H447="Not Needed")),"None",MID(IF(AND(I447&lt;&gt;"Accepted",I447&lt;&gt;"Not Needed"),", "&amp;I$1,"")&amp;IF(AND(H447&lt;&gt;"Accepted",H447&lt;&gt;"Not Needed"),", "&amp;H$1,""),3,400)),IF($Q447&gt;=Settings!$C$13,"None",MID(IF(AND(G447&lt;&gt;"Accepted",G447&lt;&gt;"Not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Confirmed",IF($E448="PTA",IF(AND(OR(I448="Accepted",I448="Not Needed"),OR(H448="Accepted",H448="Not Needed")),"Registered",IF(OR(OR(I448="Accepted",I448="Received",I448="Needs Correction"),OR(H448="Accepted",H448="Received",H448="Needs Correction")),"In Progress","Not Started")),IF($Q448&gt;=Settings!$C$13,"Legalized",IF($P448&gt;=Settings!$C$12,"Registered",IF($O448&gt;0,"In Progress","Not Started")))))))</f>
        <v/>
      </c>
      <c r="S448" s="32">
        <f>IF($B448="","",COUNTIF(G448:N448,"Received"))</f>
        <v/>
      </c>
      <c r="T448" s="32">
        <f>IF($B448="","",COUNTIF(G448:N448,"Needs Correction"))</f>
        <v/>
      </c>
      <c r="U448" s="33">
        <f>IF($B448="","",IF($D448&lt;&gt;"Yes","",IF($E448="PTA",IF(AND(OR(I448="Accepted",I448="Not Needed"),OR(H448="Accepted",H448="Not Needed")),"None",MID(IF(AND(I448&lt;&gt;"Accepted",I448&lt;&gt;"Not Needed"),", "&amp;I$1,"")&amp;IF(AND(H448&lt;&gt;"Accepted",H448&lt;&gt;"Not Needed"),", "&amp;H$1,""),3,400)),IF($Q448&gt;=Settings!$C$13,"None",MID(IF(AND(G448&lt;&gt;"Accepted",G448&lt;&gt;"Not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Confirmed",IF($E449="PTA",IF(AND(OR(I449="Accepted",I449="Not Needed"),OR(H449="Accepted",H449="Not Needed")),"Registered",IF(OR(OR(I449="Accepted",I449="Received",I449="Needs Correction"),OR(H449="Accepted",H449="Received",H449="Needs Correction")),"In Progress","Not Started")),IF($Q449&gt;=Settings!$C$13,"Legalized",IF($P449&gt;=Settings!$C$12,"Registered",IF($O449&gt;0,"In Progress","Not Started")))))))</f>
        <v/>
      </c>
      <c r="S449" s="32">
        <f>IF($B449="","",COUNTIF(G449:N449,"Received"))</f>
        <v/>
      </c>
      <c r="T449" s="32">
        <f>IF($B449="","",COUNTIF(G449:N449,"Needs Correction"))</f>
        <v/>
      </c>
      <c r="U449" s="33">
        <f>IF($B449="","",IF($D449&lt;&gt;"Yes","",IF($E449="PTA",IF(AND(OR(I449="Accepted",I449="Not Needed"),OR(H449="Accepted",H449="Not Needed")),"None",MID(IF(AND(I449&lt;&gt;"Accepted",I449&lt;&gt;"Not Needed"),", "&amp;I$1,"")&amp;IF(AND(H449&lt;&gt;"Accepted",H449&lt;&gt;"Not Needed"),", "&amp;H$1,""),3,400)),IF($Q449&gt;=Settings!$C$13,"None",MID(IF(AND(G449&lt;&gt;"Accepted",G449&lt;&gt;"Not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Confirmed",IF($E450="PTA",IF(AND(OR(I450="Accepted",I450="Not Needed"),OR(H450="Accepted",H450="Not Needed")),"Registered",IF(OR(OR(I450="Accepted",I450="Received",I450="Needs Correction"),OR(H450="Accepted",H450="Received",H450="Needs Correction")),"In Progress","Not Started")),IF($Q450&gt;=Settings!$C$13,"Legalized",IF($P450&gt;=Settings!$C$12,"Registered",IF($O450&gt;0,"In Progress","Not Started")))))))</f>
        <v/>
      </c>
      <c r="S450" s="32">
        <f>IF($B450="","",COUNTIF(G450:N450,"Received"))</f>
        <v/>
      </c>
      <c r="T450" s="32">
        <f>IF($B450="","",COUNTIF(G450:N450,"Needs Correction"))</f>
        <v/>
      </c>
      <c r="U450" s="33">
        <f>IF($B450="","",IF($D450&lt;&gt;"Yes","",IF($E450="PTA",IF(AND(OR(I450="Accepted",I450="Not Needed"),OR(H450="Accepted",H450="Not Needed")),"None",MID(IF(AND(I450&lt;&gt;"Accepted",I450&lt;&gt;"Not Needed"),", "&amp;I$1,"")&amp;IF(AND(H450&lt;&gt;"Accepted",H450&lt;&gt;"Not Needed"),", "&amp;H$1,""),3,400)),IF($Q450&gt;=Settings!$C$13,"None",MID(IF(AND(G450&lt;&gt;"Accepted",G450&lt;&gt;"Not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Confirmed",IF($E451="PTA",IF(AND(OR(I451="Accepted",I451="Not Needed"),OR(H451="Accepted",H451="Not Needed")),"Registered",IF(OR(OR(I451="Accepted",I451="Received",I451="Needs Correction"),OR(H451="Accepted",H451="Received",H451="Needs Correction")),"In Progress","Not Started")),IF($Q451&gt;=Settings!$C$13,"Legalized",IF($P451&gt;=Settings!$C$12,"Registered",IF($O451&gt;0,"In Progress","Not Started")))))))</f>
        <v/>
      </c>
      <c r="S451" s="32">
        <f>IF($B451="","",COUNTIF(G451:N451,"Received"))</f>
        <v/>
      </c>
      <c r="T451" s="32">
        <f>IF($B451="","",COUNTIF(G451:N451,"Needs Correction"))</f>
        <v/>
      </c>
      <c r="U451" s="33">
        <f>IF($B451="","",IF($D451&lt;&gt;"Yes","",IF($E451="PTA",IF(AND(OR(I451="Accepted",I451="Not Needed"),OR(H451="Accepted",H451="Not Needed")),"None",MID(IF(AND(I451&lt;&gt;"Accepted",I451&lt;&gt;"Not Needed"),", "&amp;I$1,"")&amp;IF(AND(H451&lt;&gt;"Accepted",H451&lt;&gt;"Not Needed"),", "&amp;H$1,""),3,400)),IF($Q451&gt;=Settings!$C$13,"None",MID(IF(AND(G451&lt;&gt;"Accepted",G451&lt;&gt;"Not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Confirmed",IF($E452="PTA",IF(AND(OR(I452="Accepted",I452="Not Needed"),OR(H452="Accepted",H452="Not Needed")),"Registered",IF(OR(OR(I452="Accepted",I452="Received",I452="Needs Correction"),OR(H452="Accepted",H452="Received",H452="Needs Correction")),"In Progress","Not Started")),IF($Q452&gt;=Settings!$C$13,"Legalized",IF($P452&gt;=Settings!$C$12,"Registered",IF($O452&gt;0,"In Progress","Not Started")))))))</f>
        <v/>
      </c>
      <c r="S452" s="32">
        <f>IF($B452="","",COUNTIF(G452:N452,"Received"))</f>
        <v/>
      </c>
      <c r="T452" s="32">
        <f>IF($B452="","",COUNTIF(G452:N452,"Needs Correction"))</f>
        <v/>
      </c>
      <c r="U452" s="33">
        <f>IF($B452="","",IF($D452&lt;&gt;"Yes","",IF($E452="PTA",IF(AND(OR(I452="Accepted",I452="Not Needed"),OR(H452="Accepted",H452="Not Needed")),"None",MID(IF(AND(I452&lt;&gt;"Accepted",I452&lt;&gt;"Not Needed"),", "&amp;I$1,"")&amp;IF(AND(H452&lt;&gt;"Accepted",H452&lt;&gt;"Not Needed"),", "&amp;H$1,""),3,400)),IF($Q452&gt;=Settings!$C$13,"None",MID(IF(AND(G452&lt;&gt;"Accepted",G452&lt;&gt;"Not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Confirmed",IF($E453="PTA",IF(AND(OR(I453="Accepted",I453="Not Needed"),OR(H453="Accepted",H453="Not Needed")),"Registered",IF(OR(OR(I453="Accepted",I453="Received",I453="Needs Correction"),OR(H453="Accepted",H453="Received",H453="Needs Correction")),"In Progress","Not Started")),IF($Q453&gt;=Settings!$C$13,"Legalized",IF($P453&gt;=Settings!$C$12,"Registered",IF($O453&gt;0,"In Progress","Not Started")))))))</f>
        <v/>
      </c>
      <c r="S453" s="32">
        <f>IF($B453="","",COUNTIF(G453:N453,"Received"))</f>
        <v/>
      </c>
      <c r="T453" s="32">
        <f>IF($B453="","",COUNTIF(G453:N453,"Needs Correction"))</f>
        <v/>
      </c>
      <c r="U453" s="33">
        <f>IF($B453="","",IF($D453&lt;&gt;"Yes","",IF($E453="PTA",IF(AND(OR(I453="Accepted",I453="Not Needed"),OR(H453="Accepted",H453="Not Needed")),"None",MID(IF(AND(I453&lt;&gt;"Accepted",I453&lt;&gt;"Not Needed"),", "&amp;I$1,"")&amp;IF(AND(H453&lt;&gt;"Accepted",H453&lt;&gt;"Not Needed"),", "&amp;H$1,""),3,400)),IF($Q453&gt;=Settings!$C$13,"None",MID(IF(AND(G453&lt;&gt;"Accepted",G453&lt;&gt;"Not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Confirmed",IF($E454="PTA",IF(AND(OR(I454="Accepted",I454="Not Needed"),OR(H454="Accepted",H454="Not Needed")),"Registered",IF(OR(OR(I454="Accepted",I454="Received",I454="Needs Correction"),OR(H454="Accepted",H454="Received",H454="Needs Correction")),"In Progress","Not Started")),IF($Q454&gt;=Settings!$C$13,"Legalized",IF($P454&gt;=Settings!$C$12,"Registered",IF($O454&gt;0,"In Progress","Not Started")))))))</f>
        <v/>
      </c>
      <c r="S454" s="32">
        <f>IF($B454="","",COUNTIF(G454:N454,"Received"))</f>
        <v/>
      </c>
      <c r="T454" s="32">
        <f>IF($B454="","",COUNTIF(G454:N454,"Needs Correction"))</f>
        <v/>
      </c>
      <c r="U454" s="33">
        <f>IF($B454="","",IF($D454&lt;&gt;"Yes","",IF($E454="PTA",IF(AND(OR(I454="Accepted",I454="Not Needed"),OR(H454="Accepted",H454="Not Needed")),"None",MID(IF(AND(I454&lt;&gt;"Accepted",I454&lt;&gt;"Not Needed"),", "&amp;I$1,"")&amp;IF(AND(H454&lt;&gt;"Accepted",H454&lt;&gt;"Not Needed"),", "&amp;H$1,""),3,400)),IF($Q454&gt;=Settings!$C$13,"None",MID(IF(AND(G454&lt;&gt;"Accepted",G454&lt;&gt;"Not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Confirmed",IF($E455="PTA",IF(AND(OR(I455="Accepted",I455="Not Needed"),OR(H455="Accepted",H455="Not Needed")),"Registered",IF(OR(OR(I455="Accepted",I455="Received",I455="Needs Correction"),OR(H455="Accepted",H455="Received",H455="Needs Correction")),"In Progress","Not Started")),IF($Q455&gt;=Settings!$C$13,"Legalized",IF($P455&gt;=Settings!$C$12,"Registered",IF($O455&gt;0,"In Progress","Not Started")))))))</f>
        <v/>
      </c>
      <c r="S455" s="32">
        <f>IF($B455="","",COUNTIF(G455:N455,"Received"))</f>
        <v/>
      </c>
      <c r="T455" s="32">
        <f>IF($B455="","",COUNTIF(G455:N455,"Needs Correction"))</f>
        <v/>
      </c>
      <c r="U455" s="33">
        <f>IF($B455="","",IF($D455&lt;&gt;"Yes","",IF($E455="PTA",IF(AND(OR(I455="Accepted",I455="Not Needed"),OR(H455="Accepted",H455="Not Needed")),"None",MID(IF(AND(I455&lt;&gt;"Accepted",I455&lt;&gt;"Not Needed"),", "&amp;I$1,"")&amp;IF(AND(H455&lt;&gt;"Accepted",H455&lt;&gt;"Not Needed"),", "&amp;H$1,""),3,400)),IF($Q455&gt;=Settings!$C$13,"None",MID(IF(AND(G455&lt;&gt;"Accepted",G455&lt;&gt;"Not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Confirmed",IF($E456="PTA",IF(AND(OR(I456="Accepted",I456="Not Needed"),OR(H456="Accepted",H456="Not Needed")),"Registered",IF(OR(OR(I456="Accepted",I456="Received",I456="Needs Correction"),OR(H456="Accepted",H456="Received",H456="Needs Correction")),"In Progress","Not Started")),IF($Q456&gt;=Settings!$C$13,"Legalized",IF($P456&gt;=Settings!$C$12,"Registered",IF($O456&gt;0,"In Progress","Not Started")))))))</f>
        <v/>
      </c>
      <c r="S456" s="32">
        <f>IF($B456="","",COUNTIF(G456:N456,"Received"))</f>
        <v/>
      </c>
      <c r="T456" s="32">
        <f>IF($B456="","",COUNTIF(G456:N456,"Needs Correction"))</f>
        <v/>
      </c>
      <c r="U456" s="33">
        <f>IF($B456="","",IF($D456&lt;&gt;"Yes","",IF($E456="PTA",IF(AND(OR(I456="Accepted",I456="Not Needed"),OR(H456="Accepted",H456="Not Needed")),"None",MID(IF(AND(I456&lt;&gt;"Accepted",I456&lt;&gt;"Not Needed"),", "&amp;I$1,"")&amp;IF(AND(H456&lt;&gt;"Accepted",H456&lt;&gt;"Not Needed"),", "&amp;H$1,""),3,400)),IF($Q456&gt;=Settings!$C$13,"None",MID(IF(AND(G456&lt;&gt;"Accepted",G456&lt;&gt;"Not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Confirmed",IF($E457="PTA",IF(AND(OR(I457="Accepted",I457="Not Needed"),OR(H457="Accepted",H457="Not Needed")),"Registered",IF(OR(OR(I457="Accepted",I457="Received",I457="Needs Correction"),OR(H457="Accepted",H457="Received",H457="Needs Correction")),"In Progress","Not Started")),IF($Q457&gt;=Settings!$C$13,"Legalized",IF($P457&gt;=Settings!$C$12,"Registered",IF($O457&gt;0,"In Progress","Not Started")))))))</f>
        <v/>
      </c>
      <c r="S457" s="32">
        <f>IF($B457="","",COUNTIF(G457:N457,"Received"))</f>
        <v/>
      </c>
      <c r="T457" s="32">
        <f>IF($B457="","",COUNTIF(G457:N457,"Needs Correction"))</f>
        <v/>
      </c>
      <c r="U457" s="33">
        <f>IF($B457="","",IF($D457&lt;&gt;"Yes","",IF($E457="PTA",IF(AND(OR(I457="Accepted",I457="Not Needed"),OR(H457="Accepted",H457="Not Needed")),"None",MID(IF(AND(I457&lt;&gt;"Accepted",I457&lt;&gt;"Not Needed"),", "&amp;I$1,"")&amp;IF(AND(H457&lt;&gt;"Accepted",H457&lt;&gt;"Not Needed"),", "&amp;H$1,""),3,400)),IF($Q457&gt;=Settings!$C$13,"None",MID(IF(AND(G457&lt;&gt;"Accepted",G457&lt;&gt;"Not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Confirmed",IF($E458="PTA",IF(AND(OR(I458="Accepted",I458="Not Needed"),OR(H458="Accepted",H458="Not Needed")),"Registered",IF(OR(OR(I458="Accepted",I458="Received",I458="Needs Correction"),OR(H458="Accepted",H458="Received",H458="Needs Correction")),"In Progress","Not Started")),IF($Q458&gt;=Settings!$C$13,"Legalized",IF($P458&gt;=Settings!$C$12,"Registered",IF($O458&gt;0,"In Progress","Not Started")))))))</f>
        <v/>
      </c>
      <c r="S458" s="32">
        <f>IF($B458="","",COUNTIF(G458:N458,"Received"))</f>
        <v/>
      </c>
      <c r="T458" s="32">
        <f>IF($B458="","",COUNTIF(G458:N458,"Needs Correction"))</f>
        <v/>
      </c>
      <c r="U458" s="33">
        <f>IF($B458="","",IF($D458&lt;&gt;"Yes","",IF($E458="PTA",IF(AND(OR(I458="Accepted",I458="Not Needed"),OR(H458="Accepted",H458="Not Needed")),"None",MID(IF(AND(I458&lt;&gt;"Accepted",I458&lt;&gt;"Not Needed"),", "&amp;I$1,"")&amp;IF(AND(H458&lt;&gt;"Accepted",H458&lt;&gt;"Not Needed"),", "&amp;H$1,""),3,400)),IF($Q458&gt;=Settings!$C$13,"None",MID(IF(AND(G458&lt;&gt;"Accepted",G458&lt;&gt;"Not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Confirmed",IF($E459="PTA",IF(AND(OR(I459="Accepted",I459="Not Needed"),OR(H459="Accepted",H459="Not Needed")),"Registered",IF(OR(OR(I459="Accepted",I459="Received",I459="Needs Correction"),OR(H459="Accepted",H459="Received",H459="Needs Correction")),"In Progress","Not Started")),IF($Q459&gt;=Settings!$C$13,"Legalized",IF($P459&gt;=Settings!$C$12,"Registered",IF($O459&gt;0,"In Progress","Not Started")))))))</f>
        <v/>
      </c>
      <c r="S459" s="32">
        <f>IF($B459="","",COUNTIF(G459:N459,"Received"))</f>
        <v/>
      </c>
      <c r="T459" s="32">
        <f>IF($B459="","",COUNTIF(G459:N459,"Needs Correction"))</f>
        <v/>
      </c>
      <c r="U459" s="33">
        <f>IF($B459="","",IF($D459&lt;&gt;"Yes","",IF($E459="PTA",IF(AND(OR(I459="Accepted",I459="Not Needed"),OR(H459="Accepted",H459="Not Needed")),"None",MID(IF(AND(I459&lt;&gt;"Accepted",I459&lt;&gt;"Not Needed"),", "&amp;I$1,"")&amp;IF(AND(H459&lt;&gt;"Accepted",H459&lt;&gt;"Not Needed"),", "&amp;H$1,""),3,400)),IF($Q459&gt;=Settings!$C$13,"None",MID(IF(AND(G459&lt;&gt;"Accepted",G459&lt;&gt;"Not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Confirmed",IF($E460="PTA",IF(AND(OR(I460="Accepted",I460="Not Needed"),OR(H460="Accepted",H460="Not Needed")),"Registered",IF(OR(OR(I460="Accepted",I460="Received",I460="Needs Correction"),OR(H460="Accepted",H460="Received",H460="Needs Correction")),"In Progress","Not Started")),IF($Q460&gt;=Settings!$C$13,"Legalized",IF($P460&gt;=Settings!$C$12,"Registered",IF($O460&gt;0,"In Progress","Not Started")))))))</f>
        <v/>
      </c>
      <c r="S460" s="32">
        <f>IF($B460="","",COUNTIF(G460:N460,"Received"))</f>
        <v/>
      </c>
      <c r="T460" s="32">
        <f>IF($B460="","",COUNTIF(G460:N460,"Needs Correction"))</f>
        <v/>
      </c>
      <c r="U460" s="33">
        <f>IF($B460="","",IF($D460&lt;&gt;"Yes","",IF($E460="PTA",IF(AND(OR(I460="Accepted",I460="Not Needed"),OR(H460="Accepted",H460="Not Needed")),"None",MID(IF(AND(I460&lt;&gt;"Accepted",I460&lt;&gt;"Not Needed"),", "&amp;I$1,"")&amp;IF(AND(H460&lt;&gt;"Accepted",H460&lt;&gt;"Not Needed"),", "&amp;H$1,""),3,400)),IF($Q460&gt;=Settings!$C$13,"None",MID(IF(AND(G460&lt;&gt;"Accepted",G460&lt;&gt;"Not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Confirmed",IF($E461="PTA",IF(AND(OR(I461="Accepted",I461="Not Needed"),OR(H461="Accepted",H461="Not Needed")),"Registered",IF(OR(OR(I461="Accepted",I461="Received",I461="Needs Correction"),OR(H461="Accepted",H461="Received",H461="Needs Correction")),"In Progress","Not Started")),IF($Q461&gt;=Settings!$C$13,"Legalized",IF($P461&gt;=Settings!$C$12,"Registered",IF($O461&gt;0,"In Progress","Not Started")))))))</f>
        <v/>
      </c>
      <c r="S461" s="32">
        <f>IF($B461="","",COUNTIF(G461:N461,"Received"))</f>
        <v/>
      </c>
      <c r="T461" s="32">
        <f>IF($B461="","",COUNTIF(G461:N461,"Needs Correction"))</f>
        <v/>
      </c>
      <c r="U461" s="33">
        <f>IF($B461="","",IF($D461&lt;&gt;"Yes","",IF($E461="PTA",IF(AND(OR(I461="Accepted",I461="Not Needed"),OR(H461="Accepted",H461="Not Needed")),"None",MID(IF(AND(I461&lt;&gt;"Accepted",I461&lt;&gt;"Not Needed"),", "&amp;I$1,"")&amp;IF(AND(H461&lt;&gt;"Accepted",H461&lt;&gt;"Not Needed"),", "&amp;H$1,""),3,400)),IF($Q461&gt;=Settings!$C$13,"None",MID(IF(AND(G461&lt;&gt;"Accepted",G461&lt;&gt;"Not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Confirmed",IF($E462="PTA",IF(AND(OR(I462="Accepted",I462="Not Needed"),OR(H462="Accepted",H462="Not Needed")),"Registered",IF(OR(OR(I462="Accepted",I462="Received",I462="Needs Correction"),OR(H462="Accepted",H462="Received",H462="Needs Correction")),"In Progress","Not Started")),IF($Q462&gt;=Settings!$C$13,"Legalized",IF($P462&gt;=Settings!$C$12,"Registered",IF($O462&gt;0,"In Progress","Not Started")))))))</f>
        <v/>
      </c>
      <c r="S462" s="32">
        <f>IF($B462="","",COUNTIF(G462:N462,"Received"))</f>
        <v/>
      </c>
      <c r="T462" s="32">
        <f>IF($B462="","",COUNTIF(G462:N462,"Needs Correction"))</f>
        <v/>
      </c>
      <c r="U462" s="33">
        <f>IF($B462="","",IF($D462&lt;&gt;"Yes","",IF($E462="PTA",IF(AND(OR(I462="Accepted",I462="Not Needed"),OR(H462="Accepted",H462="Not Needed")),"None",MID(IF(AND(I462&lt;&gt;"Accepted",I462&lt;&gt;"Not Needed"),", "&amp;I$1,"")&amp;IF(AND(H462&lt;&gt;"Accepted",H462&lt;&gt;"Not Needed"),", "&amp;H$1,""),3,400)),IF($Q462&gt;=Settings!$C$13,"None",MID(IF(AND(G462&lt;&gt;"Accepted",G462&lt;&gt;"Not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Confirmed",IF($E463="PTA",IF(AND(OR(I463="Accepted",I463="Not Needed"),OR(H463="Accepted",H463="Not Needed")),"Registered",IF(OR(OR(I463="Accepted",I463="Received",I463="Needs Correction"),OR(H463="Accepted",H463="Received",H463="Needs Correction")),"In Progress","Not Started")),IF($Q463&gt;=Settings!$C$13,"Legalized",IF($P463&gt;=Settings!$C$12,"Registered",IF($O463&gt;0,"In Progress","Not Started")))))))</f>
        <v/>
      </c>
      <c r="S463" s="32">
        <f>IF($B463="","",COUNTIF(G463:N463,"Received"))</f>
        <v/>
      </c>
      <c r="T463" s="32">
        <f>IF($B463="","",COUNTIF(G463:N463,"Needs Correction"))</f>
        <v/>
      </c>
      <c r="U463" s="33">
        <f>IF($B463="","",IF($D463&lt;&gt;"Yes","",IF($E463="PTA",IF(AND(OR(I463="Accepted",I463="Not Needed"),OR(H463="Accepted",H463="Not Needed")),"None",MID(IF(AND(I463&lt;&gt;"Accepted",I463&lt;&gt;"Not Needed"),", "&amp;I$1,"")&amp;IF(AND(H463&lt;&gt;"Accepted",H463&lt;&gt;"Not Needed"),", "&amp;H$1,""),3,400)),IF($Q463&gt;=Settings!$C$13,"None",MID(IF(AND(G463&lt;&gt;"Accepted",G463&lt;&gt;"Not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Confirmed",IF($E464="PTA",IF(AND(OR(I464="Accepted",I464="Not Needed"),OR(H464="Accepted",H464="Not Needed")),"Registered",IF(OR(OR(I464="Accepted",I464="Received",I464="Needs Correction"),OR(H464="Accepted",H464="Received",H464="Needs Correction")),"In Progress","Not Started")),IF($Q464&gt;=Settings!$C$13,"Legalized",IF($P464&gt;=Settings!$C$12,"Registered",IF($O464&gt;0,"In Progress","Not Started")))))))</f>
        <v/>
      </c>
      <c r="S464" s="32">
        <f>IF($B464="","",COUNTIF(G464:N464,"Received"))</f>
        <v/>
      </c>
      <c r="T464" s="32">
        <f>IF($B464="","",COUNTIF(G464:N464,"Needs Correction"))</f>
        <v/>
      </c>
      <c r="U464" s="33">
        <f>IF($B464="","",IF($D464&lt;&gt;"Yes","",IF($E464="PTA",IF(AND(OR(I464="Accepted",I464="Not Needed"),OR(H464="Accepted",H464="Not Needed")),"None",MID(IF(AND(I464&lt;&gt;"Accepted",I464&lt;&gt;"Not Needed"),", "&amp;I$1,"")&amp;IF(AND(H464&lt;&gt;"Accepted",H464&lt;&gt;"Not Needed"),", "&amp;H$1,""),3,400)),IF($Q464&gt;=Settings!$C$13,"None",MID(IF(AND(G464&lt;&gt;"Accepted",G464&lt;&gt;"Not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Confirmed",IF($E465="PTA",IF(AND(OR(I465="Accepted",I465="Not Needed"),OR(H465="Accepted",H465="Not Needed")),"Registered",IF(OR(OR(I465="Accepted",I465="Received",I465="Needs Correction"),OR(H465="Accepted",H465="Received",H465="Needs Correction")),"In Progress","Not Started")),IF($Q465&gt;=Settings!$C$13,"Legalized",IF($P465&gt;=Settings!$C$12,"Registered",IF($O465&gt;0,"In Progress","Not Started")))))))</f>
        <v/>
      </c>
      <c r="S465" s="32">
        <f>IF($B465="","",COUNTIF(G465:N465,"Received"))</f>
        <v/>
      </c>
      <c r="T465" s="32">
        <f>IF($B465="","",COUNTIF(G465:N465,"Needs Correction"))</f>
        <v/>
      </c>
      <c r="U465" s="33">
        <f>IF($B465="","",IF($D465&lt;&gt;"Yes","",IF($E465="PTA",IF(AND(OR(I465="Accepted",I465="Not Needed"),OR(H465="Accepted",H465="Not Needed")),"None",MID(IF(AND(I465&lt;&gt;"Accepted",I465&lt;&gt;"Not Needed"),", "&amp;I$1,"")&amp;IF(AND(H465&lt;&gt;"Accepted",H465&lt;&gt;"Not Needed"),", "&amp;H$1,""),3,400)),IF($Q465&gt;=Settings!$C$13,"None",MID(IF(AND(G465&lt;&gt;"Accepted",G465&lt;&gt;"Not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Confirmed",IF($E466="PTA",IF(AND(OR(I466="Accepted",I466="Not Needed"),OR(H466="Accepted",H466="Not Needed")),"Registered",IF(OR(OR(I466="Accepted",I466="Received",I466="Needs Correction"),OR(H466="Accepted",H466="Received",H466="Needs Correction")),"In Progress","Not Started")),IF($Q466&gt;=Settings!$C$13,"Legalized",IF($P466&gt;=Settings!$C$12,"Registered",IF($O466&gt;0,"In Progress","Not Started")))))))</f>
        <v/>
      </c>
      <c r="S466" s="32">
        <f>IF($B466="","",COUNTIF(G466:N466,"Received"))</f>
        <v/>
      </c>
      <c r="T466" s="32">
        <f>IF($B466="","",COUNTIF(G466:N466,"Needs Correction"))</f>
        <v/>
      </c>
      <c r="U466" s="33">
        <f>IF($B466="","",IF($D466&lt;&gt;"Yes","",IF($E466="PTA",IF(AND(OR(I466="Accepted",I466="Not Needed"),OR(H466="Accepted",H466="Not Needed")),"None",MID(IF(AND(I466&lt;&gt;"Accepted",I466&lt;&gt;"Not Needed"),", "&amp;I$1,"")&amp;IF(AND(H466&lt;&gt;"Accepted",H466&lt;&gt;"Not Needed"),", "&amp;H$1,""),3,400)),IF($Q466&gt;=Settings!$C$13,"None",MID(IF(AND(G466&lt;&gt;"Accepted",G466&lt;&gt;"Not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Confirmed",IF($E467="PTA",IF(AND(OR(I467="Accepted",I467="Not Needed"),OR(H467="Accepted",H467="Not Needed")),"Registered",IF(OR(OR(I467="Accepted",I467="Received",I467="Needs Correction"),OR(H467="Accepted",H467="Received",H467="Needs Correction")),"In Progress","Not Started")),IF($Q467&gt;=Settings!$C$13,"Legalized",IF($P467&gt;=Settings!$C$12,"Registered",IF($O467&gt;0,"In Progress","Not Started")))))))</f>
        <v/>
      </c>
      <c r="S467" s="32">
        <f>IF($B467="","",COUNTIF(G467:N467,"Received"))</f>
        <v/>
      </c>
      <c r="T467" s="32">
        <f>IF($B467="","",COUNTIF(G467:N467,"Needs Correction"))</f>
        <v/>
      </c>
      <c r="U467" s="33">
        <f>IF($B467="","",IF($D467&lt;&gt;"Yes","",IF($E467="PTA",IF(AND(OR(I467="Accepted",I467="Not Needed"),OR(H467="Accepted",H467="Not Needed")),"None",MID(IF(AND(I467&lt;&gt;"Accepted",I467&lt;&gt;"Not Needed"),", "&amp;I$1,"")&amp;IF(AND(H467&lt;&gt;"Accepted",H467&lt;&gt;"Not Needed"),", "&amp;H$1,""),3,400)),IF($Q467&gt;=Settings!$C$13,"None",MID(IF(AND(G467&lt;&gt;"Accepted",G467&lt;&gt;"Not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Confirmed",IF($E468="PTA",IF(AND(OR(I468="Accepted",I468="Not Needed"),OR(H468="Accepted",H468="Not Needed")),"Registered",IF(OR(OR(I468="Accepted",I468="Received",I468="Needs Correction"),OR(H468="Accepted",H468="Received",H468="Needs Correction")),"In Progress","Not Started")),IF($Q468&gt;=Settings!$C$13,"Legalized",IF($P468&gt;=Settings!$C$12,"Registered",IF($O468&gt;0,"In Progress","Not Started")))))))</f>
        <v/>
      </c>
      <c r="S468" s="32">
        <f>IF($B468="","",COUNTIF(G468:N468,"Received"))</f>
        <v/>
      </c>
      <c r="T468" s="32">
        <f>IF($B468="","",COUNTIF(G468:N468,"Needs Correction"))</f>
        <v/>
      </c>
      <c r="U468" s="33">
        <f>IF($B468="","",IF($D468&lt;&gt;"Yes","",IF($E468="PTA",IF(AND(OR(I468="Accepted",I468="Not Needed"),OR(H468="Accepted",H468="Not Needed")),"None",MID(IF(AND(I468&lt;&gt;"Accepted",I468&lt;&gt;"Not Needed"),", "&amp;I$1,"")&amp;IF(AND(H468&lt;&gt;"Accepted",H468&lt;&gt;"Not Needed"),", "&amp;H$1,""),3,400)),IF($Q468&gt;=Settings!$C$13,"None",MID(IF(AND(G468&lt;&gt;"Accepted",G468&lt;&gt;"Not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Confirmed",IF($E469="PTA",IF(AND(OR(I469="Accepted",I469="Not Needed"),OR(H469="Accepted",H469="Not Needed")),"Registered",IF(OR(OR(I469="Accepted",I469="Received",I469="Needs Correction"),OR(H469="Accepted",H469="Received",H469="Needs Correction")),"In Progress","Not Started")),IF($Q469&gt;=Settings!$C$13,"Legalized",IF($P469&gt;=Settings!$C$12,"Registered",IF($O469&gt;0,"In Progress","Not Started")))))))</f>
        <v/>
      </c>
      <c r="S469" s="32">
        <f>IF($B469="","",COUNTIF(G469:N469,"Received"))</f>
        <v/>
      </c>
      <c r="T469" s="32">
        <f>IF($B469="","",COUNTIF(G469:N469,"Needs Correction"))</f>
        <v/>
      </c>
      <c r="U469" s="33">
        <f>IF($B469="","",IF($D469&lt;&gt;"Yes","",IF($E469="PTA",IF(AND(OR(I469="Accepted",I469="Not Needed"),OR(H469="Accepted",H469="Not Needed")),"None",MID(IF(AND(I469&lt;&gt;"Accepted",I469&lt;&gt;"Not Needed"),", "&amp;I$1,"")&amp;IF(AND(H469&lt;&gt;"Accepted",H469&lt;&gt;"Not Needed"),", "&amp;H$1,""),3,400)),IF($Q469&gt;=Settings!$C$13,"None",MID(IF(AND(G469&lt;&gt;"Accepted",G469&lt;&gt;"Not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Confirmed",IF($E470="PTA",IF(AND(OR(I470="Accepted",I470="Not Needed"),OR(H470="Accepted",H470="Not Needed")),"Registered",IF(OR(OR(I470="Accepted",I470="Received",I470="Needs Correction"),OR(H470="Accepted",H470="Received",H470="Needs Correction")),"In Progress","Not Started")),IF($Q470&gt;=Settings!$C$13,"Legalized",IF($P470&gt;=Settings!$C$12,"Registered",IF($O470&gt;0,"In Progress","Not Started")))))))</f>
        <v/>
      </c>
      <c r="S470" s="32">
        <f>IF($B470="","",COUNTIF(G470:N470,"Received"))</f>
        <v/>
      </c>
      <c r="T470" s="32">
        <f>IF($B470="","",COUNTIF(G470:N470,"Needs Correction"))</f>
        <v/>
      </c>
      <c r="U470" s="33">
        <f>IF($B470="","",IF($D470&lt;&gt;"Yes","",IF($E470="PTA",IF(AND(OR(I470="Accepted",I470="Not Needed"),OR(H470="Accepted",H470="Not Needed")),"None",MID(IF(AND(I470&lt;&gt;"Accepted",I470&lt;&gt;"Not Needed"),", "&amp;I$1,"")&amp;IF(AND(H470&lt;&gt;"Accepted",H470&lt;&gt;"Not Needed"),", "&amp;H$1,""),3,400)),IF($Q470&gt;=Settings!$C$13,"None",MID(IF(AND(G470&lt;&gt;"Accepted",G470&lt;&gt;"Not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Confirmed",IF($E471="PTA",IF(AND(OR(I471="Accepted",I471="Not Needed"),OR(H471="Accepted",H471="Not Needed")),"Registered",IF(OR(OR(I471="Accepted",I471="Received",I471="Needs Correction"),OR(H471="Accepted",H471="Received",H471="Needs Correction")),"In Progress","Not Started")),IF($Q471&gt;=Settings!$C$13,"Legalized",IF($P471&gt;=Settings!$C$12,"Registered",IF($O471&gt;0,"In Progress","Not Started")))))))</f>
        <v/>
      </c>
      <c r="S471" s="32">
        <f>IF($B471="","",COUNTIF(G471:N471,"Received"))</f>
        <v/>
      </c>
      <c r="T471" s="32">
        <f>IF($B471="","",COUNTIF(G471:N471,"Needs Correction"))</f>
        <v/>
      </c>
      <c r="U471" s="33">
        <f>IF($B471="","",IF($D471&lt;&gt;"Yes","",IF($E471="PTA",IF(AND(OR(I471="Accepted",I471="Not Needed"),OR(H471="Accepted",H471="Not Needed")),"None",MID(IF(AND(I471&lt;&gt;"Accepted",I471&lt;&gt;"Not Needed"),", "&amp;I$1,"")&amp;IF(AND(H471&lt;&gt;"Accepted",H471&lt;&gt;"Not Needed"),", "&amp;H$1,""),3,400)),IF($Q471&gt;=Settings!$C$13,"None",MID(IF(AND(G471&lt;&gt;"Accepted",G471&lt;&gt;"Not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Confirmed",IF($E472="PTA",IF(AND(OR(I472="Accepted",I472="Not Needed"),OR(H472="Accepted",H472="Not Needed")),"Registered",IF(OR(OR(I472="Accepted",I472="Received",I472="Needs Correction"),OR(H472="Accepted",H472="Received",H472="Needs Correction")),"In Progress","Not Started")),IF($Q472&gt;=Settings!$C$13,"Legalized",IF($P472&gt;=Settings!$C$12,"Registered",IF($O472&gt;0,"In Progress","Not Started")))))))</f>
        <v/>
      </c>
      <c r="S472" s="32">
        <f>IF($B472="","",COUNTIF(G472:N472,"Received"))</f>
        <v/>
      </c>
      <c r="T472" s="32">
        <f>IF($B472="","",COUNTIF(G472:N472,"Needs Correction"))</f>
        <v/>
      </c>
      <c r="U472" s="33">
        <f>IF($B472="","",IF($D472&lt;&gt;"Yes","",IF($E472="PTA",IF(AND(OR(I472="Accepted",I472="Not Needed"),OR(H472="Accepted",H472="Not Needed")),"None",MID(IF(AND(I472&lt;&gt;"Accepted",I472&lt;&gt;"Not Needed"),", "&amp;I$1,"")&amp;IF(AND(H472&lt;&gt;"Accepted",H472&lt;&gt;"Not Needed"),", "&amp;H$1,""),3,400)),IF($Q472&gt;=Settings!$C$13,"None",MID(IF(AND(G472&lt;&gt;"Accepted",G472&lt;&gt;"Not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Confirmed",IF($E473="PTA",IF(AND(OR(I473="Accepted",I473="Not Needed"),OR(H473="Accepted",H473="Not Needed")),"Registered",IF(OR(OR(I473="Accepted",I473="Received",I473="Needs Correction"),OR(H473="Accepted",H473="Received",H473="Needs Correction")),"In Progress","Not Started")),IF($Q473&gt;=Settings!$C$13,"Legalized",IF($P473&gt;=Settings!$C$12,"Registered",IF($O473&gt;0,"In Progress","Not Started")))))))</f>
        <v/>
      </c>
      <c r="S473" s="32">
        <f>IF($B473="","",COUNTIF(G473:N473,"Received"))</f>
        <v/>
      </c>
      <c r="T473" s="32">
        <f>IF($B473="","",COUNTIF(G473:N473,"Needs Correction"))</f>
        <v/>
      </c>
      <c r="U473" s="33">
        <f>IF($B473="","",IF($D473&lt;&gt;"Yes","",IF($E473="PTA",IF(AND(OR(I473="Accepted",I473="Not Needed"),OR(H473="Accepted",H473="Not Needed")),"None",MID(IF(AND(I473&lt;&gt;"Accepted",I473&lt;&gt;"Not Needed"),", "&amp;I$1,"")&amp;IF(AND(H473&lt;&gt;"Accepted",H473&lt;&gt;"Not Needed"),", "&amp;H$1,""),3,400)),IF($Q473&gt;=Settings!$C$13,"None",MID(IF(AND(G473&lt;&gt;"Accepted",G473&lt;&gt;"Not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Confirmed",IF($E474="PTA",IF(AND(OR(I474="Accepted",I474="Not Needed"),OR(H474="Accepted",H474="Not Needed")),"Registered",IF(OR(OR(I474="Accepted",I474="Received",I474="Needs Correction"),OR(H474="Accepted",H474="Received",H474="Needs Correction")),"In Progress","Not Started")),IF($Q474&gt;=Settings!$C$13,"Legalized",IF($P474&gt;=Settings!$C$12,"Registered",IF($O474&gt;0,"In Progress","Not Started")))))))</f>
        <v/>
      </c>
      <c r="S474" s="32">
        <f>IF($B474="","",COUNTIF(G474:N474,"Received"))</f>
        <v/>
      </c>
      <c r="T474" s="32">
        <f>IF($B474="","",COUNTIF(G474:N474,"Needs Correction"))</f>
        <v/>
      </c>
      <c r="U474" s="33">
        <f>IF($B474="","",IF($D474&lt;&gt;"Yes","",IF($E474="PTA",IF(AND(OR(I474="Accepted",I474="Not Needed"),OR(H474="Accepted",H474="Not Needed")),"None",MID(IF(AND(I474&lt;&gt;"Accepted",I474&lt;&gt;"Not Needed"),", "&amp;I$1,"")&amp;IF(AND(H474&lt;&gt;"Accepted",H474&lt;&gt;"Not Needed"),", "&amp;H$1,""),3,400)),IF($Q474&gt;=Settings!$C$13,"None",MID(IF(AND(G474&lt;&gt;"Accepted",G474&lt;&gt;"Not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Confirmed",IF($E475="PTA",IF(AND(OR(I475="Accepted",I475="Not Needed"),OR(H475="Accepted",H475="Not Needed")),"Registered",IF(OR(OR(I475="Accepted",I475="Received",I475="Needs Correction"),OR(H475="Accepted",H475="Received",H475="Needs Correction")),"In Progress","Not Started")),IF($Q475&gt;=Settings!$C$13,"Legalized",IF($P475&gt;=Settings!$C$12,"Registered",IF($O475&gt;0,"In Progress","Not Started")))))))</f>
        <v/>
      </c>
      <c r="S475" s="32">
        <f>IF($B475="","",COUNTIF(G475:N475,"Received"))</f>
        <v/>
      </c>
      <c r="T475" s="32">
        <f>IF($B475="","",COUNTIF(G475:N475,"Needs Correction"))</f>
        <v/>
      </c>
      <c r="U475" s="33">
        <f>IF($B475="","",IF($D475&lt;&gt;"Yes","",IF($E475="PTA",IF(AND(OR(I475="Accepted",I475="Not Needed"),OR(H475="Accepted",H475="Not Needed")),"None",MID(IF(AND(I475&lt;&gt;"Accepted",I475&lt;&gt;"Not Needed"),", "&amp;I$1,"")&amp;IF(AND(H475&lt;&gt;"Accepted",H475&lt;&gt;"Not Needed"),", "&amp;H$1,""),3,400)),IF($Q475&gt;=Settings!$C$13,"None",MID(IF(AND(G475&lt;&gt;"Accepted",G475&lt;&gt;"Not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Confirmed",IF($E476="PTA",IF(AND(OR(I476="Accepted",I476="Not Needed"),OR(H476="Accepted",H476="Not Needed")),"Registered",IF(OR(OR(I476="Accepted",I476="Received",I476="Needs Correction"),OR(H476="Accepted",H476="Received",H476="Needs Correction")),"In Progress","Not Started")),IF($Q476&gt;=Settings!$C$13,"Legalized",IF($P476&gt;=Settings!$C$12,"Registered",IF($O476&gt;0,"In Progress","Not Started")))))))</f>
        <v/>
      </c>
      <c r="S476" s="32">
        <f>IF($B476="","",COUNTIF(G476:N476,"Received"))</f>
        <v/>
      </c>
      <c r="T476" s="32">
        <f>IF($B476="","",COUNTIF(G476:N476,"Needs Correction"))</f>
        <v/>
      </c>
      <c r="U476" s="33">
        <f>IF($B476="","",IF($D476&lt;&gt;"Yes","",IF($E476="PTA",IF(AND(OR(I476="Accepted",I476="Not Needed"),OR(H476="Accepted",H476="Not Needed")),"None",MID(IF(AND(I476&lt;&gt;"Accepted",I476&lt;&gt;"Not Needed"),", "&amp;I$1,"")&amp;IF(AND(H476&lt;&gt;"Accepted",H476&lt;&gt;"Not Needed"),", "&amp;H$1,""),3,400)),IF($Q476&gt;=Settings!$C$13,"None",MID(IF(AND(G476&lt;&gt;"Accepted",G476&lt;&gt;"Not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Confirmed",IF($E477="PTA",IF(AND(OR(I477="Accepted",I477="Not Needed"),OR(H477="Accepted",H477="Not Needed")),"Registered",IF(OR(OR(I477="Accepted",I477="Received",I477="Needs Correction"),OR(H477="Accepted",H477="Received",H477="Needs Correction")),"In Progress","Not Started")),IF($Q477&gt;=Settings!$C$13,"Legalized",IF($P477&gt;=Settings!$C$12,"Registered",IF($O477&gt;0,"In Progress","Not Started")))))))</f>
        <v/>
      </c>
      <c r="S477" s="32">
        <f>IF($B477="","",COUNTIF(G477:N477,"Received"))</f>
        <v/>
      </c>
      <c r="T477" s="32">
        <f>IF($B477="","",COUNTIF(G477:N477,"Needs Correction"))</f>
        <v/>
      </c>
      <c r="U477" s="33">
        <f>IF($B477="","",IF($D477&lt;&gt;"Yes","",IF($E477="PTA",IF(AND(OR(I477="Accepted",I477="Not Needed"),OR(H477="Accepted",H477="Not Needed")),"None",MID(IF(AND(I477&lt;&gt;"Accepted",I477&lt;&gt;"Not Needed"),", "&amp;I$1,"")&amp;IF(AND(H477&lt;&gt;"Accepted",H477&lt;&gt;"Not Needed"),", "&amp;H$1,""),3,400)),IF($Q477&gt;=Settings!$C$13,"None",MID(IF(AND(G477&lt;&gt;"Accepted",G477&lt;&gt;"Not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Confirmed",IF($E478="PTA",IF(AND(OR(I478="Accepted",I478="Not Needed"),OR(H478="Accepted",H478="Not Needed")),"Registered",IF(OR(OR(I478="Accepted",I478="Received",I478="Needs Correction"),OR(H478="Accepted",H478="Received",H478="Needs Correction")),"In Progress","Not Started")),IF($Q478&gt;=Settings!$C$13,"Legalized",IF($P478&gt;=Settings!$C$12,"Registered",IF($O478&gt;0,"In Progress","Not Started")))))))</f>
        <v/>
      </c>
      <c r="S478" s="32">
        <f>IF($B478="","",COUNTIF(G478:N478,"Received"))</f>
        <v/>
      </c>
      <c r="T478" s="32">
        <f>IF($B478="","",COUNTIF(G478:N478,"Needs Correction"))</f>
        <v/>
      </c>
      <c r="U478" s="33">
        <f>IF($B478="","",IF($D478&lt;&gt;"Yes","",IF($E478="PTA",IF(AND(OR(I478="Accepted",I478="Not Needed"),OR(H478="Accepted",H478="Not Needed")),"None",MID(IF(AND(I478&lt;&gt;"Accepted",I478&lt;&gt;"Not Needed"),", "&amp;I$1,"")&amp;IF(AND(H478&lt;&gt;"Accepted",H478&lt;&gt;"Not Needed"),", "&amp;H$1,""),3,400)),IF($Q478&gt;=Settings!$C$13,"None",MID(IF(AND(G478&lt;&gt;"Accepted",G478&lt;&gt;"Not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Confirmed",IF($E479="PTA",IF(AND(OR(I479="Accepted",I479="Not Needed"),OR(H479="Accepted",H479="Not Needed")),"Registered",IF(OR(OR(I479="Accepted",I479="Received",I479="Needs Correction"),OR(H479="Accepted",H479="Received",H479="Needs Correction")),"In Progress","Not Started")),IF($Q479&gt;=Settings!$C$13,"Legalized",IF($P479&gt;=Settings!$C$12,"Registered",IF($O479&gt;0,"In Progress","Not Started")))))))</f>
        <v/>
      </c>
      <c r="S479" s="32">
        <f>IF($B479="","",COUNTIF(G479:N479,"Received"))</f>
        <v/>
      </c>
      <c r="T479" s="32">
        <f>IF($B479="","",COUNTIF(G479:N479,"Needs Correction"))</f>
        <v/>
      </c>
      <c r="U479" s="33">
        <f>IF($B479="","",IF($D479&lt;&gt;"Yes","",IF($E479="PTA",IF(AND(OR(I479="Accepted",I479="Not Needed"),OR(H479="Accepted",H479="Not Needed")),"None",MID(IF(AND(I479&lt;&gt;"Accepted",I479&lt;&gt;"Not Needed"),", "&amp;I$1,"")&amp;IF(AND(H479&lt;&gt;"Accepted",H479&lt;&gt;"Not Needed"),", "&amp;H$1,""),3,400)),IF($Q479&gt;=Settings!$C$13,"None",MID(IF(AND(G479&lt;&gt;"Accepted",G479&lt;&gt;"Not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Confirmed",IF($E480="PTA",IF(AND(OR(I480="Accepted",I480="Not Needed"),OR(H480="Accepted",H480="Not Needed")),"Registered",IF(OR(OR(I480="Accepted",I480="Received",I480="Needs Correction"),OR(H480="Accepted",H480="Received",H480="Needs Correction")),"In Progress","Not Started")),IF($Q480&gt;=Settings!$C$13,"Legalized",IF($P480&gt;=Settings!$C$12,"Registered",IF($O480&gt;0,"In Progress","Not Started")))))))</f>
        <v/>
      </c>
      <c r="S480" s="32">
        <f>IF($B480="","",COUNTIF(G480:N480,"Received"))</f>
        <v/>
      </c>
      <c r="T480" s="32">
        <f>IF($B480="","",COUNTIF(G480:N480,"Needs Correction"))</f>
        <v/>
      </c>
      <c r="U480" s="33">
        <f>IF($B480="","",IF($D480&lt;&gt;"Yes","",IF($E480="PTA",IF(AND(OR(I480="Accepted",I480="Not Needed"),OR(H480="Accepted",H480="Not Needed")),"None",MID(IF(AND(I480&lt;&gt;"Accepted",I480&lt;&gt;"Not Needed"),", "&amp;I$1,"")&amp;IF(AND(H480&lt;&gt;"Accepted",H480&lt;&gt;"Not Needed"),", "&amp;H$1,""),3,400)),IF($Q480&gt;=Settings!$C$13,"None",MID(IF(AND(G480&lt;&gt;"Accepted",G480&lt;&gt;"Not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Confirmed",IF($E481="PTA",IF(AND(OR(I481="Accepted",I481="Not Needed"),OR(H481="Accepted",H481="Not Needed")),"Registered",IF(OR(OR(I481="Accepted",I481="Received",I481="Needs Correction"),OR(H481="Accepted",H481="Received",H481="Needs Correction")),"In Progress","Not Started")),IF($Q481&gt;=Settings!$C$13,"Legalized",IF($P481&gt;=Settings!$C$12,"Registered",IF($O481&gt;0,"In Progress","Not Started")))))))</f>
        <v/>
      </c>
      <c r="S481" s="32">
        <f>IF($B481="","",COUNTIF(G481:N481,"Received"))</f>
        <v/>
      </c>
      <c r="T481" s="32">
        <f>IF($B481="","",COUNTIF(G481:N481,"Needs Correction"))</f>
        <v/>
      </c>
      <c r="U481" s="33">
        <f>IF($B481="","",IF($D481&lt;&gt;"Yes","",IF($E481="PTA",IF(AND(OR(I481="Accepted",I481="Not Needed"),OR(H481="Accepted",H481="Not Needed")),"None",MID(IF(AND(I481&lt;&gt;"Accepted",I481&lt;&gt;"Not Needed"),", "&amp;I$1,"")&amp;IF(AND(H481&lt;&gt;"Accepted",H481&lt;&gt;"Not Needed"),", "&amp;H$1,""),3,400)),IF($Q481&gt;=Settings!$C$13,"None",MID(IF(AND(G481&lt;&gt;"Accepted",G481&lt;&gt;"Not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Confirmed",IF($E482="PTA",IF(AND(OR(I482="Accepted",I482="Not Needed"),OR(H482="Accepted",H482="Not Needed")),"Registered",IF(OR(OR(I482="Accepted",I482="Received",I482="Needs Correction"),OR(H482="Accepted",H482="Received",H482="Needs Correction")),"In Progress","Not Started")),IF($Q482&gt;=Settings!$C$13,"Legalized",IF($P482&gt;=Settings!$C$12,"Registered",IF($O482&gt;0,"In Progress","Not Started")))))))</f>
        <v/>
      </c>
      <c r="S482" s="32">
        <f>IF($B482="","",COUNTIF(G482:N482,"Received"))</f>
        <v/>
      </c>
      <c r="T482" s="32">
        <f>IF($B482="","",COUNTIF(G482:N482,"Needs Correction"))</f>
        <v/>
      </c>
      <c r="U482" s="33">
        <f>IF($B482="","",IF($D482&lt;&gt;"Yes","",IF($E482="PTA",IF(AND(OR(I482="Accepted",I482="Not Needed"),OR(H482="Accepted",H482="Not Needed")),"None",MID(IF(AND(I482&lt;&gt;"Accepted",I482&lt;&gt;"Not Needed"),", "&amp;I$1,"")&amp;IF(AND(H482&lt;&gt;"Accepted",H482&lt;&gt;"Not Needed"),", "&amp;H$1,""),3,400)),IF($Q482&gt;=Settings!$C$13,"None",MID(IF(AND(G482&lt;&gt;"Accepted",G482&lt;&gt;"Not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Confirmed",IF($E483="PTA",IF(AND(OR(I483="Accepted",I483="Not Needed"),OR(H483="Accepted",H483="Not Needed")),"Registered",IF(OR(OR(I483="Accepted",I483="Received",I483="Needs Correction"),OR(H483="Accepted",H483="Received",H483="Needs Correction")),"In Progress","Not Started")),IF($Q483&gt;=Settings!$C$13,"Legalized",IF($P483&gt;=Settings!$C$12,"Registered",IF($O483&gt;0,"In Progress","Not Started")))))))</f>
        <v/>
      </c>
      <c r="S483" s="32">
        <f>IF($B483="","",COUNTIF(G483:N483,"Received"))</f>
        <v/>
      </c>
      <c r="T483" s="32">
        <f>IF($B483="","",COUNTIF(G483:N483,"Needs Correction"))</f>
        <v/>
      </c>
      <c r="U483" s="33">
        <f>IF($B483="","",IF($D483&lt;&gt;"Yes","",IF($E483="PTA",IF(AND(OR(I483="Accepted",I483="Not Needed"),OR(H483="Accepted",H483="Not Needed")),"None",MID(IF(AND(I483&lt;&gt;"Accepted",I483&lt;&gt;"Not Needed"),", "&amp;I$1,"")&amp;IF(AND(H483&lt;&gt;"Accepted",H483&lt;&gt;"Not Needed"),", "&amp;H$1,""),3,400)),IF($Q483&gt;=Settings!$C$13,"None",MID(IF(AND(G483&lt;&gt;"Accepted",G483&lt;&gt;"Not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Confirmed",IF($E484="PTA",IF(AND(OR(I484="Accepted",I484="Not Needed"),OR(H484="Accepted",H484="Not Needed")),"Registered",IF(OR(OR(I484="Accepted",I484="Received",I484="Needs Correction"),OR(H484="Accepted",H484="Received",H484="Needs Correction")),"In Progress","Not Started")),IF($Q484&gt;=Settings!$C$13,"Legalized",IF($P484&gt;=Settings!$C$12,"Registered",IF($O484&gt;0,"In Progress","Not Started")))))))</f>
        <v/>
      </c>
      <c r="S484" s="32">
        <f>IF($B484="","",COUNTIF(G484:N484,"Received"))</f>
        <v/>
      </c>
      <c r="T484" s="32">
        <f>IF($B484="","",COUNTIF(G484:N484,"Needs Correction"))</f>
        <v/>
      </c>
      <c r="U484" s="33">
        <f>IF($B484="","",IF($D484&lt;&gt;"Yes","",IF($E484="PTA",IF(AND(OR(I484="Accepted",I484="Not Needed"),OR(H484="Accepted",H484="Not Needed")),"None",MID(IF(AND(I484&lt;&gt;"Accepted",I484&lt;&gt;"Not Needed"),", "&amp;I$1,"")&amp;IF(AND(H484&lt;&gt;"Accepted",H484&lt;&gt;"Not Needed"),", "&amp;H$1,""),3,400)),IF($Q484&gt;=Settings!$C$13,"None",MID(IF(AND(G484&lt;&gt;"Accepted",G484&lt;&gt;"Not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Confirmed",IF($E485="PTA",IF(AND(OR(I485="Accepted",I485="Not Needed"),OR(H485="Accepted",H485="Not Needed")),"Registered",IF(OR(OR(I485="Accepted",I485="Received",I485="Needs Correction"),OR(H485="Accepted",H485="Received",H485="Needs Correction")),"In Progress","Not Started")),IF($Q485&gt;=Settings!$C$13,"Legalized",IF($P485&gt;=Settings!$C$12,"Registered",IF($O485&gt;0,"In Progress","Not Started")))))))</f>
        <v/>
      </c>
      <c r="S485" s="32">
        <f>IF($B485="","",COUNTIF(G485:N485,"Received"))</f>
        <v/>
      </c>
      <c r="T485" s="32">
        <f>IF($B485="","",COUNTIF(G485:N485,"Needs Correction"))</f>
        <v/>
      </c>
      <c r="U485" s="33">
        <f>IF($B485="","",IF($D485&lt;&gt;"Yes","",IF($E485="PTA",IF(AND(OR(I485="Accepted",I485="Not Needed"),OR(H485="Accepted",H485="Not Needed")),"None",MID(IF(AND(I485&lt;&gt;"Accepted",I485&lt;&gt;"Not Needed"),", "&amp;I$1,"")&amp;IF(AND(H485&lt;&gt;"Accepted",H485&lt;&gt;"Not Needed"),", "&amp;H$1,""),3,400)),IF($Q485&gt;=Settings!$C$13,"None",MID(IF(AND(G485&lt;&gt;"Accepted",G485&lt;&gt;"Not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Confirmed",IF($E486="PTA",IF(AND(OR(I486="Accepted",I486="Not Needed"),OR(H486="Accepted",H486="Not Needed")),"Registered",IF(OR(OR(I486="Accepted",I486="Received",I486="Needs Correction"),OR(H486="Accepted",H486="Received",H486="Needs Correction")),"In Progress","Not Started")),IF($Q486&gt;=Settings!$C$13,"Legalized",IF($P486&gt;=Settings!$C$12,"Registered",IF($O486&gt;0,"In Progress","Not Started")))))))</f>
        <v/>
      </c>
      <c r="S486" s="32">
        <f>IF($B486="","",COUNTIF(G486:N486,"Received"))</f>
        <v/>
      </c>
      <c r="T486" s="32">
        <f>IF($B486="","",COUNTIF(G486:N486,"Needs Correction"))</f>
        <v/>
      </c>
      <c r="U486" s="33">
        <f>IF($B486="","",IF($D486&lt;&gt;"Yes","",IF($E486="PTA",IF(AND(OR(I486="Accepted",I486="Not Needed"),OR(H486="Accepted",H486="Not Needed")),"None",MID(IF(AND(I486&lt;&gt;"Accepted",I486&lt;&gt;"Not Needed"),", "&amp;I$1,"")&amp;IF(AND(H486&lt;&gt;"Accepted",H486&lt;&gt;"Not Needed"),", "&amp;H$1,""),3,400)),IF($Q486&gt;=Settings!$C$13,"None",MID(IF(AND(G486&lt;&gt;"Accepted",G486&lt;&gt;"Not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Confirmed",IF($E487="PTA",IF(AND(OR(I487="Accepted",I487="Not Needed"),OR(H487="Accepted",H487="Not Needed")),"Registered",IF(OR(OR(I487="Accepted",I487="Received",I487="Needs Correction"),OR(H487="Accepted",H487="Received",H487="Needs Correction")),"In Progress","Not Started")),IF($Q487&gt;=Settings!$C$13,"Legalized",IF($P487&gt;=Settings!$C$12,"Registered",IF($O487&gt;0,"In Progress","Not Started")))))))</f>
        <v/>
      </c>
      <c r="S487" s="32">
        <f>IF($B487="","",COUNTIF(G487:N487,"Received"))</f>
        <v/>
      </c>
      <c r="T487" s="32">
        <f>IF($B487="","",COUNTIF(G487:N487,"Needs Correction"))</f>
        <v/>
      </c>
      <c r="U487" s="33">
        <f>IF($B487="","",IF($D487&lt;&gt;"Yes","",IF($E487="PTA",IF(AND(OR(I487="Accepted",I487="Not Needed"),OR(H487="Accepted",H487="Not Needed")),"None",MID(IF(AND(I487&lt;&gt;"Accepted",I487&lt;&gt;"Not Needed"),", "&amp;I$1,"")&amp;IF(AND(H487&lt;&gt;"Accepted",H487&lt;&gt;"Not Needed"),", "&amp;H$1,""),3,400)),IF($Q487&gt;=Settings!$C$13,"None",MID(IF(AND(G487&lt;&gt;"Accepted",G487&lt;&gt;"Not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Confirmed",IF($E488="PTA",IF(AND(OR(I488="Accepted",I488="Not Needed"),OR(H488="Accepted",H488="Not Needed")),"Registered",IF(OR(OR(I488="Accepted",I488="Received",I488="Needs Correction"),OR(H488="Accepted",H488="Received",H488="Needs Correction")),"In Progress","Not Started")),IF($Q488&gt;=Settings!$C$13,"Legalized",IF($P488&gt;=Settings!$C$12,"Registered",IF($O488&gt;0,"In Progress","Not Started")))))))</f>
        <v/>
      </c>
      <c r="S488" s="32">
        <f>IF($B488="","",COUNTIF(G488:N488,"Received"))</f>
        <v/>
      </c>
      <c r="T488" s="32">
        <f>IF($B488="","",COUNTIF(G488:N488,"Needs Correction"))</f>
        <v/>
      </c>
      <c r="U488" s="33">
        <f>IF($B488="","",IF($D488&lt;&gt;"Yes","",IF($E488="PTA",IF(AND(OR(I488="Accepted",I488="Not Needed"),OR(H488="Accepted",H488="Not Needed")),"None",MID(IF(AND(I488&lt;&gt;"Accepted",I488&lt;&gt;"Not Needed"),", "&amp;I$1,"")&amp;IF(AND(H488&lt;&gt;"Accepted",H488&lt;&gt;"Not Needed"),", "&amp;H$1,""),3,400)),IF($Q488&gt;=Settings!$C$13,"None",MID(IF(AND(G488&lt;&gt;"Accepted",G488&lt;&gt;"Not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Confirmed",IF($E489="PTA",IF(AND(OR(I489="Accepted",I489="Not Needed"),OR(H489="Accepted",H489="Not Needed")),"Registered",IF(OR(OR(I489="Accepted",I489="Received",I489="Needs Correction"),OR(H489="Accepted",H489="Received",H489="Needs Correction")),"In Progress","Not Started")),IF($Q489&gt;=Settings!$C$13,"Legalized",IF($P489&gt;=Settings!$C$12,"Registered",IF($O489&gt;0,"In Progress","Not Started")))))))</f>
        <v/>
      </c>
      <c r="S489" s="32">
        <f>IF($B489="","",COUNTIF(G489:N489,"Received"))</f>
        <v/>
      </c>
      <c r="T489" s="32">
        <f>IF($B489="","",COUNTIF(G489:N489,"Needs Correction"))</f>
        <v/>
      </c>
      <c r="U489" s="33">
        <f>IF($B489="","",IF($D489&lt;&gt;"Yes","",IF($E489="PTA",IF(AND(OR(I489="Accepted",I489="Not Needed"),OR(H489="Accepted",H489="Not Needed")),"None",MID(IF(AND(I489&lt;&gt;"Accepted",I489&lt;&gt;"Not Needed"),", "&amp;I$1,"")&amp;IF(AND(H489&lt;&gt;"Accepted",H489&lt;&gt;"Not Needed"),", "&amp;H$1,""),3,400)),IF($Q489&gt;=Settings!$C$13,"None",MID(IF(AND(G489&lt;&gt;"Accepted",G489&lt;&gt;"Not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Confirmed",IF($E490="PTA",IF(AND(OR(I490="Accepted",I490="Not Needed"),OR(H490="Accepted",H490="Not Needed")),"Registered",IF(OR(OR(I490="Accepted",I490="Received",I490="Needs Correction"),OR(H490="Accepted",H490="Received",H490="Needs Correction")),"In Progress","Not Started")),IF($Q490&gt;=Settings!$C$13,"Legalized",IF($P490&gt;=Settings!$C$12,"Registered",IF($O490&gt;0,"In Progress","Not Started")))))))</f>
        <v/>
      </c>
      <c r="S490" s="32">
        <f>IF($B490="","",COUNTIF(G490:N490,"Received"))</f>
        <v/>
      </c>
      <c r="T490" s="32">
        <f>IF($B490="","",COUNTIF(G490:N490,"Needs Correction"))</f>
        <v/>
      </c>
      <c r="U490" s="33">
        <f>IF($B490="","",IF($D490&lt;&gt;"Yes","",IF($E490="PTA",IF(AND(OR(I490="Accepted",I490="Not Needed"),OR(H490="Accepted",H490="Not Needed")),"None",MID(IF(AND(I490&lt;&gt;"Accepted",I490&lt;&gt;"Not Needed"),", "&amp;I$1,"")&amp;IF(AND(H490&lt;&gt;"Accepted",H490&lt;&gt;"Not Needed"),", "&amp;H$1,""),3,400)),IF($Q490&gt;=Settings!$C$13,"None",MID(IF(AND(G490&lt;&gt;"Accepted",G490&lt;&gt;"Not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Confirmed",IF($E491="PTA",IF(AND(OR(I491="Accepted",I491="Not Needed"),OR(H491="Accepted",H491="Not Needed")),"Registered",IF(OR(OR(I491="Accepted",I491="Received",I491="Needs Correction"),OR(H491="Accepted",H491="Received",H491="Needs Correction")),"In Progress","Not Started")),IF($Q491&gt;=Settings!$C$13,"Legalized",IF($P491&gt;=Settings!$C$12,"Registered",IF($O491&gt;0,"In Progress","Not Started")))))))</f>
        <v/>
      </c>
      <c r="S491" s="32">
        <f>IF($B491="","",COUNTIF(G491:N491,"Received"))</f>
        <v/>
      </c>
      <c r="T491" s="32">
        <f>IF($B491="","",COUNTIF(G491:N491,"Needs Correction"))</f>
        <v/>
      </c>
      <c r="U491" s="33">
        <f>IF($B491="","",IF($D491&lt;&gt;"Yes","",IF($E491="PTA",IF(AND(OR(I491="Accepted",I491="Not Needed"),OR(H491="Accepted",H491="Not Needed")),"None",MID(IF(AND(I491&lt;&gt;"Accepted",I491&lt;&gt;"Not Needed"),", "&amp;I$1,"")&amp;IF(AND(H491&lt;&gt;"Accepted",H491&lt;&gt;"Not Needed"),", "&amp;H$1,""),3,400)),IF($Q491&gt;=Settings!$C$13,"None",MID(IF(AND(G491&lt;&gt;"Accepted",G491&lt;&gt;"Not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Confirmed",IF($E492="PTA",IF(AND(OR(I492="Accepted",I492="Not Needed"),OR(H492="Accepted",H492="Not Needed")),"Registered",IF(OR(OR(I492="Accepted",I492="Received",I492="Needs Correction"),OR(H492="Accepted",H492="Received",H492="Needs Correction")),"In Progress","Not Started")),IF($Q492&gt;=Settings!$C$13,"Legalized",IF($P492&gt;=Settings!$C$12,"Registered",IF($O492&gt;0,"In Progress","Not Started")))))))</f>
        <v/>
      </c>
      <c r="S492" s="32">
        <f>IF($B492="","",COUNTIF(G492:N492,"Received"))</f>
        <v/>
      </c>
      <c r="T492" s="32">
        <f>IF($B492="","",COUNTIF(G492:N492,"Needs Correction"))</f>
        <v/>
      </c>
      <c r="U492" s="33">
        <f>IF($B492="","",IF($D492&lt;&gt;"Yes","",IF($E492="PTA",IF(AND(OR(I492="Accepted",I492="Not Needed"),OR(H492="Accepted",H492="Not Needed")),"None",MID(IF(AND(I492&lt;&gt;"Accepted",I492&lt;&gt;"Not Needed"),", "&amp;I$1,"")&amp;IF(AND(H492&lt;&gt;"Accepted",H492&lt;&gt;"Not Needed"),", "&amp;H$1,""),3,400)),IF($Q492&gt;=Settings!$C$13,"None",MID(IF(AND(G492&lt;&gt;"Accepted",G492&lt;&gt;"Not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Confirmed",IF($E493="PTA",IF(AND(OR(I493="Accepted",I493="Not Needed"),OR(H493="Accepted",H493="Not Needed")),"Registered",IF(OR(OR(I493="Accepted",I493="Received",I493="Needs Correction"),OR(H493="Accepted",H493="Received",H493="Needs Correction")),"In Progress","Not Started")),IF($Q493&gt;=Settings!$C$13,"Legalized",IF($P493&gt;=Settings!$C$12,"Registered",IF($O493&gt;0,"In Progress","Not Started")))))))</f>
        <v/>
      </c>
      <c r="S493" s="32">
        <f>IF($B493="","",COUNTIF(G493:N493,"Received"))</f>
        <v/>
      </c>
      <c r="T493" s="32">
        <f>IF($B493="","",COUNTIF(G493:N493,"Needs Correction"))</f>
        <v/>
      </c>
      <c r="U493" s="33">
        <f>IF($B493="","",IF($D493&lt;&gt;"Yes","",IF($E493="PTA",IF(AND(OR(I493="Accepted",I493="Not Needed"),OR(H493="Accepted",H493="Not Needed")),"None",MID(IF(AND(I493&lt;&gt;"Accepted",I493&lt;&gt;"Not Needed"),", "&amp;I$1,"")&amp;IF(AND(H493&lt;&gt;"Accepted",H493&lt;&gt;"Not Needed"),", "&amp;H$1,""),3,400)),IF($Q493&gt;=Settings!$C$13,"None",MID(IF(AND(G493&lt;&gt;"Accepted",G493&lt;&gt;"Not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Confirmed",IF($E494="PTA",IF(AND(OR(I494="Accepted",I494="Not Needed"),OR(H494="Accepted",H494="Not Needed")),"Registered",IF(OR(OR(I494="Accepted",I494="Received",I494="Needs Correction"),OR(H494="Accepted",H494="Received",H494="Needs Correction")),"In Progress","Not Started")),IF($Q494&gt;=Settings!$C$13,"Legalized",IF($P494&gt;=Settings!$C$12,"Registered",IF($O494&gt;0,"In Progress","Not Started")))))))</f>
        <v/>
      </c>
      <c r="S494" s="32">
        <f>IF($B494="","",COUNTIF(G494:N494,"Received"))</f>
        <v/>
      </c>
      <c r="T494" s="32">
        <f>IF($B494="","",COUNTIF(G494:N494,"Needs Correction"))</f>
        <v/>
      </c>
      <c r="U494" s="33">
        <f>IF($B494="","",IF($D494&lt;&gt;"Yes","",IF($E494="PTA",IF(AND(OR(I494="Accepted",I494="Not Needed"),OR(H494="Accepted",H494="Not Needed")),"None",MID(IF(AND(I494&lt;&gt;"Accepted",I494&lt;&gt;"Not Needed"),", "&amp;I$1,"")&amp;IF(AND(H494&lt;&gt;"Accepted",H494&lt;&gt;"Not Needed"),", "&amp;H$1,""),3,400)),IF($Q494&gt;=Settings!$C$13,"None",MID(IF(AND(G494&lt;&gt;"Accepted",G494&lt;&gt;"Not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Confirmed",IF($E495="PTA",IF(AND(OR(I495="Accepted",I495="Not Needed"),OR(H495="Accepted",H495="Not Needed")),"Registered",IF(OR(OR(I495="Accepted",I495="Received",I495="Needs Correction"),OR(H495="Accepted",H495="Received",H495="Needs Correction")),"In Progress","Not Started")),IF($Q495&gt;=Settings!$C$13,"Legalized",IF($P495&gt;=Settings!$C$12,"Registered",IF($O495&gt;0,"In Progress","Not Started")))))))</f>
        <v/>
      </c>
      <c r="S495" s="32">
        <f>IF($B495="","",COUNTIF(G495:N495,"Received"))</f>
        <v/>
      </c>
      <c r="T495" s="32">
        <f>IF($B495="","",COUNTIF(G495:N495,"Needs Correction"))</f>
        <v/>
      </c>
      <c r="U495" s="33">
        <f>IF($B495="","",IF($D495&lt;&gt;"Yes","",IF($E495="PTA",IF(AND(OR(I495="Accepted",I495="Not Needed"),OR(H495="Accepted",H495="Not Needed")),"None",MID(IF(AND(I495&lt;&gt;"Accepted",I495&lt;&gt;"Not Needed"),", "&amp;I$1,"")&amp;IF(AND(H495&lt;&gt;"Accepted",H495&lt;&gt;"Not Needed"),", "&amp;H$1,""),3,400)),IF($Q495&gt;=Settings!$C$13,"None",MID(IF(AND(G495&lt;&gt;"Accepted",G495&lt;&gt;"Not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Confirmed",IF($E496="PTA",IF(AND(OR(I496="Accepted",I496="Not Needed"),OR(H496="Accepted",H496="Not Needed")),"Registered",IF(OR(OR(I496="Accepted",I496="Received",I496="Needs Correction"),OR(H496="Accepted",H496="Received",H496="Needs Correction")),"In Progress","Not Started")),IF($Q496&gt;=Settings!$C$13,"Legalized",IF($P496&gt;=Settings!$C$12,"Registered",IF($O496&gt;0,"In Progress","Not Started")))))))</f>
        <v/>
      </c>
      <c r="S496" s="32">
        <f>IF($B496="","",COUNTIF(G496:N496,"Received"))</f>
        <v/>
      </c>
      <c r="T496" s="32">
        <f>IF($B496="","",COUNTIF(G496:N496,"Needs Correction"))</f>
        <v/>
      </c>
      <c r="U496" s="33">
        <f>IF($B496="","",IF($D496&lt;&gt;"Yes","",IF($E496="PTA",IF(AND(OR(I496="Accepted",I496="Not Needed"),OR(H496="Accepted",H496="Not Needed")),"None",MID(IF(AND(I496&lt;&gt;"Accepted",I496&lt;&gt;"Not Needed"),", "&amp;I$1,"")&amp;IF(AND(H496&lt;&gt;"Accepted",H496&lt;&gt;"Not Needed"),", "&amp;H$1,""),3,400)),IF($Q496&gt;=Settings!$C$13,"None",MID(IF(AND(G496&lt;&gt;"Accepted",G496&lt;&gt;"Not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Confirmed",IF($E497="PTA",IF(AND(OR(I497="Accepted",I497="Not Needed"),OR(H497="Accepted",H497="Not Needed")),"Registered",IF(OR(OR(I497="Accepted",I497="Received",I497="Needs Correction"),OR(H497="Accepted",H497="Received",H497="Needs Correction")),"In Progress","Not Started")),IF($Q497&gt;=Settings!$C$13,"Legalized",IF($P497&gt;=Settings!$C$12,"Registered",IF($O497&gt;0,"In Progress","Not Started")))))))</f>
        <v/>
      </c>
      <c r="S497" s="32">
        <f>IF($B497="","",COUNTIF(G497:N497,"Received"))</f>
        <v/>
      </c>
      <c r="T497" s="32">
        <f>IF($B497="","",COUNTIF(G497:N497,"Needs Correction"))</f>
        <v/>
      </c>
      <c r="U497" s="33">
        <f>IF($B497="","",IF($D497&lt;&gt;"Yes","",IF($E497="PTA",IF(AND(OR(I497="Accepted",I497="Not Needed"),OR(H497="Accepted",H497="Not Needed")),"None",MID(IF(AND(I497&lt;&gt;"Accepted",I497&lt;&gt;"Not Needed"),", "&amp;I$1,"")&amp;IF(AND(H497&lt;&gt;"Accepted",H497&lt;&gt;"Not Needed"),", "&amp;H$1,""),3,400)),IF($Q497&gt;=Settings!$C$13,"None",MID(IF(AND(G497&lt;&gt;"Accepted",G497&lt;&gt;"Not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Confirmed",IF($E498="PTA",IF(AND(OR(I498="Accepted",I498="Not Needed"),OR(H498="Accepted",H498="Not Needed")),"Registered",IF(OR(OR(I498="Accepted",I498="Received",I498="Needs Correction"),OR(H498="Accepted",H498="Received",H498="Needs Correction")),"In Progress","Not Started")),IF($Q498&gt;=Settings!$C$13,"Legalized",IF($P498&gt;=Settings!$C$12,"Registered",IF($O498&gt;0,"In Progress","Not Started")))))))</f>
        <v/>
      </c>
      <c r="S498" s="32">
        <f>IF($B498="","",COUNTIF(G498:N498,"Received"))</f>
        <v/>
      </c>
      <c r="T498" s="32">
        <f>IF($B498="","",COUNTIF(G498:N498,"Needs Correction"))</f>
        <v/>
      </c>
      <c r="U498" s="33">
        <f>IF($B498="","",IF($D498&lt;&gt;"Yes","",IF($E498="PTA",IF(AND(OR(I498="Accepted",I498="Not Needed"),OR(H498="Accepted",H498="Not Needed")),"None",MID(IF(AND(I498&lt;&gt;"Accepted",I498&lt;&gt;"Not Needed"),", "&amp;I$1,"")&amp;IF(AND(H498&lt;&gt;"Accepted",H498&lt;&gt;"Not Needed"),", "&amp;H$1,""),3,400)),IF($Q498&gt;=Settings!$C$13,"None",MID(IF(AND(G498&lt;&gt;"Accepted",G498&lt;&gt;"Not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Confirmed",IF($E499="PTA",IF(AND(OR(I499="Accepted",I499="Not Needed"),OR(H499="Accepted",H499="Not Needed")),"Registered",IF(OR(OR(I499="Accepted",I499="Received",I499="Needs Correction"),OR(H499="Accepted",H499="Received",H499="Needs Correction")),"In Progress","Not Started")),IF($Q499&gt;=Settings!$C$13,"Legalized",IF($P499&gt;=Settings!$C$12,"Registered",IF($O499&gt;0,"In Progress","Not Started")))))))</f>
        <v/>
      </c>
      <c r="S499" s="32">
        <f>IF($B499="","",COUNTIF(G499:N499,"Received"))</f>
        <v/>
      </c>
      <c r="T499" s="32">
        <f>IF($B499="","",COUNTIF(G499:N499,"Needs Correction"))</f>
        <v/>
      </c>
      <c r="U499" s="33">
        <f>IF($B499="","",IF($D499&lt;&gt;"Yes","",IF($E499="PTA",IF(AND(OR(I499="Accepted",I499="Not Needed"),OR(H499="Accepted",H499="Not Needed")),"None",MID(IF(AND(I499&lt;&gt;"Accepted",I499&lt;&gt;"Not Needed"),", "&amp;I$1,"")&amp;IF(AND(H499&lt;&gt;"Accepted",H499&lt;&gt;"Not Needed"),", "&amp;H$1,""),3,400)),IF($Q499&gt;=Settings!$C$13,"None",MID(IF(AND(G499&lt;&gt;"Accepted",G499&lt;&gt;"Not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Confirmed",IF($E500="PTA",IF(AND(OR(I500="Accepted",I500="Not Needed"),OR(H500="Accepted",H500="Not Needed")),"Registered",IF(OR(OR(I500="Accepted",I500="Received",I500="Needs Correction"),OR(H500="Accepted",H500="Received",H500="Needs Correction")),"In Progress","Not Started")),IF($Q500&gt;=Settings!$C$13,"Legalized",IF($P500&gt;=Settings!$C$12,"Registered",IF($O500&gt;0,"In Progress","Not Started")))))))</f>
        <v/>
      </c>
      <c r="S500" s="32">
        <f>IF($B500="","",COUNTIF(G500:N500,"Received"))</f>
        <v/>
      </c>
      <c r="T500" s="32">
        <f>IF($B500="","",COUNTIF(G500:N500,"Needs Correction"))</f>
        <v/>
      </c>
      <c r="U500" s="33">
        <f>IF($B500="","",IF($D500&lt;&gt;"Yes","",IF($E500="PTA",IF(AND(OR(I500="Accepted",I500="Not Needed"),OR(H500="Accepted",H500="Not Needed")),"None",MID(IF(AND(I500&lt;&gt;"Accepted",I500&lt;&gt;"Not Needed"),", "&amp;I$1,"")&amp;IF(AND(H500&lt;&gt;"Accepted",H500&lt;&gt;"Not Needed"),", "&amp;H$1,""),3,400)),IF($Q500&gt;=Settings!$C$13,"None",MID(IF(AND(G500&lt;&gt;"Accepted",G500&lt;&gt;"Not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Confirmed",IF($E501="PTA",IF(AND(OR(I501="Accepted",I501="Not Needed"),OR(H501="Accepted",H501="Not Needed")),"Registered",IF(OR(OR(I501="Accepted",I501="Received",I501="Needs Correction"),OR(H501="Accepted",H501="Received",H501="Needs Correction")),"In Progress","Not Started")),IF($Q501&gt;=Settings!$C$13,"Legalized",IF($P501&gt;=Settings!$C$12,"Registered",IF($O501&gt;0,"In Progress","Not Started")))))))</f>
        <v/>
      </c>
      <c r="S501" s="32">
        <f>IF($B501="","",COUNTIF(G501:N501,"Received"))</f>
        <v/>
      </c>
      <c r="T501" s="32">
        <f>IF($B501="","",COUNTIF(G501:N501,"Needs Correction"))</f>
        <v/>
      </c>
      <c r="U501" s="33">
        <f>IF($B501="","",IF($D501&lt;&gt;"Yes","",IF($E501="PTA",IF(AND(OR(I501="Accepted",I501="Not Needed"),OR(H501="Accepted",H501="Not Needed")),"None",MID(IF(AND(I501&lt;&gt;"Accepted",I501&lt;&gt;"Not Needed"),", "&amp;I$1,"")&amp;IF(AND(H501&lt;&gt;"Accepted",H501&lt;&gt;"Not Needed"),", "&amp;H$1,""),3,400)),IF($Q501&gt;=Settings!$C$13,"None",MID(IF(AND(G501&lt;&gt;"Accepted",G501&lt;&gt;"Not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Confirmed",IF($E502="PTA",IF(AND(OR(I502="Accepted",I502="Not Needed"),OR(H502="Accepted",H502="Not Needed")),"Registered",IF(OR(OR(I502="Accepted",I502="Received",I502="Needs Correction"),OR(H502="Accepted",H502="Received",H502="Needs Correction")),"In Progress","Not Started")),IF($Q502&gt;=Settings!$C$13,"Legalized",IF($P502&gt;=Settings!$C$12,"Registered",IF($O502&gt;0,"In Progress","Not Started")))))))</f>
        <v/>
      </c>
      <c r="S502" s="32">
        <f>IF($B502="","",COUNTIF(G502:N502,"Received"))</f>
        <v/>
      </c>
      <c r="T502" s="32">
        <f>IF($B502="","",COUNTIF(G502:N502,"Needs Correction"))</f>
        <v/>
      </c>
      <c r="U502" s="33">
        <f>IF($B502="","",IF($D502&lt;&gt;"Yes","",IF($E502="PTA",IF(AND(OR(I502="Accepted",I502="Not Needed"),OR(H502="Accepted",H502="Not Needed")),"None",MID(IF(AND(I502&lt;&gt;"Accepted",I502&lt;&gt;"Not Needed"),", "&amp;I$1,"")&amp;IF(AND(H502&lt;&gt;"Accepted",H502&lt;&gt;"Not Needed"),", "&amp;H$1,""),3,400)),IF($Q502&gt;=Settings!$C$13,"None",MID(IF(AND(G502&lt;&gt;"Accepted",G502&lt;&gt;"Not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Confirmed",IF($E503="PTA",IF(AND(OR(I503="Accepted",I503="Not Needed"),OR(H503="Accepted",H503="Not Needed")),"Registered",IF(OR(OR(I503="Accepted",I503="Received",I503="Needs Correction"),OR(H503="Accepted",H503="Received",H503="Needs Correction")),"In Progress","Not Started")),IF($Q503&gt;=Settings!$C$13,"Legalized",IF($P503&gt;=Settings!$C$12,"Registered",IF($O503&gt;0,"In Progress","Not Started")))))))</f>
        <v/>
      </c>
      <c r="S503" s="32">
        <f>IF($B503="","",COUNTIF(G503:N503,"Received"))</f>
        <v/>
      </c>
      <c r="T503" s="32">
        <f>IF($B503="","",COUNTIF(G503:N503,"Needs Correction"))</f>
        <v/>
      </c>
      <c r="U503" s="33">
        <f>IF($B503="","",IF($D503&lt;&gt;"Yes","",IF($E503="PTA",IF(AND(OR(I503="Accepted",I503="Not Needed"),OR(H503="Accepted",H503="Not Needed")),"None",MID(IF(AND(I503&lt;&gt;"Accepted",I503&lt;&gt;"Not Needed"),", "&amp;I$1,"")&amp;IF(AND(H503&lt;&gt;"Accepted",H503&lt;&gt;"Not Needed"),", "&amp;H$1,""),3,400)),IF($Q503&gt;=Settings!$C$13,"None",MID(IF(AND(G503&lt;&gt;"Accepted",G503&lt;&gt;"Not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Confirmed",IF($E504="PTA",IF(AND(OR(I504="Accepted",I504="Not Needed"),OR(H504="Accepted",H504="Not Needed")),"Registered",IF(OR(OR(I504="Accepted",I504="Received",I504="Needs Correction"),OR(H504="Accepted",H504="Received",H504="Needs Correction")),"In Progress","Not Started")),IF($Q504&gt;=Settings!$C$13,"Legalized",IF($P504&gt;=Settings!$C$12,"Registered",IF($O504&gt;0,"In Progress","Not Started")))))))</f>
        <v/>
      </c>
      <c r="S504" s="32">
        <f>IF($B504="","",COUNTIF(G504:N504,"Received"))</f>
        <v/>
      </c>
      <c r="T504" s="32">
        <f>IF($B504="","",COUNTIF(G504:N504,"Needs Correction"))</f>
        <v/>
      </c>
      <c r="U504" s="33">
        <f>IF($B504="","",IF($D504&lt;&gt;"Yes","",IF($E504="PTA",IF(AND(OR(I504="Accepted",I504="Not Needed"),OR(H504="Accepted",H504="Not Needed")),"None",MID(IF(AND(I504&lt;&gt;"Accepted",I504&lt;&gt;"Not Needed"),", "&amp;I$1,"")&amp;IF(AND(H504&lt;&gt;"Accepted",H504&lt;&gt;"Not Needed"),", "&amp;H$1,""),3,400)),IF($Q504&gt;=Settings!$C$13,"None",MID(IF(AND(G504&lt;&gt;"Accepted",G504&lt;&gt;"Not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Confirmed",IF($E505="PTA",IF(AND(OR(I505="Accepted",I505="Not Needed"),OR(H505="Accepted",H505="Not Needed")),"Registered",IF(OR(OR(I505="Accepted",I505="Received",I505="Needs Correction"),OR(H505="Accepted",H505="Received",H505="Needs Correction")),"In Progress","Not Started")),IF($Q505&gt;=Settings!$C$13,"Legalized",IF($P505&gt;=Settings!$C$12,"Registered",IF($O505&gt;0,"In Progress","Not Started")))))))</f>
        <v/>
      </c>
      <c r="S505" s="32">
        <f>IF($B505="","",COUNTIF(G505:N505,"Received"))</f>
        <v/>
      </c>
      <c r="T505" s="32">
        <f>IF($B505="","",COUNTIF(G505:N505,"Needs Correction"))</f>
        <v/>
      </c>
      <c r="U505" s="33">
        <f>IF($B505="","",IF($D505&lt;&gt;"Yes","",IF($E505="PTA",IF(AND(OR(I505="Accepted",I505="Not Needed"),OR(H505="Accepted",H505="Not Needed")),"None",MID(IF(AND(I505&lt;&gt;"Accepted",I505&lt;&gt;"Not Needed"),", "&amp;I$1,"")&amp;IF(AND(H505&lt;&gt;"Accepted",H505&lt;&gt;"Not Needed"),", "&amp;H$1,""),3,400)),IF($Q505&gt;=Settings!$C$13,"None",MID(IF(AND(G505&lt;&gt;"Accepted",G505&lt;&gt;"Not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Confirmed",IF($E506="PTA",IF(AND(OR(I506="Accepted",I506="Not Needed"),OR(H506="Accepted",H506="Not Needed")),"Registered",IF(OR(OR(I506="Accepted",I506="Received",I506="Needs Correction"),OR(H506="Accepted",H506="Received",H506="Needs Correction")),"In Progress","Not Started")),IF($Q506&gt;=Settings!$C$13,"Legalized",IF($P506&gt;=Settings!$C$12,"Registered",IF($O506&gt;0,"In Progress","Not Started")))))))</f>
        <v/>
      </c>
      <c r="S506" s="32">
        <f>IF($B506="","",COUNTIF(G506:N506,"Received"))</f>
        <v/>
      </c>
      <c r="T506" s="32">
        <f>IF($B506="","",COUNTIF(G506:N506,"Needs Correction"))</f>
        <v/>
      </c>
      <c r="U506" s="33">
        <f>IF($B506="","",IF($D506&lt;&gt;"Yes","",IF($E506="PTA",IF(AND(OR(I506="Accepted",I506="Not Needed"),OR(H506="Accepted",H506="Not Needed")),"None",MID(IF(AND(I506&lt;&gt;"Accepted",I506&lt;&gt;"Not Needed"),", "&amp;I$1,"")&amp;IF(AND(H506&lt;&gt;"Accepted",H506&lt;&gt;"Not Needed"),", "&amp;H$1,""),3,400)),IF($Q506&gt;=Settings!$C$13,"None",MID(IF(AND(G506&lt;&gt;"Accepted",G506&lt;&gt;"Not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Confirmed",IF($E507="PTA",IF(AND(OR(I507="Accepted",I507="Not Needed"),OR(H507="Accepted",H507="Not Needed")),"Registered",IF(OR(OR(I507="Accepted",I507="Received",I507="Needs Correction"),OR(H507="Accepted",H507="Received",H507="Needs Correction")),"In Progress","Not Started")),IF($Q507&gt;=Settings!$C$13,"Legalized",IF($P507&gt;=Settings!$C$12,"Registered",IF($O507&gt;0,"In Progress","Not Started")))))))</f>
        <v/>
      </c>
      <c r="S507" s="32">
        <f>IF($B507="","",COUNTIF(G507:N507,"Received"))</f>
        <v/>
      </c>
      <c r="T507" s="32">
        <f>IF($B507="","",COUNTIF(G507:N507,"Needs Correction"))</f>
        <v/>
      </c>
      <c r="U507" s="33">
        <f>IF($B507="","",IF($D507&lt;&gt;"Yes","",IF($E507="PTA",IF(AND(OR(I507="Accepted",I507="Not Needed"),OR(H507="Accepted",H507="Not Needed")),"None",MID(IF(AND(I507&lt;&gt;"Accepted",I507&lt;&gt;"Not Needed"),", "&amp;I$1,"")&amp;IF(AND(H507&lt;&gt;"Accepted",H507&lt;&gt;"Not Needed"),", "&amp;H$1,""),3,400)),IF($Q507&gt;=Settings!$C$13,"None",MID(IF(AND(G507&lt;&gt;"Accepted",G507&lt;&gt;"Not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Confirmed",IF($E508="PTA",IF(AND(OR(I508="Accepted",I508="Not Needed"),OR(H508="Accepted",H508="Not Needed")),"Registered",IF(OR(OR(I508="Accepted",I508="Received",I508="Needs Correction"),OR(H508="Accepted",H508="Received",H508="Needs Correction")),"In Progress","Not Started")),IF($Q508&gt;=Settings!$C$13,"Legalized",IF($P508&gt;=Settings!$C$12,"Registered",IF($O508&gt;0,"In Progress","Not Started")))))))</f>
        <v/>
      </c>
      <c r="S508" s="32">
        <f>IF($B508="","",COUNTIF(G508:N508,"Received"))</f>
        <v/>
      </c>
      <c r="T508" s="32">
        <f>IF($B508="","",COUNTIF(G508:N508,"Needs Correction"))</f>
        <v/>
      </c>
      <c r="U508" s="33">
        <f>IF($B508="","",IF($D508&lt;&gt;"Yes","",IF($E508="PTA",IF(AND(OR(I508="Accepted",I508="Not Needed"),OR(H508="Accepted",H508="Not Needed")),"None",MID(IF(AND(I508&lt;&gt;"Accepted",I508&lt;&gt;"Not Needed"),", "&amp;I$1,"")&amp;IF(AND(H508&lt;&gt;"Accepted",H508&lt;&gt;"Not Needed"),", "&amp;H$1,""),3,400)),IF($Q508&gt;=Settings!$C$13,"None",MID(IF(AND(G508&lt;&gt;"Accepted",G508&lt;&gt;"Not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Confirmed",IF($E509="PTA",IF(AND(OR(I509="Accepted",I509="Not Needed"),OR(H509="Accepted",H509="Not Needed")),"Registered",IF(OR(OR(I509="Accepted",I509="Received",I509="Needs Correction"),OR(H509="Accepted",H509="Received",H509="Needs Correction")),"In Progress","Not Started")),IF($Q509&gt;=Settings!$C$13,"Legalized",IF($P509&gt;=Settings!$C$12,"Registered",IF($O509&gt;0,"In Progress","Not Started")))))))</f>
        <v/>
      </c>
      <c r="S509" s="32">
        <f>IF($B509="","",COUNTIF(G509:N509,"Received"))</f>
        <v/>
      </c>
      <c r="T509" s="32">
        <f>IF($B509="","",COUNTIF(G509:N509,"Needs Correction"))</f>
        <v/>
      </c>
      <c r="U509" s="33">
        <f>IF($B509="","",IF($D509&lt;&gt;"Yes","",IF($E509="PTA",IF(AND(OR(I509="Accepted",I509="Not Needed"),OR(H509="Accepted",H509="Not Needed")),"None",MID(IF(AND(I509&lt;&gt;"Accepted",I509&lt;&gt;"Not Needed"),", "&amp;I$1,"")&amp;IF(AND(H509&lt;&gt;"Accepted",H509&lt;&gt;"Not Needed"),", "&amp;H$1,""),3,400)),IF($Q509&gt;=Settings!$C$13,"None",MID(IF(AND(G509&lt;&gt;"Accepted",G509&lt;&gt;"Not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Confirmed",IF($E510="PTA",IF(AND(OR(I510="Accepted",I510="Not Needed"),OR(H510="Accepted",H510="Not Needed")),"Registered",IF(OR(OR(I510="Accepted",I510="Received",I510="Needs Correction"),OR(H510="Accepted",H510="Received",H510="Needs Correction")),"In Progress","Not Started")),IF($Q510&gt;=Settings!$C$13,"Legalized",IF($P510&gt;=Settings!$C$12,"Registered",IF($O510&gt;0,"In Progress","Not Started")))))))</f>
        <v/>
      </c>
      <c r="S510" s="32">
        <f>IF($B510="","",COUNTIF(G510:N510,"Received"))</f>
        <v/>
      </c>
      <c r="T510" s="32">
        <f>IF($B510="","",COUNTIF(G510:N510,"Needs Correction"))</f>
        <v/>
      </c>
      <c r="U510" s="33">
        <f>IF($B510="","",IF($D510&lt;&gt;"Yes","",IF($E510="PTA",IF(AND(OR(I510="Accepted",I510="Not Needed"),OR(H510="Accepted",H510="Not Needed")),"None",MID(IF(AND(I510&lt;&gt;"Accepted",I510&lt;&gt;"Not Needed"),", "&amp;I$1,"")&amp;IF(AND(H510&lt;&gt;"Accepted",H510&lt;&gt;"Not Needed"),", "&amp;H$1,""),3,400)),IF($Q510&gt;=Settings!$C$13,"None",MID(IF(AND(G510&lt;&gt;"Accepted",G510&lt;&gt;"Not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Confirmed",IF($E511="PTA",IF(AND(OR(I511="Accepted",I511="Not Needed"),OR(H511="Accepted",H511="Not Needed")),"Registered",IF(OR(OR(I511="Accepted",I511="Received",I511="Needs Correction"),OR(H511="Accepted",H511="Received",H511="Needs Correction")),"In Progress","Not Started")),IF($Q511&gt;=Settings!$C$13,"Legalized",IF($P511&gt;=Settings!$C$12,"Registered",IF($O511&gt;0,"In Progress","Not Started")))))))</f>
        <v/>
      </c>
      <c r="S511" s="32">
        <f>IF($B511="","",COUNTIF(G511:N511,"Received"))</f>
        <v/>
      </c>
      <c r="T511" s="32">
        <f>IF($B511="","",COUNTIF(G511:N511,"Needs Correction"))</f>
        <v/>
      </c>
      <c r="U511" s="33">
        <f>IF($B511="","",IF($D511&lt;&gt;"Yes","",IF($E511="PTA",IF(AND(OR(I511="Accepted",I511="Not Needed"),OR(H511="Accepted",H511="Not Needed")),"None",MID(IF(AND(I511&lt;&gt;"Accepted",I511&lt;&gt;"Not Needed"),", "&amp;I$1,"")&amp;IF(AND(H511&lt;&gt;"Accepted",H511&lt;&gt;"Not Needed"),", "&amp;H$1,""),3,400)),IF($Q511&gt;=Settings!$C$13,"None",MID(IF(AND(G511&lt;&gt;"Accepted",G511&lt;&gt;"Not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Confirmed",IF($E512="PTA",IF(AND(OR(I512="Accepted",I512="Not Needed"),OR(H512="Accepted",H512="Not Needed")),"Registered",IF(OR(OR(I512="Accepted",I512="Received",I512="Needs Correction"),OR(H512="Accepted",H512="Received",H512="Needs Correction")),"In Progress","Not Started")),IF($Q512&gt;=Settings!$C$13,"Legalized",IF($P512&gt;=Settings!$C$12,"Registered",IF($O512&gt;0,"In Progress","Not Started")))))))</f>
        <v/>
      </c>
      <c r="S512" s="32">
        <f>IF($B512="","",COUNTIF(G512:N512,"Received"))</f>
        <v/>
      </c>
      <c r="T512" s="32">
        <f>IF($B512="","",COUNTIF(G512:N512,"Needs Correction"))</f>
        <v/>
      </c>
      <c r="U512" s="33">
        <f>IF($B512="","",IF($D512&lt;&gt;"Yes","",IF($E512="PTA",IF(AND(OR(I512="Accepted",I512="Not Needed"),OR(H512="Accepted",H512="Not Needed")),"None",MID(IF(AND(I512&lt;&gt;"Accepted",I512&lt;&gt;"Not Needed"),", "&amp;I$1,"")&amp;IF(AND(H512&lt;&gt;"Accepted",H512&lt;&gt;"Not Needed"),", "&amp;H$1,""),3,400)),IF($Q512&gt;=Settings!$C$13,"None",MID(IF(AND(G512&lt;&gt;"Accepted",G512&lt;&gt;"Not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Confirmed",IF($E513="PTA",IF(AND(OR(I513="Accepted",I513="Not Needed"),OR(H513="Accepted",H513="Not Needed")),"Registered",IF(OR(OR(I513="Accepted",I513="Received",I513="Needs Correction"),OR(H513="Accepted",H513="Received",H513="Needs Correction")),"In Progress","Not Started")),IF($Q513&gt;=Settings!$C$13,"Legalized",IF($P513&gt;=Settings!$C$12,"Registered",IF($O513&gt;0,"In Progress","Not Started")))))))</f>
        <v/>
      </c>
      <c r="S513" s="32">
        <f>IF($B513="","",COUNTIF(G513:N513,"Received"))</f>
        <v/>
      </c>
      <c r="T513" s="32">
        <f>IF($B513="","",COUNTIF(G513:N513,"Needs Correction"))</f>
        <v/>
      </c>
      <c r="U513" s="33">
        <f>IF($B513="","",IF($D513&lt;&gt;"Yes","",IF($E513="PTA",IF(AND(OR(I513="Accepted",I513="Not Needed"),OR(H513="Accepted",H513="Not Needed")),"None",MID(IF(AND(I513&lt;&gt;"Accepted",I513&lt;&gt;"Not Needed"),", "&amp;I$1,"")&amp;IF(AND(H513&lt;&gt;"Accepted",H513&lt;&gt;"Not Needed"),", "&amp;H$1,""),3,400)),IF($Q513&gt;=Settings!$C$13,"None",MID(IF(AND(G513&lt;&gt;"Accepted",G513&lt;&gt;"Not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Confirmed",IF($E514="PTA",IF(AND(OR(I514="Accepted",I514="Not Needed"),OR(H514="Accepted",H514="Not Needed")),"Registered",IF(OR(OR(I514="Accepted",I514="Received",I514="Needs Correction"),OR(H514="Accepted",H514="Received",H514="Needs Correction")),"In Progress","Not Started")),IF($Q514&gt;=Settings!$C$13,"Legalized",IF($P514&gt;=Settings!$C$12,"Registered",IF($O514&gt;0,"In Progress","Not Started")))))))</f>
        <v/>
      </c>
      <c r="S514" s="32">
        <f>IF($B514="","",COUNTIF(G514:N514,"Received"))</f>
        <v/>
      </c>
      <c r="T514" s="32">
        <f>IF($B514="","",COUNTIF(G514:N514,"Needs Correction"))</f>
        <v/>
      </c>
      <c r="U514" s="33">
        <f>IF($B514="","",IF($D514&lt;&gt;"Yes","",IF($E514="PTA",IF(AND(OR(I514="Accepted",I514="Not Needed"),OR(H514="Accepted",H514="Not Needed")),"None",MID(IF(AND(I514&lt;&gt;"Accepted",I514&lt;&gt;"Not Needed"),", "&amp;I$1,"")&amp;IF(AND(H514&lt;&gt;"Accepted",H514&lt;&gt;"Not Needed"),", "&amp;H$1,""),3,400)),IF($Q514&gt;=Settings!$C$13,"None",MID(IF(AND(G514&lt;&gt;"Accepted",G514&lt;&gt;"Not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Confirmed",IF($E515="PTA",IF(AND(OR(I515="Accepted",I515="Not Needed"),OR(H515="Accepted",H515="Not Needed")),"Registered",IF(OR(OR(I515="Accepted",I515="Received",I515="Needs Correction"),OR(H515="Accepted",H515="Received",H515="Needs Correction")),"In Progress","Not Started")),IF($Q515&gt;=Settings!$C$13,"Legalized",IF($P515&gt;=Settings!$C$12,"Registered",IF($O515&gt;0,"In Progress","Not Started")))))))</f>
        <v/>
      </c>
      <c r="S515" s="32">
        <f>IF($B515="","",COUNTIF(G515:N515,"Received"))</f>
        <v/>
      </c>
      <c r="T515" s="32">
        <f>IF($B515="","",COUNTIF(G515:N515,"Needs Correction"))</f>
        <v/>
      </c>
      <c r="U515" s="33">
        <f>IF($B515="","",IF($D515&lt;&gt;"Yes","",IF($E515="PTA",IF(AND(OR(I515="Accepted",I515="Not Needed"),OR(H515="Accepted",H515="Not Needed")),"None",MID(IF(AND(I515&lt;&gt;"Accepted",I515&lt;&gt;"Not Needed"),", "&amp;I$1,"")&amp;IF(AND(H515&lt;&gt;"Accepted",H515&lt;&gt;"Not Needed"),", "&amp;H$1,""),3,400)),IF($Q515&gt;=Settings!$C$13,"None",MID(IF(AND(G515&lt;&gt;"Accepted",G515&lt;&gt;"Not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Confirmed",IF($E516="PTA",IF(AND(OR(I516="Accepted",I516="Not Needed"),OR(H516="Accepted",H516="Not Needed")),"Registered",IF(OR(OR(I516="Accepted",I516="Received",I516="Needs Correction"),OR(H516="Accepted",H516="Received",H516="Needs Correction")),"In Progress","Not Started")),IF($Q516&gt;=Settings!$C$13,"Legalized",IF($P516&gt;=Settings!$C$12,"Registered",IF($O516&gt;0,"In Progress","Not Started")))))))</f>
        <v/>
      </c>
      <c r="S516" s="32">
        <f>IF($B516="","",COUNTIF(G516:N516,"Received"))</f>
        <v/>
      </c>
      <c r="T516" s="32">
        <f>IF($B516="","",COUNTIF(G516:N516,"Needs Correction"))</f>
        <v/>
      </c>
      <c r="U516" s="33">
        <f>IF($B516="","",IF($D516&lt;&gt;"Yes","",IF($E516="PTA",IF(AND(OR(I516="Accepted",I516="Not Needed"),OR(H516="Accepted",H516="Not Needed")),"None",MID(IF(AND(I516&lt;&gt;"Accepted",I516&lt;&gt;"Not Needed"),", "&amp;I$1,"")&amp;IF(AND(H516&lt;&gt;"Accepted",H516&lt;&gt;"Not Needed"),", "&amp;H$1,""),3,400)),IF($Q516&gt;=Settings!$C$13,"None",MID(IF(AND(G516&lt;&gt;"Accepted",G516&lt;&gt;"Not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Confirmed",IF($E517="PTA",IF(AND(OR(I517="Accepted",I517="Not Needed"),OR(H517="Accepted",H517="Not Needed")),"Registered",IF(OR(OR(I517="Accepted",I517="Received",I517="Needs Correction"),OR(H517="Accepted",H517="Received",H517="Needs Correction")),"In Progress","Not Started")),IF($Q517&gt;=Settings!$C$13,"Legalized",IF($P517&gt;=Settings!$C$12,"Registered",IF($O517&gt;0,"In Progress","Not Started")))))))</f>
        <v/>
      </c>
      <c r="S517" s="32">
        <f>IF($B517="","",COUNTIF(G517:N517,"Received"))</f>
        <v/>
      </c>
      <c r="T517" s="32">
        <f>IF($B517="","",COUNTIF(G517:N517,"Needs Correction"))</f>
        <v/>
      </c>
      <c r="U517" s="33">
        <f>IF($B517="","",IF($D517&lt;&gt;"Yes","",IF($E517="PTA",IF(AND(OR(I517="Accepted",I517="Not Needed"),OR(H517="Accepted",H517="Not Needed")),"None",MID(IF(AND(I517&lt;&gt;"Accepted",I517&lt;&gt;"Not Needed"),", "&amp;I$1,"")&amp;IF(AND(H517&lt;&gt;"Accepted",H517&lt;&gt;"Not Needed"),", "&amp;H$1,""),3,400)),IF($Q517&gt;=Settings!$C$13,"None",MID(IF(AND(G517&lt;&gt;"Accepted",G517&lt;&gt;"Not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Confirmed",IF($E518="PTA",IF(AND(OR(I518="Accepted",I518="Not Needed"),OR(H518="Accepted",H518="Not Needed")),"Registered",IF(OR(OR(I518="Accepted",I518="Received",I518="Needs Correction"),OR(H518="Accepted",H518="Received",H518="Needs Correction")),"In Progress","Not Started")),IF($Q518&gt;=Settings!$C$13,"Legalized",IF($P518&gt;=Settings!$C$12,"Registered",IF($O518&gt;0,"In Progress","Not Started")))))))</f>
        <v/>
      </c>
      <c r="S518" s="32">
        <f>IF($B518="","",COUNTIF(G518:N518,"Received"))</f>
        <v/>
      </c>
      <c r="T518" s="32">
        <f>IF($B518="","",COUNTIF(G518:N518,"Needs Correction"))</f>
        <v/>
      </c>
      <c r="U518" s="33">
        <f>IF($B518="","",IF($D518&lt;&gt;"Yes","",IF($E518="PTA",IF(AND(OR(I518="Accepted",I518="Not Needed"),OR(H518="Accepted",H518="Not Needed")),"None",MID(IF(AND(I518&lt;&gt;"Accepted",I518&lt;&gt;"Not Needed"),", "&amp;I$1,"")&amp;IF(AND(H518&lt;&gt;"Accepted",H518&lt;&gt;"Not Needed"),", "&amp;H$1,""),3,400)),IF($Q518&gt;=Settings!$C$13,"None",MID(IF(AND(G518&lt;&gt;"Accepted",G518&lt;&gt;"Not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Confirmed",IF($E519="PTA",IF(AND(OR(I519="Accepted",I519="Not Needed"),OR(H519="Accepted",H519="Not Needed")),"Registered",IF(OR(OR(I519="Accepted",I519="Received",I519="Needs Correction"),OR(H519="Accepted",H519="Received",H519="Needs Correction")),"In Progress","Not Started")),IF($Q519&gt;=Settings!$C$13,"Legalized",IF($P519&gt;=Settings!$C$12,"Registered",IF($O519&gt;0,"In Progress","Not Started")))))))</f>
        <v/>
      </c>
      <c r="S519" s="32">
        <f>IF($B519="","",COUNTIF(G519:N519,"Received"))</f>
        <v/>
      </c>
      <c r="T519" s="32">
        <f>IF($B519="","",COUNTIF(G519:N519,"Needs Correction"))</f>
        <v/>
      </c>
      <c r="U519" s="33">
        <f>IF($B519="","",IF($D519&lt;&gt;"Yes","",IF($E519="PTA",IF(AND(OR(I519="Accepted",I519="Not Needed"),OR(H519="Accepted",H519="Not Needed")),"None",MID(IF(AND(I519&lt;&gt;"Accepted",I519&lt;&gt;"Not Needed"),", "&amp;I$1,"")&amp;IF(AND(H519&lt;&gt;"Accepted",H519&lt;&gt;"Not Needed"),", "&amp;H$1,""),3,400)),IF($Q519&gt;=Settings!$C$13,"None",MID(IF(AND(G519&lt;&gt;"Accepted",G519&lt;&gt;"Not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Confirmed",IF($E520="PTA",IF(AND(OR(I520="Accepted",I520="Not Needed"),OR(H520="Accepted",H520="Not Needed")),"Registered",IF(OR(OR(I520="Accepted",I520="Received",I520="Needs Correction"),OR(H520="Accepted",H520="Received",H520="Needs Correction")),"In Progress","Not Started")),IF($Q520&gt;=Settings!$C$13,"Legalized",IF($P520&gt;=Settings!$C$12,"Registered",IF($O520&gt;0,"In Progress","Not Started")))))))</f>
        <v/>
      </c>
      <c r="S520" s="32">
        <f>IF($B520="","",COUNTIF(G520:N520,"Received"))</f>
        <v/>
      </c>
      <c r="T520" s="32">
        <f>IF($B520="","",COUNTIF(G520:N520,"Needs Correction"))</f>
        <v/>
      </c>
      <c r="U520" s="33">
        <f>IF($B520="","",IF($D520&lt;&gt;"Yes","",IF($E520="PTA",IF(AND(OR(I520="Accepted",I520="Not Needed"),OR(H520="Accepted",H520="Not Needed")),"None",MID(IF(AND(I520&lt;&gt;"Accepted",I520&lt;&gt;"Not Needed"),", "&amp;I$1,"")&amp;IF(AND(H520&lt;&gt;"Accepted",H520&lt;&gt;"Not Needed"),", "&amp;H$1,""),3,400)),IF($Q520&gt;=Settings!$C$13,"None",MID(IF(AND(G520&lt;&gt;"Accepted",G520&lt;&gt;"Not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Confirmed",IF($E521="PTA",IF(AND(OR(I521="Accepted",I521="Not Needed"),OR(H521="Accepted",H521="Not Needed")),"Registered",IF(OR(OR(I521="Accepted",I521="Received",I521="Needs Correction"),OR(H521="Accepted",H521="Received",H521="Needs Correction")),"In Progress","Not Started")),IF($Q521&gt;=Settings!$C$13,"Legalized",IF($P521&gt;=Settings!$C$12,"Registered",IF($O521&gt;0,"In Progress","Not Started")))))))</f>
        <v/>
      </c>
      <c r="S521" s="32">
        <f>IF($B521="","",COUNTIF(G521:N521,"Received"))</f>
        <v/>
      </c>
      <c r="T521" s="32">
        <f>IF($B521="","",COUNTIF(G521:N521,"Needs Correction"))</f>
        <v/>
      </c>
      <c r="U521" s="33">
        <f>IF($B521="","",IF($D521&lt;&gt;"Yes","",IF($E521="PTA",IF(AND(OR(I521="Accepted",I521="Not Needed"),OR(H521="Accepted",H521="Not Needed")),"None",MID(IF(AND(I521&lt;&gt;"Accepted",I521&lt;&gt;"Not Needed"),", "&amp;I$1,"")&amp;IF(AND(H521&lt;&gt;"Accepted",H521&lt;&gt;"Not Needed"),", "&amp;H$1,""),3,400)),IF($Q521&gt;=Settings!$C$13,"None",MID(IF(AND(G521&lt;&gt;"Accepted",G521&lt;&gt;"Not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Confirmed",IF($E522="PTA",IF(AND(OR(I522="Accepted",I522="Not Needed"),OR(H522="Accepted",H522="Not Needed")),"Registered",IF(OR(OR(I522="Accepted",I522="Received",I522="Needs Correction"),OR(H522="Accepted",H522="Received",H522="Needs Correction")),"In Progress","Not Started")),IF($Q522&gt;=Settings!$C$13,"Legalized",IF($P522&gt;=Settings!$C$12,"Registered",IF($O522&gt;0,"In Progress","Not Started")))))))</f>
        <v/>
      </c>
      <c r="S522" s="32">
        <f>IF($B522="","",COUNTIF(G522:N522,"Received"))</f>
        <v/>
      </c>
      <c r="T522" s="32">
        <f>IF($B522="","",COUNTIF(G522:N522,"Needs Correction"))</f>
        <v/>
      </c>
      <c r="U522" s="33">
        <f>IF($B522="","",IF($D522&lt;&gt;"Yes","",IF($E522="PTA",IF(AND(OR(I522="Accepted",I522="Not Needed"),OR(H522="Accepted",H522="Not Needed")),"None",MID(IF(AND(I522&lt;&gt;"Accepted",I522&lt;&gt;"Not Needed"),", "&amp;I$1,"")&amp;IF(AND(H522&lt;&gt;"Accepted",H522&lt;&gt;"Not Needed"),", "&amp;H$1,""),3,400)),IF($Q522&gt;=Settings!$C$13,"None",MID(IF(AND(G522&lt;&gt;"Accepted",G522&lt;&gt;"Not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Confirmed",IF($E523="PTA",IF(AND(OR(I523="Accepted",I523="Not Needed"),OR(H523="Accepted",H523="Not Needed")),"Registered",IF(OR(OR(I523="Accepted",I523="Received",I523="Needs Correction"),OR(H523="Accepted",H523="Received",H523="Needs Correction")),"In Progress","Not Started")),IF($Q523&gt;=Settings!$C$13,"Legalized",IF($P523&gt;=Settings!$C$12,"Registered",IF($O523&gt;0,"In Progress","Not Started")))))))</f>
        <v/>
      </c>
      <c r="S523" s="32">
        <f>IF($B523="","",COUNTIF(G523:N523,"Received"))</f>
        <v/>
      </c>
      <c r="T523" s="32">
        <f>IF($B523="","",COUNTIF(G523:N523,"Needs Correction"))</f>
        <v/>
      </c>
      <c r="U523" s="33">
        <f>IF($B523="","",IF($D523&lt;&gt;"Yes","",IF($E523="PTA",IF(AND(OR(I523="Accepted",I523="Not Needed"),OR(H523="Accepted",H523="Not Needed")),"None",MID(IF(AND(I523&lt;&gt;"Accepted",I523&lt;&gt;"Not Needed"),", "&amp;I$1,"")&amp;IF(AND(H523&lt;&gt;"Accepted",H523&lt;&gt;"Not Needed"),", "&amp;H$1,""),3,400)),IF($Q523&gt;=Settings!$C$13,"None",MID(IF(AND(G523&lt;&gt;"Accepted",G523&lt;&gt;"Not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Confirmed",IF($E524="PTA",IF(AND(OR(I524="Accepted",I524="Not Needed"),OR(H524="Accepted",H524="Not Needed")),"Registered",IF(OR(OR(I524="Accepted",I524="Received",I524="Needs Correction"),OR(H524="Accepted",H524="Received",H524="Needs Correction")),"In Progress","Not Started")),IF($Q524&gt;=Settings!$C$13,"Legalized",IF($P524&gt;=Settings!$C$12,"Registered",IF($O524&gt;0,"In Progress","Not Started")))))))</f>
        <v/>
      </c>
      <c r="S524" s="32">
        <f>IF($B524="","",COUNTIF(G524:N524,"Received"))</f>
        <v/>
      </c>
      <c r="T524" s="32">
        <f>IF($B524="","",COUNTIF(G524:N524,"Needs Correction"))</f>
        <v/>
      </c>
      <c r="U524" s="33">
        <f>IF($B524="","",IF($D524&lt;&gt;"Yes","",IF($E524="PTA",IF(AND(OR(I524="Accepted",I524="Not Needed"),OR(H524="Accepted",H524="Not Needed")),"None",MID(IF(AND(I524&lt;&gt;"Accepted",I524&lt;&gt;"Not Needed"),", "&amp;I$1,"")&amp;IF(AND(H524&lt;&gt;"Accepted",H524&lt;&gt;"Not Needed"),", "&amp;H$1,""),3,400)),IF($Q524&gt;=Settings!$C$13,"None",MID(IF(AND(G524&lt;&gt;"Accepted",G524&lt;&gt;"Not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Confirmed",IF($E525="PTA",IF(AND(OR(I525="Accepted",I525="Not Needed"),OR(H525="Accepted",H525="Not Needed")),"Registered",IF(OR(OR(I525="Accepted",I525="Received",I525="Needs Correction"),OR(H525="Accepted",H525="Received",H525="Needs Correction")),"In Progress","Not Started")),IF($Q525&gt;=Settings!$C$13,"Legalized",IF($P525&gt;=Settings!$C$12,"Registered",IF($O525&gt;0,"In Progress","Not Started")))))))</f>
        <v/>
      </c>
      <c r="S525" s="32">
        <f>IF($B525="","",COUNTIF(G525:N525,"Received"))</f>
        <v/>
      </c>
      <c r="T525" s="32">
        <f>IF($B525="","",COUNTIF(G525:N525,"Needs Correction"))</f>
        <v/>
      </c>
      <c r="U525" s="33">
        <f>IF($B525="","",IF($D525&lt;&gt;"Yes","",IF($E525="PTA",IF(AND(OR(I525="Accepted",I525="Not Needed"),OR(H525="Accepted",H525="Not Needed")),"None",MID(IF(AND(I525&lt;&gt;"Accepted",I525&lt;&gt;"Not Needed"),", "&amp;I$1,"")&amp;IF(AND(H525&lt;&gt;"Accepted",H525&lt;&gt;"Not Needed"),", "&amp;H$1,""),3,400)),IF($Q525&gt;=Settings!$C$13,"None",MID(IF(AND(G525&lt;&gt;"Accepted",G525&lt;&gt;"Not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Confirmed",IF($E526="PTA",IF(AND(OR(I526="Accepted",I526="Not Needed"),OR(H526="Accepted",H526="Not Needed")),"Registered",IF(OR(OR(I526="Accepted",I526="Received",I526="Needs Correction"),OR(H526="Accepted",H526="Received",H526="Needs Correction")),"In Progress","Not Started")),IF($Q526&gt;=Settings!$C$13,"Legalized",IF($P526&gt;=Settings!$C$12,"Registered",IF($O526&gt;0,"In Progress","Not Started")))))))</f>
        <v/>
      </c>
      <c r="S526" s="32">
        <f>IF($B526="","",COUNTIF(G526:N526,"Received"))</f>
        <v/>
      </c>
      <c r="T526" s="32">
        <f>IF($B526="","",COUNTIF(G526:N526,"Needs Correction"))</f>
        <v/>
      </c>
      <c r="U526" s="33">
        <f>IF($B526="","",IF($D526&lt;&gt;"Yes","",IF($E526="PTA",IF(AND(OR(I526="Accepted",I526="Not Needed"),OR(H526="Accepted",H526="Not Needed")),"None",MID(IF(AND(I526&lt;&gt;"Accepted",I526&lt;&gt;"Not Needed"),", "&amp;I$1,"")&amp;IF(AND(H526&lt;&gt;"Accepted",H526&lt;&gt;"Not Needed"),", "&amp;H$1,""),3,400)),IF($Q526&gt;=Settings!$C$13,"None",MID(IF(AND(G526&lt;&gt;"Accepted",G526&lt;&gt;"Not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Confirmed",IF($E527="PTA",IF(AND(OR(I527="Accepted",I527="Not Needed"),OR(H527="Accepted",H527="Not Needed")),"Registered",IF(OR(OR(I527="Accepted",I527="Received",I527="Needs Correction"),OR(H527="Accepted",H527="Received",H527="Needs Correction")),"In Progress","Not Started")),IF($Q527&gt;=Settings!$C$13,"Legalized",IF($P527&gt;=Settings!$C$12,"Registered",IF($O527&gt;0,"In Progress","Not Started")))))))</f>
        <v/>
      </c>
      <c r="S527" s="32">
        <f>IF($B527="","",COUNTIF(G527:N527,"Received"))</f>
        <v/>
      </c>
      <c r="T527" s="32">
        <f>IF($B527="","",COUNTIF(G527:N527,"Needs Correction"))</f>
        <v/>
      </c>
      <c r="U527" s="33">
        <f>IF($B527="","",IF($D527&lt;&gt;"Yes","",IF($E527="PTA",IF(AND(OR(I527="Accepted",I527="Not Needed"),OR(H527="Accepted",H527="Not Needed")),"None",MID(IF(AND(I527&lt;&gt;"Accepted",I527&lt;&gt;"Not Needed"),", "&amp;I$1,"")&amp;IF(AND(H527&lt;&gt;"Accepted",H527&lt;&gt;"Not Needed"),", "&amp;H$1,""),3,400)),IF($Q527&gt;=Settings!$C$13,"None",MID(IF(AND(G527&lt;&gt;"Accepted",G527&lt;&gt;"Not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Confirmed",IF($E528="PTA",IF(AND(OR(I528="Accepted",I528="Not Needed"),OR(H528="Accepted",H528="Not Needed")),"Registered",IF(OR(OR(I528="Accepted",I528="Received",I528="Needs Correction"),OR(H528="Accepted",H528="Received",H528="Needs Correction")),"In Progress","Not Started")),IF($Q528&gt;=Settings!$C$13,"Legalized",IF($P528&gt;=Settings!$C$12,"Registered",IF($O528&gt;0,"In Progress","Not Started")))))))</f>
        <v/>
      </c>
      <c r="S528" s="32">
        <f>IF($B528="","",COUNTIF(G528:N528,"Received"))</f>
        <v/>
      </c>
      <c r="T528" s="32">
        <f>IF($B528="","",COUNTIF(G528:N528,"Needs Correction"))</f>
        <v/>
      </c>
      <c r="U528" s="33">
        <f>IF($B528="","",IF($D528&lt;&gt;"Yes","",IF($E528="PTA",IF(AND(OR(I528="Accepted",I528="Not Needed"),OR(H528="Accepted",H528="Not Needed")),"None",MID(IF(AND(I528&lt;&gt;"Accepted",I528&lt;&gt;"Not Needed"),", "&amp;I$1,"")&amp;IF(AND(H528&lt;&gt;"Accepted",H528&lt;&gt;"Not Needed"),", "&amp;H$1,""),3,400)),IF($Q528&gt;=Settings!$C$13,"None",MID(IF(AND(G528&lt;&gt;"Accepted",G528&lt;&gt;"Not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Confirmed",IF($E529="PTA",IF(AND(OR(I529="Accepted",I529="Not Needed"),OR(H529="Accepted",H529="Not Needed")),"Registered",IF(OR(OR(I529="Accepted",I529="Received",I529="Needs Correction"),OR(H529="Accepted",H529="Received",H529="Needs Correction")),"In Progress","Not Started")),IF($Q529&gt;=Settings!$C$13,"Legalized",IF($P529&gt;=Settings!$C$12,"Registered",IF($O529&gt;0,"In Progress","Not Started")))))))</f>
        <v/>
      </c>
      <c r="S529" s="32">
        <f>IF($B529="","",COUNTIF(G529:N529,"Received"))</f>
        <v/>
      </c>
      <c r="T529" s="32">
        <f>IF($B529="","",COUNTIF(G529:N529,"Needs Correction"))</f>
        <v/>
      </c>
      <c r="U529" s="33">
        <f>IF($B529="","",IF($D529&lt;&gt;"Yes","",IF($E529="PTA",IF(AND(OR(I529="Accepted",I529="Not Needed"),OR(H529="Accepted",H529="Not Needed")),"None",MID(IF(AND(I529&lt;&gt;"Accepted",I529&lt;&gt;"Not Needed"),", "&amp;I$1,"")&amp;IF(AND(H529&lt;&gt;"Accepted",H529&lt;&gt;"Not Needed"),", "&amp;H$1,""),3,400)),IF($Q529&gt;=Settings!$C$13,"None",MID(IF(AND(G529&lt;&gt;"Accepted",G529&lt;&gt;"Not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Confirmed",IF($E530="PTA",IF(AND(OR(I530="Accepted",I530="Not Needed"),OR(H530="Accepted",H530="Not Needed")),"Registered",IF(OR(OR(I530="Accepted",I530="Received",I530="Needs Correction"),OR(H530="Accepted",H530="Received",H530="Needs Correction")),"In Progress","Not Started")),IF($Q530&gt;=Settings!$C$13,"Legalized",IF($P530&gt;=Settings!$C$12,"Registered",IF($O530&gt;0,"In Progress","Not Started")))))))</f>
        <v/>
      </c>
      <c r="S530" s="32">
        <f>IF($B530="","",COUNTIF(G530:N530,"Received"))</f>
        <v/>
      </c>
      <c r="T530" s="32">
        <f>IF($B530="","",COUNTIF(G530:N530,"Needs Correction"))</f>
        <v/>
      </c>
      <c r="U530" s="33">
        <f>IF($B530="","",IF($D530&lt;&gt;"Yes","",IF($E530="PTA",IF(AND(OR(I530="Accepted",I530="Not Needed"),OR(H530="Accepted",H530="Not Needed")),"None",MID(IF(AND(I530&lt;&gt;"Accepted",I530&lt;&gt;"Not Needed"),", "&amp;I$1,"")&amp;IF(AND(H530&lt;&gt;"Accepted",H530&lt;&gt;"Not Needed"),", "&amp;H$1,""),3,400)),IF($Q530&gt;=Settings!$C$13,"None",MID(IF(AND(G530&lt;&gt;"Accepted",G530&lt;&gt;"Not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Confirmed",IF($E531="PTA",IF(AND(OR(I531="Accepted",I531="Not Needed"),OR(H531="Accepted",H531="Not Needed")),"Registered",IF(OR(OR(I531="Accepted",I531="Received",I531="Needs Correction"),OR(H531="Accepted",H531="Received",H531="Needs Correction")),"In Progress","Not Started")),IF($Q531&gt;=Settings!$C$13,"Legalized",IF($P531&gt;=Settings!$C$12,"Registered",IF($O531&gt;0,"In Progress","Not Started")))))))</f>
        <v/>
      </c>
      <c r="S531" s="32">
        <f>IF($B531="","",COUNTIF(G531:N531,"Received"))</f>
        <v/>
      </c>
      <c r="T531" s="32">
        <f>IF($B531="","",COUNTIF(G531:N531,"Needs Correction"))</f>
        <v/>
      </c>
      <c r="U531" s="33">
        <f>IF($B531="","",IF($D531&lt;&gt;"Yes","",IF($E531="PTA",IF(AND(OR(I531="Accepted",I531="Not Needed"),OR(H531="Accepted",H531="Not Needed")),"None",MID(IF(AND(I531&lt;&gt;"Accepted",I531&lt;&gt;"Not Needed"),", "&amp;I$1,"")&amp;IF(AND(H531&lt;&gt;"Accepted",H531&lt;&gt;"Not Needed"),", "&amp;H$1,""),3,400)),IF($Q531&gt;=Settings!$C$13,"None",MID(IF(AND(G531&lt;&gt;"Accepted",G531&lt;&gt;"Not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Confirmed",IF($E532="PTA",IF(AND(OR(I532="Accepted",I532="Not Needed"),OR(H532="Accepted",H532="Not Needed")),"Registered",IF(OR(OR(I532="Accepted",I532="Received",I532="Needs Correction"),OR(H532="Accepted",H532="Received",H532="Needs Correction")),"In Progress","Not Started")),IF($Q532&gt;=Settings!$C$13,"Legalized",IF($P532&gt;=Settings!$C$12,"Registered",IF($O532&gt;0,"In Progress","Not Started")))))))</f>
        <v/>
      </c>
      <c r="S532" s="32">
        <f>IF($B532="","",COUNTIF(G532:N532,"Received"))</f>
        <v/>
      </c>
      <c r="T532" s="32">
        <f>IF($B532="","",COUNTIF(G532:N532,"Needs Correction"))</f>
        <v/>
      </c>
      <c r="U532" s="33">
        <f>IF($B532="","",IF($D532&lt;&gt;"Yes","",IF($E532="PTA",IF(AND(OR(I532="Accepted",I532="Not Needed"),OR(H532="Accepted",H532="Not Needed")),"None",MID(IF(AND(I532&lt;&gt;"Accepted",I532&lt;&gt;"Not Needed"),", "&amp;I$1,"")&amp;IF(AND(H532&lt;&gt;"Accepted",H532&lt;&gt;"Not Needed"),", "&amp;H$1,""),3,400)),IF($Q532&gt;=Settings!$C$13,"None",MID(IF(AND(G532&lt;&gt;"Accepted",G532&lt;&gt;"Not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Confirmed",IF($E533="PTA",IF(AND(OR(I533="Accepted",I533="Not Needed"),OR(H533="Accepted",H533="Not Needed")),"Registered",IF(OR(OR(I533="Accepted",I533="Received",I533="Needs Correction"),OR(H533="Accepted",H533="Received",H533="Needs Correction")),"In Progress","Not Started")),IF($Q533&gt;=Settings!$C$13,"Legalized",IF($P533&gt;=Settings!$C$12,"Registered",IF($O533&gt;0,"In Progress","Not Started")))))))</f>
        <v/>
      </c>
      <c r="S533" s="32">
        <f>IF($B533="","",COUNTIF(G533:N533,"Received"))</f>
        <v/>
      </c>
      <c r="T533" s="32">
        <f>IF($B533="","",COUNTIF(G533:N533,"Needs Correction"))</f>
        <v/>
      </c>
      <c r="U533" s="33">
        <f>IF($B533="","",IF($D533&lt;&gt;"Yes","",IF($E533="PTA",IF(AND(OR(I533="Accepted",I533="Not Needed"),OR(H533="Accepted",H533="Not Needed")),"None",MID(IF(AND(I533&lt;&gt;"Accepted",I533&lt;&gt;"Not Needed"),", "&amp;I$1,"")&amp;IF(AND(H533&lt;&gt;"Accepted",H533&lt;&gt;"Not Needed"),", "&amp;H$1,""),3,400)),IF($Q533&gt;=Settings!$C$13,"None",MID(IF(AND(G533&lt;&gt;"Accepted",G533&lt;&gt;"Not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Confirmed",IF($E534="PTA",IF(AND(OR(I534="Accepted",I534="Not Needed"),OR(H534="Accepted",H534="Not Needed")),"Registered",IF(OR(OR(I534="Accepted",I534="Received",I534="Needs Correction"),OR(H534="Accepted",H534="Received",H534="Needs Correction")),"In Progress","Not Started")),IF($Q534&gt;=Settings!$C$13,"Legalized",IF($P534&gt;=Settings!$C$12,"Registered",IF($O534&gt;0,"In Progress","Not Started")))))))</f>
        <v/>
      </c>
      <c r="S534" s="32">
        <f>IF($B534="","",COUNTIF(G534:N534,"Received"))</f>
        <v/>
      </c>
      <c r="T534" s="32">
        <f>IF($B534="","",COUNTIF(G534:N534,"Needs Correction"))</f>
        <v/>
      </c>
      <c r="U534" s="33">
        <f>IF($B534="","",IF($D534&lt;&gt;"Yes","",IF($E534="PTA",IF(AND(OR(I534="Accepted",I534="Not Needed"),OR(H534="Accepted",H534="Not Needed")),"None",MID(IF(AND(I534&lt;&gt;"Accepted",I534&lt;&gt;"Not Needed"),", "&amp;I$1,"")&amp;IF(AND(H534&lt;&gt;"Accepted",H534&lt;&gt;"Not Needed"),", "&amp;H$1,""),3,400)),IF($Q534&gt;=Settings!$C$13,"None",MID(IF(AND(G534&lt;&gt;"Accepted",G534&lt;&gt;"Not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Confirmed",IF($E535="PTA",IF(AND(OR(I535="Accepted",I535="Not Needed"),OR(H535="Accepted",H535="Not Needed")),"Registered",IF(OR(OR(I535="Accepted",I535="Received",I535="Needs Correction"),OR(H535="Accepted",H535="Received",H535="Needs Correction")),"In Progress","Not Started")),IF($Q535&gt;=Settings!$C$13,"Legalized",IF($P535&gt;=Settings!$C$12,"Registered",IF($O535&gt;0,"In Progress","Not Started")))))))</f>
        <v/>
      </c>
      <c r="S535" s="32">
        <f>IF($B535="","",COUNTIF(G535:N535,"Received"))</f>
        <v/>
      </c>
      <c r="T535" s="32">
        <f>IF($B535="","",COUNTIF(G535:N535,"Needs Correction"))</f>
        <v/>
      </c>
      <c r="U535" s="33">
        <f>IF($B535="","",IF($D535&lt;&gt;"Yes","",IF($E535="PTA",IF(AND(OR(I535="Accepted",I535="Not Needed"),OR(H535="Accepted",H535="Not Needed")),"None",MID(IF(AND(I535&lt;&gt;"Accepted",I535&lt;&gt;"Not Needed"),", "&amp;I$1,"")&amp;IF(AND(H535&lt;&gt;"Accepted",H535&lt;&gt;"Not Needed"),", "&amp;H$1,""),3,400)),IF($Q535&gt;=Settings!$C$13,"None",MID(IF(AND(G535&lt;&gt;"Accepted",G535&lt;&gt;"Not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Confirmed",IF($E536="PTA",IF(AND(OR(I536="Accepted",I536="Not Needed"),OR(H536="Accepted",H536="Not Needed")),"Registered",IF(OR(OR(I536="Accepted",I536="Received",I536="Needs Correction"),OR(H536="Accepted",H536="Received",H536="Needs Correction")),"In Progress","Not Started")),IF($Q536&gt;=Settings!$C$13,"Legalized",IF($P536&gt;=Settings!$C$12,"Registered",IF($O536&gt;0,"In Progress","Not Started")))))))</f>
        <v/>
      </c>
      <c r="S536" s="32">
        <f>IF($B536="","",COUNTIF(G536:N536,"Received"))</f>
        <v/>
      </c>
      <c r="T536" s="32">
        <f>IF($B536="","",COUNTIF(G536:N536,"Needs Correction"))</f>
        <v/>
      </c>
      <c r="U536" s="33">
        <f>IF($B536="","",IF($D536&lt;&gt;"Yes","",IF($E536="PTA",IF(AND(OR(I536="Accepted",I536="Not Needed"),OR(H536="Accepted",H536="Not Needed")),"None",MID(IF(AND(I536&lt;&gt;"Accepted",I536&lt;&gt;"Not Needed"),", "&amp;I$1,"")&amp;IF(AND(H536&lt;&gt;"Accepted",H536&lt;&gt;"Not Needed"),", "&amp;H$1,""),3,400)),IF($Q536&gt;=Settings!$C$13,"None",MID(IF(AND(G536&lt;&gt;"Accepted",G536&lt;&gt;"Not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Confirmed",IF($E537="PTA",IF(AND(OR(I537="Accepted",I537="Not Needed"),OR(H537="Accepted",H537="Not Needed")),"Registered",IF(OR(OR(I537="Accepted",I537="Received",I537="Needs Correction"),OR(H537="Accepted",H537="Received",H537="Needs Correction")),"In Progress","Not Started")),IF($Q537&gt;=Settings!$C$13,"Legalized",IF($P537&gt;=Settings!$C$12,"Registered",IF($O537&gt;0,"In Progress","Not Started")))))))</f>
        <v/>
      </c>
      <c r="S537" s="32">
        <f>IF($B537="","",COUNTIF(G537:N537,"Received"))</f>
        <v/>
      </c>
      <c r="T537" s="32">
        <f>IF($B537="","",COUNTIF(G537:N537,"Needs Correction"))</f>
        <v/>
      </c>
      <c r="U537" s="33">
        <f>IF($B537="","",IF($D537&lt;&gt;"Yes","",IF($E537="PTA",IF(AND(OR(I537="Accepted",I537="Not Needed"),OR(H537="Accepted",H537="Not Needed")),"None",MID(IF(AND(I537&lt;&gt;"Accepted",I537&lt;&gt;"Not Needed"),", "&amp;I$1,"")&amp;IF(AND(H537&lt;&gt;"Accepted",H537&lt;&gt;"Not Needed"),", "&amp;H$1,""),3,400)),IF($Q537&gt;=Settings!$C$13,"None",MID(IF(AND(G537&lt;&gt;"Accepted",G537&lt;&gt;"Not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Confirmed",IF($E538="PTA",IF(AND(OR(I538="Accepted",I538="Not Needed"),OR(H538="Accepted",H538="Not Needed")),"Registered",IF(OR(OR(I538="Accepted",I538="Received",I538="Needs Correction"),OR(H538="Accepted",H538="Received",H538="Needs Correction")),"In Progress","Not Started")),IF($Q538&gt;=Settings!$C$13,"Legalized",IF($P538&gt;=Settings!$C$12,"Registered",IF($O538&gt;0,"In Progress","Not Started")))))))</f>
        <v/>
      </c>
      <c r="S538" s="32">
        <f>IF($B538="","",COUNTIF(G538:N538,"Received"))</f>
        <v/>
      </c>
      <c r="T538" s="32">
        <f>IF($B538="","",COUNTIF(G538:N538,"Needs Correction"))</f>
        <v/>
      </c>
      <c r="U538" s="33">
        <f>IF($B538="","",IF($D538&lt;&gt;"Yes","",IF($E538="PTA",IF(AND(OR(I538="Accepted",I538="Not Needed"),OR(H538="Accepted",H538="Not Needed")),"None",MID(IF(AND(I538&lt;&gt;"Accepted",I538&lt;&gt;"Not Needed"),", "&amp;I$1,"")&amp;IF(AND(H538&lt;&gt;"Accepted",H538&lt;&gt;"Not Needed"),", "&amp;H$1,""),3,400)),IF($Q538&gt;=Settings!$C$13,"None",MID(IF(AND(G538&lt;&gt;"Accepted",G538&lt;&gt;"Not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Confirmed",IF($E539="PTA",IF(AND(OR(I539="Accepted",I539="Not Needed"),OR(H539="Accepted",H539="Not Needed")),"Registered",IF(OR(OR(I539="Accepted",I539="Received",I539="Needs Correction"),OR(H539="Accepted",H539="Received",H539="Needs Correction")),"In Progress","Not Started")),IF($Q539&gt;=Settings!$C$13,"Legalized",IF($P539&gt;=Settings!$C$12,"Registered",IF($O539&gt;0,"In Progress","Not Started")))))))</f>
        <v/>
      </c>
      <c r="S539" s="32">
        <f>IF($B539="","",COUNTIF(G539:N539,"Received"))</f>
        <v/>
      </c>
      <c r="T539" s="32">
        <f>IF($B539="","",COUNTIF(G539:N539,"Needs Correction"))</f>
        <v/>
      </c>
      <c r="U539" s="33">
        <f>IF($B539="","",IF($D539&lt;&gt;"Yes","",IF($E539="PTA",IF(AND(OR(I539="Accepted",I539="Not Needed"),OR(H539="Accepted",H539="Not Needed")),"None",MID(IF(AND(I539&lt;&gt;"Accepted",I539&lt;&gt;"Not Needed"),", "&amp;I$1,"")&amp;IF(AND(H539&lt;&gt;"Accepted",H539&lt;&gt;"Not Needed"),", "&amp;H$1,""),3,400)),IF($Q539&gt;=Settings!$C$13,"None",MID(IF(AND(G539&lt;&gt;"Accepted",G539&lt;&gt;"Not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Confirmed",IF($E540="PTA",IF(AND(OR(I540="Accepted",I540="Not Needed"),OR(H540="Accepted",H540="Not Needed")),"Registered",IF(OR(OR(I540="Accepted",I540="Received",I540="Needs Correction"),OR(H540="Accepted",H540="Received",H540="Needs Correction")),"In Progress","Not Started")),IF($Q540&gt;=Settings!$C$13,"Legalized",IF($P540&gt;=Settings!$C$12,"Registered",IF($O540&gt;0,"In Progress","Not Started")))))))</f>
        <v/>
      </c>
      <c r="S540" s="32">
        <f>IF($B540="","",COUNTIF(G540:N540,"Received"))</f>
        <v/>
      </c>
      <c r="T540" s="32">
        <f>IF($B540="","",COUNTIF(G540:N540,"Needs Correction"))</f>
        <v/>
      </c>
      <c r="U540" s="33">
        <f>IF($B540="","",IF($D540&lt;&gt;"Yes","",IF($E540="PTA",IF(AND(OR(I540="Accepted",I540="Not Needed"),OR(H540="Accepted",H540="Not Needed")),"None",MID(IF(AND(I540&lt;&gt;"Accepted",I540&lt;&gt;"Not Needed"),", "&amp;I$1,"")&amp;IF(AND(H540&lt;&gt;"Accepted",H540&lt;&gt;"Not Needed"),", "&amp;H$1,""),3,400)),IF($Q540&gt;=Settings!$C$13,"None",MID(IF(AND(G540&lt;&gt;"Accepted",G540&lt;&gt;"Not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Confirmed",IF($E541="PTA",IF(AND(OR(I541="Accepted",I541="Not Needed"),OR(H541="Accepted",H541="Not Needed")),"Registered",IF(OR(OR(I541="Accepted",I541="Received",I541="Needs Correction"),OR(H541="Accepted",H541="Received",H541="Needs Correction")),"In Progress","Not Started")),IF($Q541&gt;=Settings!$C$13,"Legalized",IF($P541&gt;=Settings!$C$12,"Registered",IF($O541&gt;0,"In Progress","Not Started")))))))</f>
        <v/>
      </c>
      <c r="S541" s="32">
        <f>IF($B541="","",COUNTIF(G541:N541,"Received"))</f>
        <v/>
      </c>
      <c r="T541" s="32">
        <f>IF($B541="","",COUNTIF(G541:N541,"Needs Correction"))</f>
        <v/>
      </c>
      <c r="U541" s="33">
        <f>IF($B541="","",IF($D541&lt;&gt;"Yes","",IF($E541="PTA",IF(AND(OR(I541="Accepted",I541="Not Needed"),OR(H541="Accepted",H541="Not Needed")),"None",MID(IF(AND(I541&lt;&gt;"Accepted",I541&lt;&gt;"Not Needed"),", "&amp;I$1,"")&amp;IF(AND(H541&lt;&gt;"Accepted",H541&lt;&gt;"Not Needed"),", "&amp;H$1,""),3,400)),IF($Q541&gt;=Settings!$C$13,"None",MID(IF(AND(G541&lt;&gt;"Accepted",G541&lt;&gt;"Not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Confirmed",IF($E542="PTA",IF(AND(OR(I542="Accepted",I542="Not Needed"),OR(H542="Accepted",H542="Not Needed")),"Registered",IF(OR(OR(I542="Accepted",I542="Received",I542="Needs Correction"),OR(H542="Accepted",H542="Received",H542="Needs Correction")),"In Progress","Not Started")),IF($Q542&gt;=Settings!$C$13,"Legalized",IF($P542&gt;=Settings!$C$12,"Registered",IF($O542&gt;0,"In Progress","Not Started")))))))</f>
        <v/>
      </c>
      <c r="S542" s="32">
        <f>IF($B542="","",COUNTIF(G542:N542,"Received"))</f>
        <v/>
      </c>
      <c r="T542" s="32">
        <f>IF($B542="","",COUNTIF(G542:N542,"Needs Correction"))</f>
        <v/>
      </c>
      <c r="U542" s="33">
        <f>IF($B542="","",IF($D542&lt;&gt;"Yes","",IF($E542="PTA",IF(AND(OR(I542="Accepted",I542="Not Needed"),OR(H542="Accepted",H542="Not Needed")),"None",MID(IF(AND(I542&lt;&gt;"Accepted",I542&lt;&gt;"Not Needed"),", "&amp;I$1,"")&amp;IF(AND(H542&lt;&gt;"Accepted",H542&lt;&gt;"Not Needed"),", "&amp;H$1,""),3,400)),IF($Q542&gt;=Settings!$C$13,"None",MID(IF(AND(G542&lt;&gt;"Accepted",G542&lt;&gt;"Not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Confirmed",IF($E543="PTA",IF(AND(OR(I543="Accepted",I543="Not Needed"),OR(H543="Accepted",H543="Not Needed")),"Registered",IF(OR(OR(I543="Accepted",I543="Received",I543="Needs Correction"),OR(H543="Accepted",H543="Received",H543="Needs Correction")),"In Progress","Not Started")),IF($Q543&gt;=Settings!$C$13,"Legalized",IF($P543&gt;=Settings!$C$12,"Registered",IF($O543&gt;0,"In Progress","Not Started")))))))</f>
        <v/>
      </c>
      <c r="S543" s="32">
        <f>IF($B543="","",COUNTIF(G543:N543,"Received"))</f>
        <v/>
      </c>
      <c r="T543" s="32">
        <f>IF($B543="","",COUNTIF(G543:N543,"Needs Correction"))</f>
        <v/>
      </c>
      <c r="U543" s="33">
        <f>IF($B543="","",IF($D543&lt;&gt;"Yes","",IF($E543="PTA",IF(AND(OR(I543="Accepted",I543="Not Needed"),OR(H543="Accepted",H543="Not Needed")),"None",MID(IF(AND(I543&lt;&gt;"Accepted",I543&lt;&gt;"Not Needed"),", "&amp;I$1,"")&amp;IF(AND(H543&lt;&gt;"Accepted",H543&lt;&gt;"Not Needed"),", "&amp;H$1,""),3,400)),IF($Q543&gt;=Settings!$C$13,"None",MID(IF(AND(G543&lt;&gt;"Accepted",G543&lt;&gt;"Not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Confirmed",IF($E544="PTA",IF(AND(OR(I544="Accepted",I544="Not Needed"),OR(H544="Accepted",H544="Not Needed")),"Registered",IF(OR(OR(I544="Accepted",I544="Received",I544="Needs Correction"),OR(H544="Accepted",H544="Received",H544="Needs Correction")),"In Progress","Not Started")),IF($Q544&gt;=Settings!$C$13,"Legalized",IF($P544&gt;=Settings!$C$12,"Registered",IF($O544&gt;0,"In Progress","Not Started")))))))</f>
        <v/>
      </c>
      <c r="S544" s="32">
        <f>IF($B544="","",COUNTIF(G544:N544,"Received"))</f>
        <v/>
      </c>
      <c r="T544" s="32">
        <f>IF($B544="","",COUNTIF(G544:N544,"Needs Correction"))</f>
        <v/>
      </c>
      <c r="U544" s="33">
        <f>IF($B544="","",IF($D544&lt;&gt;"Yes","",IF($E544="PTA",IF(AND(OR(I544="Accepted",I544="Not Needed"),OR(H544="Accepted",H544="Not Needed")),"None",MID(IF(AND(I544&lt;&gt;"Accepted",I544&lt;&gt;"Not Needed"),", "&amp;I$1,"")&amp;IF(AND(H544&lt;&gt;"Accepted",H544&lt;&gt;"Not Needed"),", "&amp;H$1,""),3,400)),IF($Q544&gt;=Settings!$C$13,"None",MID(IF(AND(G544&lt;&gt;"Accepted",G544&lt;&gt;"Not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Confirmed",IF($E545="PTA",IF(AND(OR(I545="Accepted",I545="Not Needed"),OR(H545="Accepted",H545="Not Needed")),"Registered",IF(OR(OR(I545="Accepted",I545="Received",I545="Needs Correction"),OR(H545="Accepted",H545="Received",H545="Needs Correction")),"In Progress","Not Started")),IF($Q545&gt;=Settings!$C$13,"Legalized",IF($P545&gt;=Settings!$C$12,"Registered",IF($O545&gt;0,"In Progress","Not Started")))))))</f>
        <v/>
      </c>
      <c r="S545" s="32">
        <f>IF($B545="","",COUNTIF(G545:N545,"Received"))</f>
        <v/>
      </c>
      <c r="T545" s="32">
        <f>IF($B545="","",COUNTIF(G545:N545,"Needs Correction"))</f>
        <v/>
      </c>
      <c r="U545" s="33">
        <f>IF($B545="","",IF($D545&lt;&gt;"Yes","",IF($E545="PTA",IF(AND(OR(I545="Accepted",I545="Not Needed"),OR(H545="Accepted",H545="Not Needed")),"None",MID(IF(AND(I545&lt;&gt;"Accepted",I545&lt;&gt;"Not Needed"),", "&amp;I$1,"")&amp;IF(AND(H545&lt;&gt;"Accepted",H545&lt;&gt;"Not Needed"),", "&amp;H$1,""),3,400)),IF($Q545&gt;=Settings!$C$13,"None",MID(IF(AND(G545&lt;&gt;"Accepted",G545&lt;&gt;"Not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Confirmed",IF($E546="PTA",IF(AND(OR(I546="Accepted",I546="Not Needed"),OR(H546="Accepted",H546="Not Needed")),"Registered",IF(OR(OR(I546="Accepted",I546="Received",I546="Needs Correction"),OR(H546="Accepted",H546="Received",H546="Needs Correction")),"In Progress","Not Started")),IF($Q546&gt;=Settings!$C$13,"Legalized",IF($P546&gt;=Settings!$C$12,"Registered",IF($O546&gt;0,"In Progress","Not Started")))))))</f>
        <v/>
      </c>
      <c r="S546" s="32">
        <f>IF($B546="","",COUNTIF(G546:N546,"Received"))</f>
        <v/>
      </c>
      <c r="T546" s="32">
        <f>IF($B546="","",COUNTIF(G546:N546,"Needs Correction"))</f>
        <v/>
      </c>
      <c r="U546" s="33">
        <f>IF($B546="","",IF($D546&lt;&gt;"Yes","",IF($E546="PTA",IF(AND(OR(I546="Accepted",I546="Not Needed"),OR(H546="Accepted",H546="Not Needed")),"None",MID(IF(AND(I546&lt;&gt;"Accepted",I546&lt;&gt;"Not Needed"),", "&amp;I$1,"")&amp;IF(AND(H546&lt;&gt;"Accepted",H546&lt;&gt;"Not Needed"),", "&amp;H$1,""),3,400)),IF($Q546&gt;=Settings!$C$13,"None",MID(IF(AND(G546&lt;&gt;"Accepted",G546&lt;&gt;"Not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Confirmed",IF($E547="PTA",IF(AND(OR(I547="Accepted",I547="Not Needed"),OR(H547="Accepted",H547="Not Needed")),"Registered",IF(OR(OR(I547="Accepted",I547="Received",I547="Needs Correction"),OR(H547="Accepted",H547="Received",H547="Needs Correction")),"In Progress","Not Started")),IF($Q547&gt;=Settings!$C$13,"Legalized",IF($P547&gt;=Settings!$C$12,"Registered",IF($O547&gt;0,"In Progress","Not Started")))))))</f>
        <v/>
      </c>
      <c r="S547" s="32">
        <f>IF($B547="","",COUNTIF(G547:N547,"Received"))</f>
        <v/>
      </c>
      <c r="T547" s="32">
        <f>IF($B547="","",COUNTIF(G547:N547,"Needs Correction"))</f>
        <v/>
      </c>
      <c r="U547" s="33">
        <f>IF($B547="","",IF($D547&lt;&gt;"Yes","",IF($E547="PTA",IF(AND(OR(I547="Accepted",I547="Not Needed"),OR(H547="Accepted",H547="Not Needed")),"None",MID(IF(AND(I547&lt;&gt;"Accepted",I547&lt;&gt;"Not Needed"),", "&amp;I$1,"")&amp;IF(AND(H547&lt;&gt;"Accepted",H547&lt;&gt;"Not Needed"),", "&amp;H$1,""),3,400)),IF($Q547&gt;=Settings!$C$13,"None",MID(IF(AND(G547&lt;&gt;"Accepted",G547&lt;&gt;"Not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Confirmed",IF($E548="PTA",IF(AND(OR(I548="Accepted",I548="Not Needed"),OR(H548="Accepted",H548="Not Needed")),"Registered",IF(OR(OR(I548="Accepted",I548="Received",I548="Needs Correction"),OR(H548="Accepted",H548="Received",H548="Needs Correction")),"In Progress","Not Started")),IF($Q548&gt;=Settings!$C$13,"Legalized",IF($P548&gt;=Settings!$C$12,"Registered",IF($O548&gt;0,"In Progress","Not Started")))))))</f>
        <v/>
      </c>
      <c r="S548" s="32">
        <f>IF($B548="","",COUNTIF(G548:N548,"Received"))</f>
        <v/>
      </c>
      <c r="T548" s="32">
        <f>IF($B548="","",COUNTIF(G548:N548,"Needs Correction"))</f>
        <v/>
      </c>
      <c r="U548" s="33">
        <f>IF($B548="","",IF($D548&lt;&gt;"Yes","",IF($E548="PTA",IF(AND(OR(I548="Accepted",I548="Not Needed"),OR(H548="Accepted",H548="Not Needed")),"None",MID(IF(AND(I548&lt;&gt;"Accepted",I548&lt;&gt;"Not Needed"),", "&amp;I$1,"")&amp;IF(AND(H548&lt;&gt;"Accepted",H548&lt;&gt;"Not Needed"),", "&amp;H$1,""),3,400)),IF($Q548&gt;=Settings!$C$13,"None",MID(IF(AND(G548&lt;&gt;"Accepted",G548&lt;&gt;"Not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Confirmed",IF($E549="PTA",IF(AND(OR(I549="Accepted",I549="Not Needed"),OR(H549="Accepted",H549="Not Needed")),"Registered",IF(OR(OR(I549="Accepted",I549="Received",I549="Needs Correction"),OR(H549="Accepted",H549="Received",H549="Needs Correction")),"In Progress","Not Started")),IF($Q549&gt;=Settings!$C$13,"Legalized",IF($P549&gt;=Settings!$C$12,"Registered",IF($O549&gt;0,"In Progress","Not Started")))))))</f>
        <v/>
      </c>
      <c r="S549" s="32">
        <f>IF($B549="","",COUNTIF(G549:N549,"Received"))</f>
        <v/>
      </c>
      <c r="T549" s="32">
        <f>IF($B549="","",COUNTIF(G549:N549,"Needs Correction"))</f>
        <v/>
      </c>
      <c r="U549" s="33">
        <f>IF($B549="","",IF($D549&lt;&gt;"Yes","",IF($E549="PTA",IF(AND(OR(I549="Accepted",I549="Not Needed"),OR(H549="Accepted",H549="Not Needed")),"None",MID(IF(AND(I549&lt;&gt;"Accepted",I549&lt;&gt;"Not Needed"),", "&amp;I$1,"")&amp;IF(AND(H549&lt;&gt;"Accepted",H549&lt;&gt;"Not Needed"),", "&amp;H$1,""),3,400)),IF($Q549&gt;=Settings!$C$13,"None",MID(IF(AND(G549&lt;&gt;"Accepted",G549&lt;&gt;"Not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Confirmed",IF($E550="PTA",IF(AND(OR(I550="Accepted",I550="Not Needed"),OR(H550="Accepted",H550="Not Needed")),"Registered",IF(OR(OR(I550="Accepted",I550="Received",I550="Needs Correction"),OR(H550="Accepted",H550="Received",H550="Needs Correction")),"In Progress","Not Started")),IF($Q550&gt;=Settings!$C$13,"Legalized",IF($P550&gt;=Settings!$C$12,"Registered",IF($O550&gt;0,"In Progress","Not Started")))))))</f>
        <v/>
      </c>
      <c r="S550" s="32">
        <f>IF($B550="","",COUNTIF(G550:N550,"Received"))</f>
        <v/>
      </c>
      <c r="T550" s="32">
        <f>IF($B550="","",COUNTIF(G550:N550,"Needs Correction"))</f>
        <v/>
      </c>
      <c r="U550" s="33">
        <f>IF($B550="","",IF($D550&lt;&gt;"Yes","",IF($E550="PTA",IF(AND(OR(I550="Accepted",I550="Not Needed"),OR(H550="Accepted",H550="Not Needed")),"None",MID(IF(AND(I550&lt;&gt;"Accepted",I550&lt;&gt;"Not Needed"),", "&amp;I$1,"")&amp;IF(AND(H550&lt;&gt;"Accepted",H550&lt;&gt;"Not Needed"),", "&amp;H$1,""),3,400)),IF($Q550&gt;=Settings!$C$13,"None",MID(IF(AND(G550&lt;&gt;"Accepted",G550&lt;&gt;"Not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Confirmed",IF($E551="PTA",IF(AND(OR(I551="Accepted",I551="Not Needed"),OR(H551="Accepted",H551="Not Needed")),"Registered",IF(OR(OR(I551="Accepted",I551="Received",I551="Needs Correction"),OR(H551="Accepted",H551="Received",H551="Needs Correction")),"In Progress","Not Started")),IF($Q551&gt;=Settings!$C$13,"Legalized",IF($P551&gt;=Settings!$C$12,"Registered",IF($O551&gt;0,"In Progress","Not Started")))))))</f>
        <v/>
      </c>
      <c r="S551" s="32">
        <f>IF($B551="","",COUNTIF(G551:N551,"Received"))</f>
        <v/>
      </c>
      <c r="T551" s="32">
        <f>IF($B551="","",COUNTIF(G551:N551,"Needs Correction"))</f>
        <v/>
      </c>
      <c r="U551" s="33">
        <f>IF($B551="","",IF($D551&lt;&gt;"Yes","",IF($E551="PTA",IF(AND(OR(I551="Accepted",I551="Not Needed"),OR(H551="Accepted",H551="Not Needed")),"None",MID(IF(AND(I551&lt;&gt;"Accepted",I551&lt;&gt;"Not Needed"),", "&amp;I$1,"")&amp;IF(AND(H551&lt;&gt;"Accepted",H551&lt;&gt;"Not Needed"),", "&amp;H$1,""),3,400)),IF($Q551&gt;=Settings!$C$13,"None",MID(IF(AND(G551&lt;&gt;"Accepted",G551&lt;&gt;"Not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Confirmed",IF($E552="PTA",IF(AND(OR(I552="Accepted",I552="Not Needed"),OR(H552="Accepted",H552="Not Needed")),"Registered",IF(OR(OR(I552="Accepted",I552="Received",I552="Needs Correction"),OR(H552="Accepted",H552="Received",H552="Needs Correction")),"In Progress","Not Started")),IF($Q552&gt;=Settings!$C$13,"Legalized",IF($P552&gt;=Settings!$C$12,"Registered",IF($O552&gt;0,"In Progress","Not Started")))))))</f>
        <v/>
      </c>
      <c r="S552" s="32">
        <f>IF($B552="","",COUNTIF(G552:N552,"Received"))</f>
        <v/>
      </c>
      <c r="T552" s="32">
        <f>IF($B552="","",COUNTIF(G552:N552,"Needs Correction"))</f>
        <v/>
      </c>
      <c r="U552" s="33">
        <f>IF($B552="","",IF($D552&lt;&gt;"Yes","",IF($E552="PTA",IF(AND(OR(I552="Accepted",I552="Not Needed"),OR(H552="Accepted",H552="Not Needed")),"None",MID(IF(AND(I552&lt;&gt;"Accepted",I552&lt;&gt;"Not Needed"),", "&amp;I$1,"")&amp;IF(AND(H552&lt;&gt;"Accepted",H552&lt;&gt;"Not Needed"),", "&amp;H$1,""),3,400)),IF($Q552&gt;=Settings!$C$13,"None",MID(IF(AND(G552&lt;&gt;"Accepted",G552&lt;&gt;"Not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Confirmed",IF($E553="PTA",IF(AND(OR(I553="Accepted",I553="Not Needed"),OR(H553="Accepted",H553="Not Needed")),"Registered",IF(OR(OR(I553="Accepted",I553="Received",I553="Needs Correction"),OR(H553="Accepted",H553="Received",H553="Needs Correction")),"In Progress","Not Started")),IF($Q553&gt;=Settings!$C$13,"Legalized",IF($P553&gt;=Settings!$C$12,"Registered",IF($O553&gt;0,"In Progress","Not Started")))))))</f>
        <v/>
      </c>
      <c r="S553" s="32">
        <f>IF($B553="","",COUNTIF(G553:N553,"Received"))</f>
        <v/>
      </c>
      <c r="T553" s="32">
        <f>IF($B553="","",COUNTIF(G553:N553,"Needs Correction"))</f>
        <v/>
      </c>
      <c r="U553" s="33">
        <f>IF($B553="","",IF($D553&lt;&gt;"Yes","",IF($E553="PTA",IF(AND(OR(I553="Accepted",I553="Not Needed"),OR(H553="Accepted",H553="Not Needed")),"None",MID(IF(AND(I553&lt;&gt;"Accepted",I553&lt;&gt;"Not Needed"),", "&amp;I$1,"")&amp;IF(AND(H553&lt;&gt;"Accepted",H553&lt;&gt;"Not Needed"),", "&amp;H$1,""),3,400)),IF($Q553&gt;=Settings!$C$13,"None",MID(IF(AND(G553&lt;&gt;"Accepted",G553&lt;&gt;"Not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Confirmed",IF($E554="PTA",IF(AND(OR(I554="Accepted",I554="Not Needed"),OR(H554="Accepted",H554="Not Needed")),"Registered",IF(OR(OR(I554="Accepted",I554="Received",I554="Needs Correction"),OR(H554="Accepted",H554="Received",H554="Needs Correction")),"In Progress","Not Started")),IF($Q554&gt;=Settings!$C$13,"Legalized",IF($P554&gt;=Settings!$C$12,"Registered",IF($O554&gt;0,"In Progress","Not Started")))))))</f>
        <v/>
      </c>
      <c r="S554" s="32">
        <f>IF($B554="","",COUNTIF(G554:N554,"Received"))</f>
        <v/>
      </c>
      <c r="T554" s="32">
        <f>IF($B554="","",COUNTIF(G554:N554,"Needs Correction"))</f>
        <v/>
      </c>
      <c r="U554" s="33">
        <f>IF($B554="","",IF($D554&lt;&gt;"Yes","",IF($E554="PTA",IF(AND(OR(I554="Accepted",I554="Not Needed"),OR(H554="Accepted",H554="Not Needed")),"None",MID(IF(AND(I554&lt;&gt;"Accepted",I554&lt;&gt;"Not Needed"),", "&amp;I$1,"")&amp;IF(AND(H554&lt;&gt;"Accepted",H554&lt;&gt;"Not Needed"),", "&amp;H$1,""),3,400)),IF($Q554&gt;=Settings!$C$13,"None",MID(IF(AND(G554&lt;&gt;"Accepted",G554&lt;&gt;"Not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Confirmed",IF($E555="PTA",IF(AND(OR(I555="Accepted",I555="Not Needed"),OR(H555="Accepted",H555="Not Needed")),"Registered",IF(OR(OR(I555="Accepted",I555="Received",I555="Needs Correction"),OR(H555="Accepted",H555="Received",H555="Needs Correction")),"In Progress","Not Started")),IF($Q555&gt;=Settings!$C$13,"Legalized",IF($P555&gt;=Settings!$C$12,"Registered",IF($O555&gt;0,"In Progress","Not Started")))))))</f>
        <v/>
      </c>
      <c r="S555" s="32">
        <f>IF($B555="","",COUNTIF(G555:N555,"Received"))</f>
        <v/>
      </c>
      <c r="T555" s="32">
        <f>IF($B555="","",COUNTIF(G555:N555,"Needs Correction"))</f>
        <v/>
      </c>
      <c r="U555" s="33">
        <f>IF($B555="","",IF($D555&lt;&gt;"Yes","",IF($E555="PTA",IF(AND(OR(I555="Accepted",I555="Not Needed"),OR(H555="Accepted",H555="Not Needed")),"None",MID(IF(AND(I555&lt;&gt;"Accepted",I555&lt;&gt;"Not Needed"),", "&amp;I$1,"")&amp;IF(AND(H555&lt;&gt;"Accepted",H555&lt;&gt;"Not Needed"),", "&amp;H$1,""),3,400)),IF($Q555&gt;=Settings!$C$13,"None",MID(IF(AND(G555&lt;&gt;"Accepted",G555&lt;&gt;"Not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Confirmed",IF($E556="PTA",IF(AND(OR(I556="Accepted",I556="Not Needed"),OR(H556="Accepted",H556="Not Needed")),"Registered",IF(OR(OR(I556="Accepted",I556="Received",I556="Needs Correction"),OR(H556="Accepted",H556="Received",H556="Needs Correction")),"In Progress","Not Started")),IF($Q556&gt;=Settings!$C$13,"Legalized",IF($P556&gt;=Settings!$C$12,"Registered",IF($O556&gt;0,"In Progress","Not Started")))))))</f>
        <v/>
      </c>
      <c r="S556" s="32">
        <f>IF($B556="","",COUNTIF(G556:N556,"Received"))</f>
        <v/>
      </c>
      <c r="T556" s="32">
        <f>IF($B556="","",COUNTIF(G556:N556,"Needs Correction"))</f>
        <v/>
      </c>
      <c r="U556" s="33">
        <f>IF($B556="","",IF($D556&lt;&gt;"Yes","",IF($E556="PTA",IF(AND(OR(I556="Accepted",I556="Not Needed"),OR(H556="Accepted",H556="Not Needed")),"None",MID(IF(AND(I556&lt;&gt;"Accepted",I556&lt;&gt;"Not Needed"),", "&amp;I$1,"")&amp;IF(AND(H556&lt;&gt;"Accepted",H556&lt;&gt;"Not Needed"),", "&amp;H$1,""),3,400)),IF($Q556&gt;=Settings!$C$13,"None",MID(IF(AND(G556&lt;&gt;"Accepted",G556&lt;&gt;"Not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Confirmed",IF($E557="PTA",IF(AND(OR(I557="Accepted",I557="Not Needed"),OR(H557="Accepted",H557="Not Needed")),"Registered",IF(OR(OR(I557="Accepted",I557="Received",I557="Needs Correction"),OR(H557="Accepted",H557="Received",H557="Needs Correction")),"In Progress","Not Started")),IF($Q557&gt;=Settings!$C$13,"Legalized",IF($P557&gt;=Settings!$C$12,"Registered",IF($O557&gt;0,"In Progress","Not Started")))))))</f>
        <v/>
      </c>
      <c r="S557" s="32">
        <f>IF($B557="","",COUNTIF(G557:N557,"Received"))</f>
        <v/>
      </c>
      <c r="T557" s="32">
        <f>IF($B557="","",COUNTIF(G557:N557,"Needs Correction"))</f>
        <v/>
      </c>
      <c r="U557" s="33">
        <f>IF($B557="","",IF($D557&lt;&gt;"Yes","",IF($E557="PTA",IF(AND(OR(I557="Accepted",I557="Not Needed"),OR(H557="Accepted",H557="Not Needed")),"None",MID(IF(AND(I557&lt;&gt;"Accepted",I557&lt;&gt;"Not Needed"),", "&amp;I$1,"")&amp;IF(AND(H557&lt;&gt;"Accepted",H557&lt;&gt;"Not Needed"),", "&amp;H$1,""),3,400)),IF($Q557&gt;=Settings!$C$13,"None",MID(IF(AND(G557&lt;&gt;"Accepted",G557&lt;&gt;"Not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Confirmed",IF($E558="PTA",IF(AND(OR(I558="Accepted",I558="Not Needed"),OR(H558="Accepted",H558="Not Needed")),"Registered",IF(OR(OR(I558="Accepted",I558="Received",I558="Needs Correction"),OR(H558="Accepted",H558="Received",H558="Needs Correction")),"In Progress","Not Started")),IF($Q558&gt;=Settings!$C$13,"Legalized",IF($P558&gt;=Settings!$C$12,"Registered",IF($O558&gt;0,"In Progress","Not Started")))))))</f>
        <v/>
      </c>
      <c r="S558" s="32">
        <f>IF($B558="","",COUNTIF(G558:N558,"Received"))</f>
        <v/>
      </c>
      <c r="T558" s="32">
        <f>IF($B558="","",COUNTIF(G558:N558,"Needs Correction"))</f>
        <v/>
      </c>
      <c r="U558" s="33">
        <f>IF($B558="","",IF($D558&lt;&gt;"Yes","",IF($E558="PTA",IF(AND(OR(I558="Accepted",I558="Not Needed"),OR(H558="Accepted",H558="Not Needed")),"None",MID(IF(AND(I558&lt;&gt;"Accepted",I558&lt;&gt;"Not Needed"),", "&amp;I$1,"")&amp;IF(AND(H558&lt;&gt;"Accepted",H558&lt;&gt;"Not Needed"),", "&amp;H$1,""),3,400)),IF($Q558&gt;=Settings!$C$13,"None",MID(IF(AND(G558&lt;&gt;"Accepted",G558&lt;&gt;"Not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Confirmed",IF($E559="PTA",IF(AND(OR(I559="Accepted",I559="Not Needed"),OR(H559="Accepted",H559="Not Needed")),"Registered",IF(OR(OR(I559="Accepted",I559="Received",I559="Needs Correction"),OR(H559="Accepted",H559="Received",H559="Needs Correction")),"In Progress","Not Started")),IF($Q559&gt;=Settings!$C$13,"Legalized",IF($P559&gt;=Settings!$C$12,"Registered",IF($O559&gt;0,"In Progress","Not Started")))))))</f>
        <v/>
      </c>
      <c r="S559" s="32">
        <f>IF($B559="","",COUNTIF(G559:N559,"Received"))</f>
        <v/>
      </c>
      <c r="T559" s="32">
        <f>IF($B559="","",COUNTIF(G559:N559,"Needs Correction"))</f>
        <v/>
      </c>
      <c r="U559" s="33">
        <f>IF($B559="","",IF($D559&lt;&gt;"Yes","",IF($E559="PTA",IF(AND(OR(I559="Accepted",I559="Not Needed"),OR(H559="Accepted",H559="Not Needed")),"None",MID(IF(AND(I559&lt;&gt;"Accepted",I559&lt;&gt;"Not Needed"),", "&amp;I$1,"")&amp;IF(AND(H559&lt;&gt;"Accepted",H559&lt;&gt;"Not Needed"),", "&amp;H$1,""),3,400)),IF($Q559&gt;=Settings!$C$13,"None",MID(IF(AND(G559&lt;&gt;"Accepted",G559&lt;&gt;"Not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Confirmed",IF($E560="PTA",IF(AND(OR(I560="Accepted",I560="Not Needed"),OR(H560="Accepted",H560="Not Needed")),"Registered",IF(OR(OR(I560="Accepted",I560="Received",I560="Needs Correction"),OR(H560="Accepted",H560="Received",H560="Needs Correction")),"In Progress","Not Started")),IF($Q560&gt;=Settings!$C$13,"Legalized",IF($P560&gt;=Settings!$C$12,"Registered",IF($O560&gt;0,"In Progress","Not Started")))))))</f>
        <v/>
      </c>
      <c r="S560" s="32">
        <f>IF($B560="","",COUNTIF(G560:N560,"Received"))</f>
        <v/>
      </c>
      <c r="T560" s="32">
        <f>IF($B560="","",COUNTIF(G560:N560,"Needs Correction"))</f>
        <v/>
      </c>
      <c r="U560" s="33">
        <f>IF($B560="","",IF($D560&lt;&gt;"Yes","",IF($E560="PTA",IF(AND(OR(I560="Accepted",I560="Not Needed"),OR(H560="Accepted",H560="Not Needed")),"None",MID(IF(AND(I560&lt;&gt;"Accepted",I560&lt;&gt;"Not Needed"),", "&amp;I$1,"")&amp;IF(AND(H560&lt;&gt;"Accepted",H560&lt;&gt;"Not Needed"),", "&amp;H$1,""),3,400)),IF($Q560&gt;=Settings!$C$13,"None",MID(IF(AND(G560&lt;&gt;"Accepted",G560&lt;&gt;"Not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Confirmed",IF($E561="PTA",IF(AND(OR(I561="Accepted",I561="Not Needed"),OR(H561="Accepted",H561="Not Needed")),"Registered",IF(OR(OR(I561="Accepted",I561="Received",I561="Needs Correction"),OR(H561="Accepted",H561="Received",H561="Needs Correction")),"In Progress","Not Started")),IF($Q561&gt;=Settings!$C$13,"Legalized",IF($P561&gt;=Settings!$C$12,"Registered",IF($O561&gt;0,"In Progress","Not Started")))))))</f>
        <v/>
      </c>
      <c r="S561" s="32">
        <f>IF($B561="","",COUNTIF(G561:N561,"Received"))</f>
        <v/>
      </c>
      <c r="T561" s="32">
        <f>IF($B561="","",COUNTIF(G561:N561,"Needs Correction"))</f>
        <v/>
      </c>
      <c r="U561" s="33">
        <f>IF($B561="","",IF($D561&lt;&gt;"Yes","",IF($E561="PTA",IF(AND(OR(I561="Accepted",I561="Not Needed"),OR(H561="Accepted",H561="Not Needed")),"None",MID(IF(AND(I561&lt;&gt;"Accepted",I561&lt;&gt;"Not Needed"),", "&amp;I$1,"")&amp;IF(AND(H561&lt;&gt;"Accepted",H561&lt;&gt;"Not Needed"),", "&amp;H$1,""),3,400)),IF($Q561&gt;=Settings!$C$13,"None",MID(IF(AND(G561&lt;&gt;"Accepted",G561&lt;&gt;"Not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Confirmed",IF($E562="PTA",IF(AND(OR(I562="Accepted",I562="Not Needed"),OR(H562="Accepted",H562="Not Needed")),"Registered",IF(OR(OR(I562="Accepted",I562="Received",I562="Needs Correction"),OR(H562="Accepted",H562="Received",H562="Needs Correction")),"In Progress","Not Started")),IF($Q562&gt;=Settings!$C$13,"Legalized",IF($P562&gt;=Settings!$C$12,"Registered",IF($O562&gt;0,"In Progress","Not Started")))))))</f>
        <v/>
      </c>
      <c r="S562" s="32">
        <f>IF($B562="","",COUNTIF(G562:N562,"Received"))</f>
        <v/>
      </c>
      <c r="T562" s="32">
        <f>IF($B562="","",COUNTIF(G562:N562,"Needs Correction"))</f>
        <v/>
      </c>
      <c r="U562" s="33">
        <f>IF($B562="","",IF($D562&lt;&gt;"Yes","",IF($E562="PTA",IF(AND(OR(I562="Accepted",I562="Not Needed"),OR(H562="Accepted",H562="Not Needed")),"None",MID(IF(AND(I562&lt;&gt;"Accepted",I562&lt;&gt;"Not Needed"),", "&amp;I$1,"")&amp;IF(AND(H562&lt;&gt;"Accepted",H562&lt;&gt;"Not Needed"),", "&amp;H$1,""),3,400)),IF($Q562&gt;=Settings!$C$13,"None",MID(IF(AND(G562&lt;&gt;"Accepted",G562&lt;&gt;"Not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Confirmed",IF($E563="PTA",IF(AND(OR(I563="Accepted",I563="Not Needed"),OR(H563="Accepted",H563="Not Needed")),"Registered",IF(OR(OR(I563="Accepted",I563="Received",I563="Needs Correction"),OR(H563="Accepted",H563="Received",H563="Needs Correction")),"In Progress","Not Started")),IF($Q563&gt;=Settings!$C$13,"Legalized",IF($P563&gt;=Settings!$C$12,"Registered",IF($O563&gt;0,"In Progress","Not Started")))))))</f>
        <v/>
      </c>
      <c r="S563" s="32">
        <f>IF($B563="","",COUNTIF(G563:N563,"Received"))</f>
        <v/>
      </c>
      <c r="T563" s="32">
        <f>IF($B563="","",COUNTIF(G563:N563,"Needs Correction"))</f>
        <v/>
      </c>
      <c r="U563" s="33">
        <f>IF($B563="","",IF($D563&lt;&gt;"Yes","",IF($E563="PTA",IF(AND(OR(I563="Accepted",I563="Not Needed"),OR(H563="Accepted",H563="Not Needed")),"None",MID(IF(AND(I563&lt;&gt;"Accepted",I563&lt;&gt;"Not Needed"),", "&amp;I$1,"")&amp;IF(AND(H563&lt;&gt;"Accepted",H563&lt;&gt;"Not Needed"),", "&amp;H$1,""),3,400)),IF($Q563&gt;=Settings!$C$13,"None",MID(IF(AND(G563&lt;&gt;"Accepted",G563&lt;&gt;"Not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Confirmed",IF($E564="PTA",IF(AND(OR(I564="Accepted",I564="Not Needed"),OR(H564="Accepted",H564="Not Needed")),"Registered",IF(OR(OR(I564="Accepted",I564="Received",I564="Needs Correction"),OR(H564="Accepted",H564="Received",H564="Needs Correction")),"In Progress","Not Started")),IF($Q564&gt;=Settings!$C$13,"Legalized",IF($P564&gt;=Settings!$C$12,"Registered",IF($O564&gt;0,"In Progress","Not Started")))))))</f>
        <v/>
      </c>
      <c r="S564" s="32">
        <f>IF($B564="","",COUNTIF(G564:N564,"Received"))</f>
        <v/>
      </c>
      <c r="T564" s="32">
        <f>IF($B564="","",COUNTIF(G564:N564,"Needs Correction"))</f>
        <v/>
      </c>
      <c r="U564" s="33">
        <f>IF($B564="","",IF($D564&lt;&gt;"Yes","",IF($E564="PTA",IF(AND(OR(I564="Accepted",I564="Not Needed"),OR(H564="Accepted",H564="Not Needed")),"None",MID(IF(AND(I564&lt;&gt;"Accepted",I564&lt;&gt;"Not Needed"),", "&amp;I$1,"")&amp;IF(AND(H564&lt;&gt;"Accepted",H564&lt;&gt;"Not Needed"),", "&amp;H$1,""),3,400)),IF($Q564&gt;=Settings!$C$13,"None",MID(IF(AND(G564&lt;&gt;"Accepted",G564&lt;&gt;"Not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Confirmed",IF($E565="PTA",IF(AND(OR(I565="Accepted",I565="Not Needed"),OR(H565="Accepted",H565="Not Needed")),"Registered",IF(OR(OR(I565="Accepted",I565="Received",I565="Needs Correction"),OR(H565="Accepted",H565="Received",H565="Needs Correction")),"In Progress","Not Started")),IF($Q565&gt;=Settings!$C$13,"Legalized",IF($P565&gt;=Settings!$C$12,"Registered",IF($O565&gt;0,"In Progress","Not Started")))))))</f>
        <v/>
      </c>
      <c r="S565" s="32">
        <f>IF($B565="","",COUNTIF(G565:N565,"Received"))</f>
        <v/>
      </c>
      <c r="T565" s="32">
        <f>IF($B565="","",COUNTIF(G565:N565,"Needs Correction"))</f>
        <v/>
      </c>
      <c r="U565" s="33">
        <f>IF($B565="","",IF($D565&lt;&gt;"Yes","",IF($E565="PTA",IF(AND(OR(I565="Accepted",I565="Not Needed"),OR(H565="Accepted",H565="Not Needed")),"None",MID(IF(AND(I565&lt;&gt;"Accepted",I565&lt;&gt;"Not Needed"),", "&amp;I$1,"")&amp;IF(AND(H565&lt;&gt;"Accepted",H565&lt;&gt;"Not Needed"),", "&amp;H$1,""),3,400)),IF($Q565&gt;=Settings!$C$13,"None",MID(IF(AND(G565&lt;&gt;"Accepted",G565&lt;&gt;"Not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Confirmed",IF($E566="PTA",IF(AND(OR(I566="Accepted",I566="Not Needed"),OR(H566="Accepted",H566="Not Needed")),"Registered",IF(OR(OR(I566="Accepted",I566="Received",I566="Needs Correction"),OR(H566="Accepted",H566="Received",H566="Needs Correction")),"In Progress","Not Started")),IF($Q566&gt;=Settings!$C$13,"Legalized",IF($P566&gt;=Settings!$C$12,"Registered",IF($O566&gt;0,"In Progress","Not Started")))))))</f>
        <v/>
      </c>
      <c r="S566" s="32">
        <f>IF($B566="","",COUNTIF(G566:N566,"Received"))</f>
        <v/>
      </c>
      <c r="T566" s="32">
        <f>IF($B566="","",COUNTIF(G566:N566,"Needs Correction"))</f>
        <v/>
      </c>
      <c r="U566" s="33">
        <f>IF($B566="","",IF($D566&lt;&gt;"Yes","",IF($E566="PTA",IF(AND(OR(I566="Accepted",I566="Not Needed"),OR(H566="Accepted",H566="Not Needed")),"None",MID(IF(AND(I566&lt;&gt;"Accepted",I566&lt;&gt;"Not Needed"),", "&amp;I$1,"")&amp;IF(AND(H566&lt;&gt;"Accepted",H566&lt;&gt;"Not Needed"),", "&amp;H$1,""),3,400)),IF($Q566&gt;=Settings!$C$13,"None",MID(IF(AND(G566&lt;&gt;"Accepted",G566&lt;&gt;"Not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Confirmed",IF($E567="PTA",IF(AND(OR(I567="Accepted",I567="Not Needed"),OR(H567="Accepted",H567="Not Needed")),"Registered",IF(OR(OR(I567="Accepted",I567="Received",I567="Needs Correction"),OR(H567="Accepted",H567="Received",H567="Needs Correction")),"In Progress","Not Started")),IF($Q567&gt;=Settings!$C$13,"Legalized",IF($P567&gt;=Settings!$C$12,"Registered",IF($O567&gt;0,"In Progress","Not Started")))))))</f>
        <v/>
      </c>
      <c r="S567" s="32">
        <f>IF($B567="","",COUNTIF(G567:N567,"Received"))</f>
        <v/>
      </c>
      <c r="T567" s="32">
        <f>IF($B567="","",COUNTIF(G567:N567,"Needs Correction"))</f>
        <v/>
      </c>
      <c r="U567" s="33">
        <f>IF($B567="","",IF($D567&lt;&gt;"Yes","",IF($E567="PTA",IF(AND(OR(I567="Accepted",I567="Not Needed"),OR(H567="Accepted",H567="Not Needed")),"None",MID(IF(AND(I567&lt;&gt;"Accepted",I567&lt;&gt;"Not Needed"),", "&amp;I$1,"")&amp;IF(AND(H567&lt;&gt;"Accepted",H567&lt;&gt;"Not Needed"),", "&amp;H$1,""),3,400)),IF($Q567&gt;=Settings!$C$13,"None",MID(IF(AND(G567&lt;&gt;"Accepted",G567&lt;&gt;"Not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Confirmed",IF($E568="PTA",IF(AND(OR(I568="Accepted",I568="Not Needed"),OR(H568="Accepted",H568="Not Needed")),"Registered",IF(OR(OR(I568="Accepted",I568="Received",I568="Needs Correction"),OR(H568="Accepted",H568="Received",H568="Needs Correction")),"In Progress","Not Started")),IF($Q568&gt;=Settings!$C$13,"Legalized",IF($P568&gt;=Settings!$C$12,"Registered",IF($O568&gt;0,"In Progress","Not Started")))))))</f>
        <v/>
      </c>
      <c r="S568" s="32">
        <f>IF($B568="","",COUNTIF(G568:N568,"Received"))</f>
        <v/>
      </c>
      <c r="T568" s="32">
        <f>IF($B568="","",COUNTIF(G568:N568,"Needs Correction"))</f>
        <v/>
      </c>
      <c r="U568" s="33">
        <f>IF($B568="","",IF($D568&lt;&gt;"Yes","",IF($E568="PTA",IF(AND(OR(I568="Accepted",I568="Not Needed"),OR(H568="Accepted",H568="Not Needed")),"None",MID(IF(AND(I568&lt;&gt;"Accepted",I568&lt;&gt;"Not Needed"),", "&amp;I$1,"")&amp;IF(AND(H568&lt;&gt;"Accepted",H568&lt;&gt;"Not Needed"),", "&amp;H$1,""),3,400)),IF($Q568&gt;=Settings!$C$13,"None",MID(IF(AND(G568&lt;&gt;"Accepted",G568&lt;&gt;"Not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Confirmed",IF($E569="PTA",IF(AND(OR(I569="Accepted",I569="Not Needed"),OR(H569="Accepted",H569="Not Needed")),"Registered",IF(OR(OR(I569="Accepted",I569="Received",I569="Needs Correction"),OR(H569="Accepted",H569="Received",H569="Needs Correction")),"In Progress","Not Started")),IF($Q569&gt;=Settings!$C$13,"Legalized",IF($P569&gt;=Settings!$C$12,"Registered",IF($O569&gt;0,"In Progress","Not Started")))))))</f>
        <v/>
      </c>
      <c r="S569" s="32">
        <f>IF($B569="","",COUNTIF(G569:N569,"Received"))</f>
        <v/>
      </c>
      <c r="T569" s="32">
        <f>IF($B569="","",COUNTIF(G569:N569,"Needs Correction"))</f>
        <v/>
      </c>
      <c r="U569" s="33">
        <f>IF($B569="","",IF($D569&lt;&gt;"Yes","",IF($E569="PTA",IF(AND(OR(I569="Accepted",I569="Not Needed"),OR(H569="Accepted",H569="Not Needed")),"None",MID(IF(AND(I569&lt;&gt;"Accepted",I569&lt;&gt;"Not Needed"),", "&amp;I$1,"")&amp;IF(AND(H569&lt;&gt;"Accepted",H569&lt;&gt;"Not Needed"),", "&amp;H$1,""),3,400)),IF($Q569&gt;=Settings!$C$13,"None",MID(IF(AND(G569&lt;&gt;"Accepted",G569&lt;&gt;"Not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Confirmed",IF($E570="PTA",IF(AND(OR(I570="Accepted",I570="Not Needed"),OR(H570="Accepted",H570="Not Needed")),"Registered",IF(OR(OR(I570="Accepted",I570="Received",I570="Needs Correction"),OR(H570="Accepted",H570="Received",H570="Needs Correction")),"In Progress","Not Started")),IF($Q570&gt;=Settings!$C$13,"Legalized",IF($P570&gt;=Settings!$C$12,"Registered",IF($O570&gt;0,"In Progress","Not Started")))))))</f>
        <v/>
      </c>
      <c r="S570" s="32">
        <f>IF($B570="","",COUNTIF(G570:N570,"Received"))</f>
        <v/>
      </c>
      <c r="T570" s="32">
        <f>IF($B570="","",COUNTIF(G570:N570,"Needs Correction"))</f>
        <v/>
      </c>
      <c r="U570" s="33">
        <f>IF($B570="","",IF($D570&lt;&gt;"Yes","",IF($E570="PTA",IF(AND(OR(I570="Accepted",I570="Not Needed"),OR(H570="Accepted",H570="Not Needed")),"None",MID(IF(AND(I570&lt;&gt;"Accepted",I570&lt;&gt;"Not Needed"),", "&amp;I$1,"")&amp;IF(AND(H570&lt;&gt;"Accepted",H570&lt;&gt;"Not Needed"),", "&amp;H$1,""),3,400)),IF($Q570&gt;=Settings!$C$13,"None",MID(IF(AND(G570&lt;&gt;"Accepted",G570&lt;&gt;"Not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Confirmed",IF($E571="PTA",IF(AND(OR(I571="Accepted",I571="Not Needed"),OR(H571="Accepted",H571="Not Needed")),"Registered",IF(OR(OR(I571="Accepted",I571="Received",I571="Needs Correction"),OR(H571="Accepted",H571="Received",H571="Needs Correction")),"In Progress","Not Started")),IF($Q571&gt;=Settings!$C$13,"Legalized",IF($P571&gt;=Settings!$C$12,"Registered",IF($O571&gt;0,"In Progress","Not Started")))))))</f>
        <v/>
      </c>
      <c r="S571" s="32">
        <f>IF($B571="","",COUNTIF(G571:N571,"Received"))</f>
        <v/>
      </c>
      <c r="T571" s="32">
        <f>IF($B571="","",COUNTIF(G571:N571,"Needs Correction"))</f>
        <v/>
      </c>
      <c r="U571" s="33">
        <f>IF($B571="","",IF($D571&lt;&gt;"Yes","",IF($E571="PTA",IF(AND(OR(I571="Accepted",I571="Not Needed"),OR(H571="Accepted",H571="Not Needed")),"None",MID(IF(AND(I571&lt;&gt;"Accepted",I571&lt;&gt;"Not Needed"),", "&amp;I$1,"")&amp;IF(AND(H571&lt;&gt;"Accepted",H571&lt;&gt;"Not Needed"),", "&amp;H$1,""),3,400)),IF($Q571&gt;=Settings!$C$13,"None",MID(IF(AND(G571&lt;&gt;"Accepted",G571&lt;&gt;"Not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Confirmed",IF($E572="PTA",IF(AND(OR(I572="Accepted",I572="Not Needed"),OR(H572="Accepted",H572="Not Needed")),"Registered",IF(OR(OR(I572="Accepted",I572="Received",I572="Needs Correction"),OR(H572="Accepted",H572="Received",H572="Needs Correction")),"In Progress","Not Started")),IF($Q572&gt;=Settings!$C$13,"Legalized",IF($P572&gt;=Settings!$C$12,"Registered",IF($O572&gt;0,"In Progress","Not Started")))))))</f>
        <v/>
      </c>
      <c r="S572" s="32">
        <f>IF($B572="","",COUNTIF(G572:N572,"Received"))</f>
        <v/>
      </c>
      <c r="T572" s="32">
        <f>IF($B572="","",COUNTIF(G572:N572,"Needs Correction"))</f>
        <v/>
      </c>
      <c r="U572" s="33">
        <f>IF($B572="","",IF($D572&lt;&gt;"Yes","",IF($E572="PTA",IF(AND(OR(I572="Accepted",I572="Not Needed"),OR(H572="Accepted",H572="Not Needed")),"None",MID(IF(AND(I572&lt;&gt;"Accepted",I572&lt;&gt;"Not Needed"),", "&amp;I$1,"")&amp;IF(AND(H572&lt;&gt;"Accepted",H572&lt;&gt;"Not Needed"),", "&amp;H$1,""),3,400)),IF($Q572&gt;=Settings!$C$13,"None",MID(IF(AND(G572&lt;&gt;"Accepted",G572&lt;&gt;"Not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Confirmed",IF($E573="PTA",IF(AND(OR(I573="Accepted",I573="Not Needed"),OR(H573="Accepted",H573="Not Needed")),"Registered",IF(OR(OR(I573="Accepted",I573="Received",I573="Needs Correction"),OR(H573="Accepted",H573="Received",H573="Needs Correction")),"In Progress","Not Started")),IF($Q573&gt;=Settings!$C$13,"Legalized",IF($P573&gt;=Settings!$C$12,"Registered",IF($O573&gt;0,"In Progress","Not Started")))))))</f>
        <v/>
      </c>
      <c r="S573" s="32">
        <f>IF($B573="","",COUNTIF(G573:N573,"Received"))</f>
        <v/>
      </c>
      <c r="T573" s="32">
        <f>IF($B573="","",COUNTIF(G573:N573,"Needs Correction"))</f>
        <v/>
      </c>
      <c r="U573" s="33">
        <f>IF($B573="","",IF($D573&lt;&gt;"Yes","",IF($E573="PTA",IF(AND(OR(I573="Accepted",I573="Not Needed"),OR(H573="Accepted",H573="Not Needed")),"None",MID(IF(AND(I573&lt;&gt;"Accepted",I573&lt;&gt;"Not Needed"),", "&amp;I$1,"")&amp;IF(AND(H573&lt;&gt;"Accepted",H573&lt;&gt;"Not Needed"),", "&amp;H$1,""),3,400)),IF($Q573&gt;=Settings!$C$13,"None",MID(IF(AND(G573&lt;&gt;"Accepted",G573&lt;&gt;"Not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Confirmed",IF($E574="PTA",IF(AND(OR(I574="Accepted",I574="Not Needed"),OR(H574="Accepted",H574="Not Needed")),"Registered",IF(OR(OR(I574="Accepted",I574="Received",I574="Needs Correction"),OR(H574="Accepted",H574="Received",H574="Needs Correction")),"In Progress","Not Started")),IF($Q574&gt;=Settings!$C$13,"Legalized",IF($P574&gt;=Settings!$C$12,"Registered",IF($O574&gt;0,"In Progress","Not Started")))))))</f>
        <v/>
      </c>
      <c r="S574" s="32">
        <f>IF($B574="","",COUNTIF(G574:N574,"Received"))</f>
        <v/>
      </c>
      <c r="T574" s="32">
        <f>IF($B574="","",COUNTIF(G574:N574,"Needs Correction"))</f>
        <v/>
      </c>
      <c r="U574" s="33">
        <f>IF($B574="","",IF($D574&lt;&gt;"Yes","",IF($E574="PTA",IF(AND(OR(I574="Accepted",I574="Not Needed"),OR(H574="Accepted",H574="Not Needed")),"None",MID(IF(AND(I574&lt;&gt;"Accepted",I574&lt;&gt;"Not Needed"),", "&amp;I$1,"")&amp;IF(AND(H574&lt;&gt;"Accepted",H574&lt;&gt;"Not Needed"),", "&amp;H$1,""),3,400)),IF($Q574&gt;=Settings!$C$13,"None",MID(IF(AND(G574&lt;&gt;"Accepted",G574&lt;&gt;"Not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Confirmed",IF($E575="PTA",IF(AND(OR(I575="Accepted",I575="Not Needed"),OR(H575="Accepted",H575="Not Needed")),"Registered",IF(OR(OR(I575="Accepted",I575="Received",I575="Needs Correction"),OR(H575="Accepted",H575="Received",H575="Needs Correction")),"In Progress","Not Started")),IF($Q575&gt;=Settings!$C$13,"Legalized",IF($P575&gt;=Settings!$C$12,"Registered",IF($O575&gt;0,"In Progress","Not Started")))))))</f>
        <v/>
      </c>
      <c r="S575" s="32">
        <f>IF($B575="","",COUNTIF(G575:N575,"Received"))</f>
        <v/>
      </c>
      <c r="T575" s="32">
        <f>IF($B575="","",COUNTIF(G575:N575,"Needs Correction"))</f>
        <v/>
      </c>
      <c r="U575" s="33">
        <f>IF($B575="","",IF($D575&lt;&gt;"Yes","",IF($E575="PTA",IF(AND(OR(I575="Accepted",I575="Not Needed"),OR(H575="Accepted",H575="Not Needed")),"None",MID(IF(AND(I575&lt;&gt;"Accepted",I575&lt;&gt;"Not Needed"),", "&amp;I$1,"")&amp;IF(AND(H575&lt;&gt;"Accepted",H575&lt;&gt;"Not Needed"),", "&amp;H$1,""),3,400)),IF($Q575&gt;=Settings!$C$13,"None",MID(IF(AND(G575&lt;&gt;"Accepted",G575&lt;&gt;"Not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Confirmed",IF($E576="PTA",IF(AND(OR(I576="Accepted",I576="Not Needed"),OR(H576="Accepted",H576="Not Needed")),"Registered",IF(OR(OR(I576="Accepted",I576="Received",I576="Needs Correction"),OR(H576="Accepted",H576="Received",H576="Needs Correction")),"In Progress","Not Started")),IF($Q576&gt;=Settings!$C$13,"Legalized",IF($P576&gt;=Settings!$C$12,"Registered",IF($O576&gt;0,"In Progress","Not Started")))))))</f>
        <v/>
      </c>
      <c r="S576" s="32">
        <f>IF($B576="","",COUNTIF(G576:N576,"Received"))</f>
        <v/>
      </c>
      <c r="T576" s="32">
        <f>IF($B576="","",COUNTIF(G576:N576,"Needs Correction"))</f>
        <v/>
      </c>
      <c r="U576" s="33">
        <f>IF($B576="","",IF($D576&lt;&gt;"Yes","",IF($E576="PTA",IF(AND(OR(I576="Accepted",I576="Not Needed"),OR(H576="Accepted",H576="Not Needed")),"None",MID(IF(AND(I576&lt;&gt;"Accepted",I576&lt;&gt;"Not Needed"),", "&amp;I$1,"")&amp;IF(AND(H576&lt;&gt;"Accepted",H576&lt;&gt;"Not Needed"),", "&amp;H$1,""),3,400)),IF($Q576&gt;=Settings!$C$13,"None",MID(IF(AND(G576&lt;&gt;"Accepted",G576&lt;&gt;"Not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Confirmed",IF($E577="PTA",IF(AND(OR(I577="Accepted",I577="Not Needed"),OR(H577="Accepted",H577="Not Needed")),"Registered",IF(OR(OR(I577="Accepted",I577="Received",I577="Needs Correction"),OR(H577="Accepted",H577="Received",H577="Needs Correction")),"In Progress","Not Started")),IF($Q577&gt;=Settings!$C$13,"Legalized",IF($P577&gt;=Settings!$C$12,"Registered",IF($O577&gt;0,"In Progress","Not Started")))))))</f>
        <v/>
      </c>
      <c r="S577" s="32">
        <f>IF($B577="","",COUNTIF(G577:N577,"Received"))</f>
        <v/>
      </c>
      <c r="T577" s="32">
        <f>IF($B577="","",COUNTIF(G577:N577,"Needs Correction"))</f>
        <v/>
      </c>
      <c r="U577" s="33">
        <f>IF($B577="","",IF($D577&lt;&gt;"Yes","",IF($E577="PTA",IF(AND(OR(I577="Accepted",I577="Not Needed"),OR(H577="Accepted",H577="Not Needed")),"None",MID(IF(AND(I577&lt;&gt;"Accepted",I577&lt;&gt;"Not Needed"),", "&amp;I$1,"")&amp;IF(AND(H577&lt;&gt;"Accepted",H577&lt;&gt;"Not Needed"),", "&amp;H$1,""),3,400)),IF($Q577&gt;=Settings!$C$13,"None",MID(IF(AND(G577&lt;&gt;"Accepted",G577&lt;&gt;"Not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Confirmed",IF($E578="PTA",IF(AND(OR(I578="Accepted",I578="Not Needed"),OR(H578="Accepted",H578="Not Needed")),"Registered",IF(OR(OR(I578="Accepted",I578="Received",I578="Needs Correction"),OR(H578="Accepted",H578="Received",H578="Needs Correction")),"In Progress","Not Started")),IF($Q578&gt;=Settings!$C$13,"Legalized",IF($P578&gt;=Settings!$C$12,"Registered",IF($O578&gt;0,"In Progress","Not Started")))))))</f>
        <v/>
      </c>
      <c r="S578" s="32">
        <f>IF($B578="","",COUNTIF(G578:N578,"Received"))</f>
        <v/>
      </c>
      <c r="T578" s="32">
        <f>IF($B578="","",COUNTIF(G578:N578,"Needs Correction"))</f>
        <v/>
      </c>
      <c r="U578" s="33">
        <f>IF($B578="","",IF($D578&lt;&gt;"Yes","",IF($E578="PTA",IF(AND(OR(I578="Accepted",I578="Not Needed"),OR(H578="Accepted",H578="Not Needed")),"None",MID(IF(AND(I578&lt;&gt;"Accepted",I578&lt;&gt;"Not Needed"),", "&amp;I$1,"")&amp;IF(AND(H578&lt;&gt;"Accepted",H578&lt;&gt;"Not Needed"),", "&amp;H$1,""),3,400)),IF($Q578&gt;=Settings!$C$13,"None",MID(IF(AND(G578&lt;&gt;"Accepted",G578&lt;&gt;"Not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Confirmed",IF($E579="PTA",IF(AND(OR(I579="Accepted",I579="Not Needed"),OR(H579="Accepted",H579="Not Needed")),"Registered",IF(OR(OR(I579="Accepted",I579="Received",I579="Needs Correction"),OR(H579="Accepted",H579="Received",H579="Needs Correction")),"In Progress","Not Started")),IF($Q579&gt;=Settings!$C$13,"Legalized",IF($P579&gt;=Settings!$C$12,"Registered",IF($O579&gt;0,"In Progress","Not Started")))))))</f>
        <v/>
      </c>
      <c r="S579" s="32">
        <f>IF($B579="","",COUNTIF(G579:N579,"Received"))</f>
        <v/>
      </c>
      <c r="T579" s="32">
        <f>IF($B579="","",COUNTIF(G579:N579,"Needs Correction"))</f>
        <v/>
      </c>
      <c r="U579" s="33">
        <f>IF($B579="","",IF($D579&lt;&gt;"Yes","",IF($E579="PTA",IF(AND(OR(I579="Accepted",I579="Not Needed"),OR(H579="Accepted",H579="Not Needed")),"None",MID(IF(AND(I579&lt;&gt;"Accepted",I579&lt;&gt;"Not Needed"),", "&amp;I$1,"")&amp;IF(AND(H579&lt;&gt;"Accepted",H579&lt;&gt;"Not Needed"),", "&amp;H$1,""),3,400)),IF($Q579&gt;=Settings!$C$13,"None",MID(IF(AND(G579&lt;&gt;"Accepted",G579&lt;&gt;"Not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Confirmed",IF($E580="PTA",IF(AND(OR(I580="Accepted",I580="Not Needed"),OR(H580="Accepted",H580="Not Needed")),"Registered",IF(OR(OR(I580="Accepted",I580="Received",I580="Needs Correction"),OR(H580="Accepted",H580="Received",H580="Needs Correction")),"In Progress","Not Started")),IF($Q580&gt;=Settings!$C$13,"Legalized",IF($P580&gt;=Settings!$C$12,"Registered",IF($O580&gt;0,"In Progress","Not Started")))))))</f>
        <v/>
      </c>
      <c r="S580" s="32">
        <f>IF($B580="","",COUNTIF(G580:N580,"Received"))</f>
        <v/>
      </c>
      <c r="T580" s="32">
        <f>IF($B580="","",COUNTIF(G580:N580,"Needs Correction"))</f>
        <v/>
      </c>
      <c r="U580" s="33">
        <f>IF($B580="","",IF($D580&lt;&gt;"Yes","",IF($E580="PTA",IF(AND(OR(I580="Accepted",I580="Not Needed"),OR(H580="Accepted",H580="Not Needed")),"None",MID(IF(AND(I580&lt;&gt;"Accepted",I580&lt;&gt;"Not Needed"),", "&amp;I$1,"")&amp;IF(AND(H580&lt;&gt;"Accepted",H580&lt;&gt;"Not Needed"),", "&amp;H$1,""),3,400)),IF($Q580&gt;=Settings!$C$13,"None",MID(IF(AND(G580&lt;&gt;"Accepted",G580&lt;&gt;"Not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Confirmed",IF($E581="PTA",IF(AND(OR(I581="Accepted",I581="Not Needed"),OR(H581="Accepted",H581="Not Needed")),"Registered",IF(OR(OR(I581="Accepted",I581="Received",I581="Needs Correction"),OR(H581="Accepted",H581="Received",H581="Needs Correction")),"In Progress","Not Started")),IF($Q581&gt;=Settings!$C$13,"Legalized",IF($P581&gt;=Settings!$C$12,"Registered",IF($O581&gt;0,"In Progress","Not Started")))))))</f>
        <v/>
      </c>
      <c r="S581" s="32">
        <f>IF($B581="","",COUNTIF(G581:N581,"Received"))</f>
        <v/>
      </c>
      <c r="T581" s="32">
        <f>IF($B581="","",COUNTIF(G581:N581,"Needs Correction"))</f>
        <v/>
      </c>
      <c r="U581" s="33">
        <f>IF($B581="","",IF($D581&lt;&gt;"Yes","",IF($E581="PTA",IF(AND(OR(I581="Accepted",I581="Not Needed"),OR(H581="Accepted",H581="Not Needed")),"None",MID(IF(AND(I581&lt;&gt;"Accepted",I581&lt;&gt;"Not Needed"),", "&amp;I$1,"")&amp;IF(AND(H581&lt;&gt;"Accepted",H581&lt;&gt;"Not Needed"),", "&amp;H$1,""),3,400)),IF($Q581&gt;=Settings!$C$13,"None",MID(IF(AND(G581&lt;&gt;"Accepted",G581&lt;&gt;"Not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Confirmed",IF($E582="PTA",IF(AND(OR(I582="Accepted",I582="Not Needed"),OR(H582="Accepted",H582="Not Needed")),"Registered",IF(OR(OR(I582="Accepted",I582="Received",I582="Needs Correction"),OR(H582="Accepted",H582="Received",H582="Needs Correction")),"In Progress","Not Started")),IF($Q582&gt;=Settings!$C$13,"Legalized",IF($P582&gt;=Settings!$C$12,"Registered",IF($O582&gt;0,"In Progress","Not Started")))))))</f>
        <v/>
      </c>
      <c r="S582" s="32">
        <f>IF($B582="","",COUNTIF(G582:N582,"Received"))</f>
        <v/>
      </c>
      <c r="T582" s="32">
        <f>IF($B582="","",COUNTIF(G582:N582,"Needs Correction"))</f>
        <v/>
      </c>
      <c r="U582" s="33">
        <f>IF($B582="","",IF($D582&lt;&gt;"Yes","",IF($E582="PTA",IF(AND(OR(I582="Accepted",I582="Not Needed"),OR(H582="Accepted",H582="Not Needed")),"None",MID(IF(AND(I582&lt;&gt;"Accepted",I582&lt;&gt;"Not Needed"),", "&amp;I$1,"")&amp;IF(AND(H582&lt;&gt;"Accepted",H582&lt;&gt;"Not Needed"),", "&amp;H$1,""),3,400)),IF($Q582&gt;=Settings!$C$13,"None",MID(IF(AND(G582&lt;&gt;"Accepted",G582&lt;&gt;"Not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Confirmed",IF($E583="PTA",IF(AND(OR(I583="Accepted",I583="Not Needed"),OR(H583="Accepted",H583="Not Needed")),"Registered",IF(OR(OR(I583="Accepted",I583="Received",I583="Needs Correction"),OR(H583="Accepted",H583="Received",H583="Needs Correction")),"In Progress","Not Started")),IF($Q583&gt;=Settings!$C$13,"Legalized",IF($P583&gt;=Settings!$C$12,"Registered",IF($O583&gt;0,"In Progress","Not Started")))))))</f>
        <v/>
      </c>
      <c r="S583" s="32">
        <f>IF($B583="","",COUNTIF(G583:N583,"Received"))</f>
        <v/>
      </c>
      <c r="T583" s="32">
        <f>IF($B583="","",COUNTIF(G583:N583,"Needs Correction"))</f>
        <v/>
      </c>
      <c r="U583" s="33">
        <f>IF($B583="","",IF($D583&lt;&gt;"Yes","",IF($E583="PTA",IF(AND(OR(I583="Accepted",I583="Not Needed"),OR(H583="Accepted",H583="Not Needed")),"None",MID(IF(AND(I583&lt;&gt;"Accepted",I583&lt;&gt;"Not Needed"),", "&amp;I$1,"")&amp;IF(AND(H583&lt;&gt;"Accepted",H583&lt;&gt;"Not Needed"),", "&amp;H$1,""),3,400)),IF($Q583&gt;=Settings!$C$13,"None",MID(IF(AND(G583&lt;&gt;"Accepted",G583&lt;&gt;"Not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Confirmed",IF($E584="PTA",IF(AND(OR(I584="Accepted",I584="Not Needed"),OR(H584="Accepted",H584="Not Needed")),"Registered",IF(OR(OR(I584="Accepted",I584="Received",I584="Needs Correction"),OR(H584="Accepted",H584="Received",H584="Needs Correction")),"In Progress","Not Started")),IF($Q584&gt;=Settings!$C$13,"Legalized",IF($P584&gt;=Settings!$C$12,"Registered",IF($O584&gt;0,"In Progress","Not Started")))))))</f>
        <v/>
      </c>
      <c r="S584" s="32">
        <f>IF($B584="","",COUNTIF(G584:N584,"Received"))</f>
        <v/>
      </c>
      <c r="T584" s="32">
        <f>IF($B584="","",COUNTIF(G584:N584,"Needs Correction"))</f>
        <v/>
      </c>
      <c r="U584" s="33">
        <f>IF($B584="","",IF($D584&lt;&gt;"Yes","",IF($E584="PTA",IF(AND(OR(I584="Accepted",I584="Not Needed"),OR(H584="Accepted",H584="Not Needed")),"None",MID(IF(AND(I584&lt;&gt;"Accepted",I584&lt;&gt;"Not Needed"),", "&amp;I$1,"")&amp;IF(AND(H584&lt;&gt;"Accepted",H584&lt;&gt;"Not Needed"),", "&amp;H$1,""),3,400)),IF($Q584&gt;=Settings!$C$13,"None",MID(IF(AND(G584&lt;&gt;"Accepted",G584&lt;&gt;"Not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Confirmed",IF($E585="PTA",IF(AND(OR(I585="Accepted",I585="Not Needed"),OR(H585="Accepted",H585="Not Needed")),"Registered",IF(OR(OR(I585="Accepted",I585="Received",I585="Needs Correction"),OR(H585="Accepted",H585="Received",H585="Needs Correction")),"In Progress","Not Started")),IF($Q585&gt;=Settings!$C$13,"Legalized",IF($P585&gt;=Settings!$C$12,"Registered",IF($O585&gt;0,"In Progress","Not Started")))))))</f>
        <v/>
      </c>
      <c r="S585" s="32">
        <f>IF($B585="","",COUNTIF(G585:N585,"Received"))</f>
        <v/>
      </c>
      <c r="T585" s="32">
        <f>IF($B585="","",COUNTIF(G585:N585,"Needs Correction"))</f>
        <v/>
      </c>
      <c r="U585" s="33">
        <f>IF($B585="","",IF($D585&lt;&gt;"Yes","",IF($E585="PTA",IF(AND(OR(I585="Accepted",I585="Not Needed"),OR(H585="Accepted",H585="Not Needed")),"None",MID(IF(AND(I585&lt;&gt;"Accepted",I585&lt;&gt;"Not Needed"),", "&amp;I$1,"")&amp;IF(AND(H585&lt;&gt;"Accepted",H585&lt;&gt;"Not Needed"),", "&amp;H$1,""),3,400)),IF($Q585&gt;=Settings!$C$13,"None",MID(IF(AND(G585&lt;&gt;"Accepted",G585&lt;&gt;"Not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Confirmed",IF($E586="PTA",IF(AND(OR(I586="Accepted",I586="Not Needed"),OR(H586="Accepted",H586="Not Needed")),"Registered",IF(OR(OR(I586="Accepted",I586="Received",I586="Needs Correction"),OR(H586="Accepted",H586="Received",H586="Needs Correction")),"In Progress","Not Started")),IF($Q586&gt;=Settings!$C$13,"Legalized",IF($P586&gt;=Settings!$C$12,"Registered",IF($O586&gt;0,"In Progress","Not Started")))))))</f>
        <v/>
      </c>
      <c r="S586" s="32">
        <f>IF($B586="","",COUNTIF(G586:N586,"Received"))</f>
        <v/>
      </c>
      <c r="T586" s="32">
        <f>IF($B586="","",COUNTIF(G586:N586,"Needs Correction"))</f>
        <v/>
      </c>
      <c r="U586" s="33">
        <f>IF($B586="","",IF($D586&lt;&gt;"Yes","",IF($E586="PTA",IF(AND(OR(I586="Accepted",I586="Not Needed"),OR(H586="Accepted",H586="Not Needed")),"None",MID(IF(AND(I586&lt;&gt;"Accepted",I586&lt;&gt;"Not Needed"),", "&amp;I$1,"")&amp;IF(AND(H586&lt;&gt;"Accepted",H586&lt;&gt;"Not Needed"),", "&amp;H$1,""),3,400)),IF($Q586&gt;=Settings!$C$13,"None",MID(IF(AND(G586&lt;&gt;"Accepted",G586&lt;&gt;"Not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Confirmed",IF($E587="PTA",IF(AND(OR(I587="Accepted",I587="Not Needed"),OR(H587="Accepted",H587="Not Needed")),"Registered",IF(OR(OR(I587="Accepted",I587="Received",I587="Needs Correction"),OR(H587="Accepted",H587="Received",H587="Needs Correction")),"In Progress","Not Started")),IF($Q587&gt;=Settings!$C$13,"Legalized",IF($P587&gt;=Settings!$C$12,"Registered",IF($O587&gt;0,"In Progress","Not Started")))))))</f>
        <v/>
      </c>
      <c r="S587" s="32">
        <f>IF($B587="","",COUNTIF(G587:N587,"Received"))</f>
        <v/>
      </c>
      <c r="T587" s="32">
        <f>IF($B587="","",COUNTIF(G587:N587,"Needs Correction"))</f>
        <v/>
      </c>
      <c r="U587" s="33">
        <f>IF($B587="","",IF($D587&lt;&gt;"Yes","",IF($E587="PTA",IF(AND(OR(I587="Accepted",I587="Not Needed"),OR(H587="Accepted",H587="Not Needed")),"None",MID(IF(AND(I587&lt;&gt;"Accepted",I587&lt;&gt;"Not Needed"),", "&amp;I$1,"")&amp;IF(AND(H587&lt;&gt;"Accepted",H587&lt;&gt;"Not Needed"),", "&amp;H$1,""),3,400)),IF($Q587&gt;=Settings!$C$13,"None",MID(IF(AND(G587&lt;&gt;"Accepted",G587&lt;&gt;"Not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Confirmed",IF($E588="PTA",IF(AND(OR(I588="Accepted",I588="Not Needed"),OR(H588="Accepted",H588="Not Needed")),"Registered",IF(OR(OR(I588="Accepted",I588="Received",I588="Needs Correction"),OR(H588="Accepted",H588="Received",H588="Needs Correction")),"In Progress","Not Started")),IF($Q588&gt;=Settings!$C$13,"Legalized",IF($P588&gt;=Settings!$C$12,"Registered",IF($O588&gt;0,"In Progress","Not Started")))))))</f>
        <v/>
      </c>
      <c r="S588" s="32">
        <f>IF($B588="","",COUNTIF(G588:N588,"Received"))</f>
        <v/>
      </c>
      <c r="T588" s="32">
        <f>IF($B588="","",COUNTIF(G588:N588,"Needs Correction"))</f>
        <v/>
      </c>
      <c r="U588" s="33">
        <f>IF($B588="","",IF($D588&lt;&gt;"Yes","",IF($E588="PTA",IF(AND(OR(I588="Accepted",I588="Not Needed"),OR(H588="Accepted",H588="Not Needed")),"None",MID(IF(AND(I588&lt;&gt;"Accepted",I588&lt;&gt;"Not Needed"),", "&amp;I$1,"")&amp;IF(AND(H588&lt;&gt;"Accepted",H588&lt;&gt;"Not Needed"),", "&amp;H$1,""),3,400)),IF($Q588&gt;=Settings!$C$13,"None",MID(IF(AND(G588&lt;&gt;"Accepted",G588&lt;&gt;"Not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Confirmed",IF($E589="PTA",IF(AND(OR(I589="Accepted",I589="Not Needed"),OR(H589="Accepted",H589="Not Needed")),"Registered",IF(OR(OR(I589="Accepted",I589="Received",I589="Needs Correction"),OR(H589="Accepted",H589="Received",H589="Needs Correction")),"In Progress","Not Started")),IF($Q589&gt;=Settings!$C$13,"Legalized",IF($P589&gt;=Settings!$C$12,"Registered",IF($O589&gt;0,"In Progress","Not Started")))))))</f>
        <v/>
      </c>
      <c r="S589" s="32">
        <f>IF($B589="","",COUNTIF(G589:N589,"Received"))</f>
        <v/>
      </c>
      <c r="T589" s="32">
        <f>IF($B589="","",COUNTIF(G589:N589,"Needs Correction"))</f>
        <v/>
      </c>
      <c r="U589" s="33">
        <f>IF($B589="","",IF($D589&lt;&gt;"Yes","",IF($E589="PTA",IF(AND(OR(I589="Accepted",I589="Not Needed"),OR(H589="Accepted",H589="Not Needed")),"None",MID(IF(AND(I589&lt;&gt;"Accepted",I589&lt;&gt;"Not Needed"),", "&amp;I$1,"")&amp;IF(AND(H589&lt;&gt;"Accepted",H589&lt;&gt;"Not Needed"),", "&amp;H$1,""),3,400)),IF($Q589&gt;=Settings!$C$13,"None",MID(IF(AND(G589&lt;&gt;"Accepted",G589&lt;&gt;"Not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Confirmed",IF($E590="PTA",IF(AND(OR(I590="Accepted",I590="Not Needed"),OR(H590="Accepted",H590="Not Needed")),"Registered",IF(OR(OR(I590="Accepted",I590="Received",I590="Needs Correction"),OR(H590="Accepted",H590="Received",H590="Needs Correction")),"In Progress","Not Started")),IF($Q590&gt;=Settings!$C$13,"Legalized",IF($P590&gt;=Settings!$C$12,"Registered",IF($O590&gt;0,"In Progress","Not Started")))))))</f>
        <v/>
      </c>
      <c r="S590" s="32">
        <f>IF($B590="","",COUNTIF(G590:N590,"Received"))</f>
        <v/>
      </c>
      <c r="T590" s="32">
        <f>IF($B590="","",COUNTIF(G590:N590,"Needs Correction"))</f>
        <v/>
      </c>
      <c r="U590" s="33">
        <f>IF($B590="","",IF($D590&lt;&gt;"Yes","",IF($E590="PTA",IF(AND(OR(I590="Accepted",I590="Not Needed"),OR(H590="Accepted",H590="Not Needed")),"None",MID(IF(AND(I590&lt;&gt;"Accepted",I590&lt;&gt;"Not Needed"),", "&amp;I$1,"")&amp;IF(AND(H590&lt;&gt;"Accepted",H590&lt;&gt;"Not Needed"),", "&amp;H$1,""),3,400)),IF($Q590&gt;=Settings!$C$13,"None",MID(IF(AND(G590&lt;&gt;"Accepted",G590&lt;&gt;"Not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Confirmed",IF($E591="PTA",IF(AND(OR(I591="Accepted",I591="Not Needed"),OR(H591="Accepted",H591="Not Needed")),"Registered",IF(OR(OR(I591="Accepted",I591="Received",I591="Needs Correction"),OR(H591="Accepted",H591="Received",H591="Needs Correction")),"In Progress","Not Started")),IF($Q591&gt;=Settings!$C$13,"Legalized",IF($P591&gt;=Settings!$C$12,"Registered",IF($O591&gt;0,"In Progress","Not Started")))))))</f>
        <v/>
      </c>
      <c r="S591" s="32">
        <f>IF($B591="","",COUNTIF(G591:N591,"Received"))</f>
        <v/>
      </c>
      <c r="T591" s="32">
        <f>IF($B591="","",COUNTIF(G591:N591,"Needs Correction"))</f>
        <v/>
      </c>
      <c r="U591" s="33">
        <f>IF($B591="","",IF($D591&lt;&gt;"Yes","",IF($E591="PTA",IF(AND(OR(I591="Accepted",I591="Not Needed"),OR(H591="Accepted",H591="Not Needed")),"None",MID(IF(AND(I591&lt;&gt;"Accepted",I591&lt;&gt;"Not Needed"),", "&amp;I$1,"")&amp;IF(AND(H591&lt;&gt;"Accepted",H591&lt;&gt;"Not Needed"),", "&amp;H$1,""),3,400)),IF($Q591&gt;=Settings!$C$13,"None",MID(IF(AND(G591&lt;&gt;"Accepted",G591&lt;&gt;"Not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Confirmed",IF($E592="PTA",IF(AND(OR(I592="Accepted",I592="Not Needed"),OR(H592="Accepted",H592="Not Needed")),"Registered",IF(OR(OR(I592="Accepted",I592="Received",I592="Needs Correction"),OR(H592="Accepted",H592="Received",H592="Needs Correction")),"In Progress","Not Started")),IF($Q592&gt;=Settings!$C$13,"Legalized",IF($P592&gt;=Settings!$C$12,"Registered",IF($O592&gt;0,"In Progress","Not Started")))))))</f>
        <v/>
      </c>
      <c r="S592" s="32">
        <f>IF($B592="","",COUNTIF(G592:N592,"Received"))</f>
        <v/>
      </c>
      <c r="T592" s="32">
        <f>IF($B592="","",COUNTIF(G592:N592,"Needs Correction"))</f>
        <v/>
      </c>
      <c r="U592" s="33">
        <f>IF($B592="","",IF($D592&lt;&gt;"Yes","",IF($E592="PTA",IF(AND(OR(I592="Accepted",I592="Not Needed"),OR(H592="Accepted",H592="Not Needed")),"None",MID(IF(AND(I592&lt;&gt;"Accepted",I592&lt;&gt;"Not Needed"),", "&amp;I$1,"")&amp;IF(AND(H592&lt;&gt;"Accepted",H592&lt;&gt;"Not Needed"),", "&amp;H$1,""),3,400)),IF($Q592&gt;=Settings!$C$13,"None",MID(IF(AND(G592&lt;&gt;"Accepted",G592&lt;&gt;"Not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Confirmed",IF($E593="PTA",IF(AND(OR(I593="Accepted",I593="Not Needed"),OR(H593="Accepted",H593="Not Needed")),"Registered",IF(OR(OR(I593="Accepted",I593="Received",I593="Needs Correction"),OR(H593="Accepted",H593="Received",H593="Needs Correction")),"In Progress","Not Started")),IF($Q593&gt;=Settings!$C$13,"Legalized",IF($P593&gt;=Settings!$C$12,"Registered",IF($O593&gt;0,"In Progress","Not Started")))))))</f>
        <v/>
      </c>
      <c r="S593" s="32">
        <f>IF($B593="","",COUNTIF(G593:N593,"Received"))</f>
        <v/>
      </c>
      <c r="T593" s="32">
        <f>IF($B593="","",COUNTIF(G593:N593,"Needs Correction"))</f>
        <v/>
      </c>
      <c r="U593" s="33">
        <f>IF($B593="","",IF($D593&lt;&gt;"Yes","",IF($E593="PTA",IF(AND(OR(I593="Accepted",I593="Not Needed"),OR(H593="Accepted",H593="Not Needed")),"None",MID(IF(AND(I593&lt;&gt;"Accepted",I593&lt;&gt;"Not Needed"),", "&amp;I$1,"")&amp;IF(AND(H593&lt;&gt;"Accepted",H593&lt;&gt;"Not Needed"),", "&amp;H$1,""),3,400)),IF($Q593&gt;=Settings!$C$13,"None",MID(IF(AND(G593&lt;&gt;"Accepted",G593&lt;&gt;"Not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Confirmed",IF($E594="PTA",IF(AND(OR(I594="Accepted",I594="Not Needed"),OR(H594="Accepted",H594="Not Needed")),"Registered",IF(OR(OR(I594="Accepted",I594="Received",I594="Needs Correction"),OR(H594="Accepted",H594="Received",H594="Needs Correction")),"In Progress","Not Started")),IF($Q594&gt;=Settings!$C$13,"Legalized",IF($P594&gt;=Settings!$C$12,"Registered",IF($O594&gt;0,"In Progress","Not Started")))))))</f>
        <v/>
      </c>
      <c r="S594" s="32">
        <f>IF($B594="","",COUNTIF(G594:N594,"Received"))</f>
        <v/>
      </c>
      <c r="T594" s="32">
        <f>IF($B594="","",COUNTIF(G594:N594,"Needs Correction"))</f>
        <v/>
      </c>
      <c r="U594" s="33">
        <f>IF($B594="","",IF($D594&lt;&gt;"Yes","",IF($E594="PTA",IF(AND(OR(I594="Accepted",I594="Not Needed"),OR(H594="Accepted",H594="Not Needed")),"None",MID(IF(AND(I594&lt;&gt;"Accepted",I594&lt;&gt;"Not Needed"),", "&amp;I$1,"")&amp;IF(AND(H594&lt;&gt;"Accepted",H594&lt;&gt;"Not Needed"),", "&amp;H$1,""),3,400)),IF($Q594&gt;=Settings!$C$13,"None",MID(IF(AND(G594&lt;&gt;"Accepted",G594&lt;&gt;"Not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Confirmed",IF($E595="PTA",IF(AND(OR(I595="Accepted",I595="Not Needed"),OR(H595="Accepted",H595="Not Needed")),"Registered",IF(OR(OR(I595="Accepted",I595="Received",I595="Needs Correction"),OR(H595="Accepted",H595="Received",H595="Needs Correction")),"In Progress","Not Started")),IF($Q595&gt;=Settings!$C$13,"Legalized",IF($P595&gt;=Settings!$C$12,"Registered",IF($O595&gt;0,"In Progress","Not Started")))))))</f>
        <v/>
      </c>
      <c r="S595" s="32">
        <f>IF($B595="","",COUNTIF(G595:N595,"Received"))</f>
        <v/>
      </c>
      <c r="T595" s="32">
        <f>IF($B595="","",COUNTIF(G595:N595,"Needs Correction"))</f>
        <v/>
      </c>
      <c r="U595" s="33">
        <f>IF($B595="","",IF($D595&lt;&gt;"Yes","",IF($E595="PTA",IF(AND(OR(I595="Accepted",I595="Not Needed"),OR(H595="Accepted",H595="Not Needed")),"None",MID(IF(AND(I595&lt;&gt;"Accepted",I595&lt;&gt;"Not Needed"),", "&amp;I$1,"")&amp;IF(AND(H595&lt;&gt;"Accepted",H595&lt;&gt;"Not Needed"),", "&amp;H$1,""),3,400)),IF($Q595&gt;=Settings!$C$13,"None",MID(IF(AND(G595&lt;&gt;"Accepted",G595&lt;&gt;"Not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Confirmed",IF($E596="PTA",IF(AND(OR(I596="Accepted",I596="Not Needed"),OR(H596="Accepted",H596="Not Needed")),"Registered",IF(OR(OR(I596="Accepted",I596="Received",I596="Needs Correction"),OR(H596="Accepted",H596="Received",H596="Needs Correction")),"In Progress","Not Started")),IF($Q596&gt;=Settings!$C$13,"Legalized",IF($P596&gt;=Settings!$C$12,"Registered",IF($O596&gt;0,"In Progress","Not Started")))))))</f>
        <v/>
      </c>
      <c r="S596" s="32">
        <f>IF($B596="","",COUNTIF(G596:N596,"Received"))</f>
        <v/>
      </c>
      <c r="T596" s="32">
        <f>IF($B596="","",COUNTIF(G596:N596,"Needs Correction"))</f>
        <v/>
      </c>
      <c r="U596" s="33">
        <f>IF($B596="","",IF($D596&lt;&gt;"Yes","",IF($E596="PTA",IF(AND(OR(I596="Accepted",I596="Not Needed"),OR(H596="Accepted",H596="Not Needed")),"None",MID(IF(AND(I596&lt;&gt;"Accepted",I596&lt;&gt;"Not Needed"),", "&amp;I$1,"")&amp;IF(AND(H596&lt;&gt;"Accepted",H596&lt;&gt;"Not Needed"),", "&amp;H$1,""),3,400)),IF($Q596&gt;=Settings!$C$13,"None",MID(IF(AND(G596&lt;&gt;"Accepted",G596&lt;&gt;"Not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f>IF($B597="","",COUNTIF(G597:N597,"Accepted")+COUNTIF(G597:N597,"Received")+COUNTIF(G597:N597,"Needs Correction"))</f>
        <v/>
      </c>
      <c r="P597" s="32">
        <f>IF($B597="","",SUMPRODUCT(((G597:N597="Accepted")+(G597:N597="Not Needed"))*(Settings!$C$11:$J$11="Yes")))</f>
        <v/>
      </c>
      <c r="Q597" s="32">
        <f>IF($B597="","",SUMPRODUCT(((G597:N597="Accepted")+(G597:N597="Not Needed"))*(Settings!$C$15:$J$15="Yes")))</f>
        <v/>
      </c>
      <c r="R597" s="33">
        <f>IF($B597="","",IF($D597="No","No PTO/PTA",IF($D597&lt;&gt;"Yes","Not Yet Confirmed",IF($E597="PTA",IF(AND(OR(I597="Accepted",I597="Not Needed"),OR(H597="Accepted",H597="Not Needed")),"Registered",IF(OR(OR(I597="Accepted",I597="Received",I597="Needs Correction"),OR(H597="Accepted",H597="Received",H597="Needs Correction")),"In Progress","Not Started")),IF($Q597&gt;=Settings!$C$13,"Legalized",IF($P597&gt;=Settings!$C$12,"Registered",IF($O597&gt;0,"In Progress","Not Started")))))))</f>
        <v/>
      </c>
      <c r="S597" s="32">
        <f>IF($B597="","",COUNTIF(G597:N597,"Received"))</f>
        <v/>
      </c>
      <c r="T597" s="32">
        <f>IF($B597="","",COUNTIF(G597:N597,"Needs Correction"))</f>
        <v/>
      </c>
      <c r="U597" s="33">
        <f>IF($B597="","",IF($D597&lt;&gt;"Yes","",IF($E597="PTA",IF(AND(OR(I597="Accepted",I597="Not Needed"),OR(H597="Accepted",H597="Not Needed")),"None",MID(IF(AND(I597&lt;&gt;"Accepted",I597&lt;&gt;"Not Needed"),", "&amp;I$1,"")&amp;IF(AND(H597&lt;&gt;"Accepted",H597&lt;&gt;"Not Needed"),", "&amp;H$1,""),3,400)),IF($Q597&gt;=Settings!$C$13,"None",MID(IF(AND(G597&lt;&gt;"Accepted",G597&lt;&gt;"Not Needed",Settings!$C$15="Yes"),", "&amp;G$1,"")&amp;IF(AND(H597&lt;&gt;"Accepted",H597&lt;&gt;"Not Needed",Settings!$D$15="Yes"),", "&amp;H$1,"")&amp;IF(AND(I597&lt;&gt;"Accepted",I597&lt;&gt;"Not Needed",Settings!$E$15="Yes"),", "&amp;I$1,"")&amp;IF(AND(J597&lt;&gt;"Accepted",J597&lt;&gt;"Not Needed",Settings!$F$15="Yes"),", "&amp;J$1,"")&amp;IF(AND(K597&lt;&gt;"Accepted",K597&lt;&gt;"Not Needed",Settings!$G$15="Yes"),", "&amp;K$1,"")&amp;IF(AND(L597&lt;&gt;"Accepted",L597&lt;&gt;"Not Needed",Settings!$H$15="Yes"),", "&amp;L$1,"")&amp;IF(AND(M597&lt;&gt;"Accepted",M597&lt;&gt;"Not Needed",Settings!$I$15="Yes"),", "&amp;M$1,"")&amp;IF(AND(N597&lt;&gt;"Accepted",N597&lt;&gt;"Not Needed",Settings!$J$15="Yes"),", "&amp;N$1,""),3,400)))))</f>
        <v/>
      </c>
    </row>
    <row r="598" ht="15" customHeight="1" s="21">
      <c r="A598" s="31" t="n"/>
      <c r="B598" s="31" t="n"/>
      <c r="C598" s="31" t="n"/>
      <c r="D598" s="31" t="n"/>
      <c r="E598" s="31" t="n"/>
      <c r="F598" s="31" t="n"/>
      <c r="G598" s="31" t="n"/>
      <c r="H598" s="31" t="n"/>
      <c r="I598" s="31" t="n"/>
      <c r="J598" s="31" t="n"/>
      <c r="K598" s="31" t="n"/>
      <c r="L598" s="31" t="n"/>
      <c r="M598" s="31" t="n"/>
      <c r="N598" s="31" t="n"/>
      <c r="O598" s="32">
        <f>IF($B598="","",COUNTIF(G598:N598,"Accepted")+COUNTIF(G598:N598,"Received")+COUNTIF(G598:N598,"Needs Correction"))</f>
        <v/>
      </c>
      <c r="P598" s="32">
        <f>IF($B598="","",SUMPRODUCT(((G598:N598="Accepted")+(G598:N598="Not Needed"))*(Settings!$C$11:$J$11="Yes")))</f>
        <v/>
      </c>
      <c r="Q598" s="32">
        <f>IF($B598="","",SUMPRODUCT(((G598:N598="Accepted")+(G598:N598="Not Needed"))*(Settings!$C$15:$J$15="Yes")))</f>
        <v/>
      </c>
      <c r="R598" s="33">
        <f>IF($B598="","",IF($D598="No","No PTO/PTA",IF($D598&lt;&gt;"Yes","Not Yet Confirmed",IF($E598="PTA",IF(AND(OR(I598="Accepted",I598="Not Needed"),OR(H598="Accepted",H598="Not Needed")),"Registered",IF(OR(OR(I598="Accepted",I598="Received",I598="Needs Correction"),OR(H598="Accepted",H598="Received",H598="Needs Correction")),"In Progress","Not Started")),IF($Q598&gt;=Settings!$C$13,"Legalized",IF($P598&gt;=Settings!$C$12,"Registered",IF($O598&gt;0,"In Progress","Not Started")))))))</f>
        <v/>
      </c>
      <c r="S598" s="32">
        <f>IF($B598="","",COUNTIF(G598:N598,"Received"))</f>
        <v/>
      </c>
      <c r="T598" s="32">
        <f>IF($B598="","",COUNTIF(G598:N598,"Needs Correction"))</f>
        <v/>
      </c>
      <c r="U598" s="33">
        <f>IF($B598="","",IF($D598&lt;&gt;"Yes","",IF($E598="PTA",IF(AND(OR(I598="Accepted",I598="Not Needed"),OR(H598="Accepted",H598="Not Needed")),"None",MID(IF(AND(I598&lt;&gt;"Accepted",I598&lt;&gt;"Not Needed"),", "&amp;I$1,"")&amp;IF(AND(H598&lt;&gt;"Accepted",H598&lt;&gt;"Not Needed"),", "&amp;H$1,""),3,400)),IF($Q598&gt;=Settings!$C$13,"None",MID(IF(AND(G598&lt;&gt;"Accepted",G598&lt;&gt;"Not Needed",Settings!$C$15="Yes"),", "&amp;G$1,"")&amp;IF(AND(H598&lt;&gt;"Accepted",H598&lt;&gt;"Not Needed",Settings!$D$15="Yes"),", "&amp;H$1,"")&amp;IF(AND(I598&lt;&gt;"Accepted",I598&lt;&gt;"Not Needed",Settings!$E$15="Yes"),", "&amp;I$1,"")&amp;IF(AND(J598&lt;&gt;"Accepted",J598&lt;&gt;"Not Needed",Settings!$F$15="Yes"),", "&amp;J$1,"")&amp;IF(AND(K598&lt;&gt;"Accepted",K598&lt;&gt;"Not Needed",Settings!$G$15="Yes"),", "&amp;K$1,"")&amp;IF(AND(L598&lt;&gt;"Accepted",L598&lt;&gt;"Not Needed",Settings!$H$15="Yes"),", "&amp;L$1,"")&amp;IF(AND(M598&lt;&gt;"Accepted",M598&lt;&gt;"Not Needed",Settings!$I$15="Yes"),", "&amp;M$1,"")&amp;IF(AND(N598&lt;&gt;"Accepted",N598&lt;&gt;"Not Needed",Settings!$J$15="Yes"),", "&amp;N$1,""),3,400)))))</f>
        <v/>
      </c>
    </row>
    <row r="599" ht="15" customHeight="1" s="21">
      <c r="A599" s="31" t="n"/>
      <c r="B599" s="31" t="n"/>
      <c r="C599" s="31" t="n"/>
      <c r="D599" s="31" t="n"/>
      <c r="E599" s="31" t="n"/>
      <c r="F599" s="31" t="n"/>
      <c r="G599" s="31" t="n"/>
      <c r="H599" s="31" t="n"/>
      <c r="I599" s="31" t="n"/>
      <c r="J599" s="31" t="n"/>
      <c r="K599" s="31" t="n"/>
      <c r="L599" s="31" t="n"/>
      <c r="M599" s="31" t="n"/>
      <c r="N599" s="31" t="n"/>
      <c r="O599" s="32">
        <f>IF($B599="","",COUNTIF(G599:N599,"Accepted")+COUNTIF(G599:N599,"Received")+COUNTIF(G599:N599,"Needs Correction"))</f>
        <v/>
      </c>
      <c r="P599" s="32">
        <f>IF($B599="","",SUMPRODUCT(((G599:N599="Accepted")+(G599:N599="Not Needed"))*(Settings!$C$11:$J$11="Yes")))</f>
        <v/>
      </c>
      <c r="Q599" s="32">
        <f>IF($B599="","",SUMPRODUCT(((G599:N599="Accepted")+(G599:N599="Not Needed"))*(Settings!$C$15:$J$15="Yes")))</f>
        <v/>
      </c>
      <c r="R599" s="33">
        <f>IF($B599="","",IF($D599="No","No PTO/PTA",IF($D599&lt;&gt;"Yes","Not Yet Confirmed",IF($E599="PTA",IF(AND(OR(I599="Accepted",I599="Not Needed"),OR(H599="Accepted",H599="Not Needed")),"Registered",IF(OR(OR(I599="Accepted",I599="Received",I599="Needs Correction"),OR(H599="Accepted",H599="Received",H599="Needs Correction")),"In Progress","Not Started")),IF($Q599&gt;=Settings!$C$13,"Legalized",IF($P599&gt;=Settings!$C$12,"Registered",IF($O599&gt;0,"In Progress","Not Started")))))))</f>
        <v/>
      </c>
      <c r="S599" s="32">
        <f>IF($B599="","",COUNTIF(G599:N599,"Received"))</f>
        <v/>
      </c>
      <c r="T599" s="32">
        <f>IF($B599="","",COUNTIF(G599:N599,"Needs Correction"))</f>
        <v/>
      </c>
      <c r="U599" s="33">
        <f>IF($B599="","",IF($D599&lt;&gt;"Yes","",IF($E599="PTA",IF(AND(OR(I599="Accepted",I599="Not Needed"),OR(H599="Accepted",H599="Not Needed")),"None",MID(IF(AND(I599&lt;&gt;"Accepted",I599&lt;&gt;"Not Needed"),", "&amp;I$1,"")&amp;IF(AND(H599&lt;&gt;"Accepted",H599&lt;&gt;"Not Needed"),", "&amp;H$1,""),3,400)),IF($Q599&gt;=Settings!$C$13,"None",MID(IF(AND(G599&lt;&gt;"Accepted",G599&lt;&gt;"Not Needed",Settings!$C$15="Yes"),", "&amp;G$1,"")&amp;IF(AND(H599&lt;&gt;"Accepted",H599&lt;&gt;"Not Needed",Settings!$D$15="Yes"),", "&amp;H$1,"")&amp;IF(AND(I599&lt;&gt;"Accepted",I599&lt;&gt;"Not Needed",Settings!$E$15="Yes"),", "&amp;I$1,"")&amp;IF(AND(J599&lt;&gt;"Accepted",J599&lt;&gt;"Not Needed",Settings!$F$15="Yes"),", "&amp;J$1,"")&amp;IF(AND(K599&lt;&gt;"Accepted",K599&lt;&gt;"Not Needed",Settings!$G$15="Yes"),", "&amp;K$1,"")&amp;IF(AND(L599&lt;&gt;"Accepted",L599&lt;&gt;"Not Needed",Settings!$H$15="Yes"),", "&amp;L$1,"")&amp;IF(AND(M599&lt;&gt;"Accepted",M599&lt;&gt;"Not Needed",Settings!$I$15="Yes"),", "&amp;M$1,"")&amp;IF(AND(N599&lt;&gt;"Accepted",N599&lt;&gt;"Not Needed",Settings!$J$15="Yes"),", "&amp;N$1,""),3,400)))))</f>
        <v/>
      </c>
    </row>
    <row r="600" ht="15" customHeight="1" s="21">
      <c r="A600" s="31" t="n"/>
      <c r="B600" s="31" t="n"/>
      <c r="C600" s="31" t="n"/>
      <c r="D600" s="31" t="n"/>
      <c r="E600" s="31" t="n"/>
      <c r="F600" s="31" t="n"/>
      <c r="G600" s="31" t="n"/>
      <c r="H600" s="31" t="n"/>
      <c r="I600" s="31" t="n"/>
      <c r="J600" s="31" t="n"/>
      <c r="K600" s="31" t="n"/>
      <c r="L600" s="31" t="n"/>
      <c r="M600" s="31" t="n"/>
      <c r="N600" s="31" t="n"/>
      <c r="O600" s="32">
        <f>IF($B600="","",COUNTIF(G600:N600,"Accepted")+COUNTIF(G600:N600,"Received")+COUNTIF(G600:N600,"Needs Correction"))</f>
        <v/>
      </c>
      <c r="P600" s="32">
        <f>IF($B600="","",SUMPRODUCT(((G600:N600="Accepted")+(G600:N600="Not Needed"))*(Settings!$C$11:$J$11="Yes")))</f>
        <v/>
      </c>
      <c r="Q600" s="32">
        <f>IF($B600="","",SUMPRODUCT(((G600:N600="Accepted")+(G600:N600="Not Needed"))*(Settings!$C$15:$J$15="Yes")))</f>
        <v/>
      </c>
      <c r="R600" s="33">
        <f>IF($B600="","",IF($D600="No","No PTO/PTA",IF($D600&lt;&gt;"Yes","Not Yet Confirmed",IF($E600="PTA",IF(AND(OR(I600="Accepted",I600="Not Needed"),OR(H600="Accepted",H600="Not Needed")),"Registered",IF(OR(OR(I600="Accepted",I600="Received",I600="Needs Correction"),OR(H600="Accepted",H600="Received",H600="Needs Correction")),"In Progress","Not Started")),IF($Q600&gt;=Settings!$C$13,"Legalized",IF($P600&gt;=Settings!$C$12,"Registered",IF($O600&gt;0,"In Progress","Not Started")))))))</f>
        <v/>
      </c>
      <c r="S600" s="32">
        <f>IF($B600="","",COUNTIF(G600:N600,"Received"))</f>
        <v/>
      </c>
      <c r="T600" s="32">
        <f>IF($B600="","",COUNTIF(G600:N600,"Needs Correction"))</f>
        <v/>
      </c>
      <c r="U600" s="33">
        <f>IF($B600="","",IF($D600&lt;&gt;"Yes","",IF($E600="PTA",IF(AND(OR(I600="Accepted",I600="Not Needed"),OR(H600="Accepted",H600="Not Needed")),"None",MID(IF(AND(I600&lt;&gt;"Accepted",I600&lt;&gt;"Not Needed"),", "&amp;I$1,"")&amp;IF(AND(H600&lt;&gt;"Accepted",H600&lt;&gt;"Not Needed"),", "&amp;H$1,""),3,400)),IF($Q600&gt;=Settings!$C$13,"None",MID(IF(AND(G600&lt;&gt;"Accepted",G600&lt;&gt;"Not Needed",Settings!$C$15="Yes"),", "&amp;G$1,"")&amp;IF(AND(H600&lt;&gt;"Accepted",H600&lt;&gt;"Not Needed",Settings!$D$15="Yes"),", "&amp;H$1,"")&amp;IF(AND(I600&lt;&gt;"Accepted",I600&lt;&gt;"Not Needed",Settings!$E$15="Yes"),", "&amp;I$1,"")&amp;IF(AND(J600&lt;&gt;"Accepted",J600&lt;&gt;"Not Needed",Settings!$F$15="Yes"),", "&amp;J$1,"")&amp;IF(AND(K600&lt;&gt;"Accepted",K600&lt;&gt;"Not Needed",Settings!$G$15="Yes"),", "&amp;K$1,"")&amp;IF(AND(L600&lt;&gt;"Accepted",L600&lt;&gt;"Not Needed",Settings!$H$15="Yes"),", "&amp;L$1,"")&amp;IF(AND(M600&lt;&gt;"Accepted",M600&lt;&gt;"Not Needed",Settings!$I$15="Yes"),", "&amp;M$1,"")&amp;IF(AND(N600&lt;&gt;"Accepted",N600&lt;&gt;"Not Needed",Settings!$J$15="Yes"),", "&amp;N$1,""),3,400)))))</f>
        <v/>
      </c>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E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 width="34" customWidth="1" style="21" min="5" max="5"/>
  </cols>
  <sheetData>
    <row r="1" ht="30" customHeight="1" s="21">
      <c r="A1" s="28" t="inlineStr">
        <is>
          <t>Name</t>
        </is>
      </c>
      <c r="B1" s="28" t="inlineStr">
        <is>
          <t>Role</t>
        </is>
      </c>
      <c r="C1" s="28" t="inlineStr">
        <is>
          <t>Passcode status</t>
        </is>
      </c>
      <c r="D1" s="36" t="inlineStr">
        <is>
          <t>Email</t>
        </is>
      </c>
      <c r="E1" s="36" t="inlineStr">
        <is>
          <t>Can See</t>
        </is>
      </c>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s="20" t="inlineStr">
        <is>
          <t>Ashford ES</t>
        </is>
      </c>
      <c r="B2" s="20" t="inlineStr">
        <is>
          <t>NES Elementary</t>
        </is>
      </c>
      <c r="C2" s="20" t="inlineStr">
        <is>
          <t>UNIT 1</t>
        </is>
      </c>
      <c r="D2" s="20" t="inlineStr"/>
      <c r="E2" s="20" t="inlineStr"/>
      <c r="F2" s="20" t="inlineStr"/>
    </row>
    <row r="3">
      <c r="A3" s="20" t="inlineStr">
        <is>
          <t>Anderson ES</t>
        </is>
      </c>
      <c r="B3" s="20" t="inlineStr">
        <is>
          <t>NES Elementary</t>
        </is>
      </c>
      <c r="C3" s="20" t="inlineStr">
        <is>
          <t>UNIT 1</t>
        </is>
      </c>
      <c r="D3" s="20" t="inlineStr"/>
      <c r="E3" s="20" t="inlineStr"/>
      <c r="F3" s="20" t="inlineStr"/>
    </row>
    <row r="4">
      <c r="A4" s="20" t="inlineStr">
        <is>
          <t>Codwell ES</t>
        </is>
      </c>
      <c r="B4" s="20" t="inlineStr">
        <is>
          <t>NES Elementary</t>
        </is>
      </c>
      <c r="C4" s="20" t="inlineStr">
        <is>
          <t>UNIT 1</t>
        </is>
      </c>
      <c r="D4" s="20" t="inlineStr"/>
      <c r="E4" s="20" t="inlineStr"/>
      <c r="F4" s="20" t="inlineStr"/>
    </row>
    <row r="5">
      <c r="A5" s="20" t="inlineStr">
        <is>
          <t>Almeda ES</t>
        </is>
      </c>
      <c r="B5" s="20" t="inlineStr">
        <is>
          <t>NES Elementary</t>
        </is>
      </c>
      <c r="C5" s="20" t="inlineStr">
        <is>
          <t>UNIT 1</t>
        </is>
      </c>
      <c r="D5" s="20" t="inlineStr"/>
      <c r="E5" s="20" t="inlineStr"/>
      <c r="F5" s="20" t="inlineStr"/>
    </row>
    <row r="6">
      <c r="A6" s="20" t="inlineStr">
        <is>
          <t>Foster ES</t>
        </is>
      </c>
      <c r="B6" s="20" t="inlineStr">
        <is>
          <t>NES Elementary</t>
        </is>
      </c>
      <c r="C6" s="20" t="inlineStr">
        <is>
          <t>UNIT 1</t>
        </is>
      </c>
      <c r="D6" s="20" t="inlineStr"/>
      <c r="E6" s="20" t="inlineStr"/>
      <c r="F6" s="20" t="inlineStr"/>
    </row>
    <row r="7">
      <c r="A7" s="20" t="inlineStr">
        <is>
          <t>Askew ES</t>
        </is>
      </c>
      <c r="B7" s="20" t="inlineStr">
        <is>
          <t>NES Elementary</t>
        </is>
      </c>
      <c r="C7" s="20" t="inlineStr">
        <is>
          <t>UNIT 1</t>
        </is>
      </c>
      <c r="D7" s="20" t="inlineStr"/>
      <c r="E7" s="20" t="inlineStr"/>
      <c r="F7" s="20" t="inlineStr"/>
    </row>
    <row r="8">
      <c r="A8" s="20" t="inlineStr">
        <is>
          <t>Bastian ES</t>
        </is>
      </c>
      <c r="B8" s="20" t="inlineStr">
        <is>
          <t>NES Elementary</t>
        </is>
      </c>
      <c r="C8" s="20" t="inlineStr">
        <is>
          <t>UNIT 1</t>
        </is>
      </c>
      <c r="D8" s="20" t="inlineStr"/>
      <c r="E8" s="20" t="inlineStr"/>
      <c r="F8" s="20" t="inlineStr"/>
    </row>
    <row r="9">
      <c r="A9" s="20" t="inlineStr">
        <is>
          <t>Frost ES</t>
        </is>
      </c>
      <c r="B9" s="20" t="inlineStr">
        <is>
          <t>NES Elementary</t>
        </is>
      </c>
      <c r="C9" s="20" t="inlineStr">
        <is>
          <t>UNIT 1</t>
        </is>
      </c>
      <c r="D9" s="20" t="inlineStr"/>
      <c r="E9" s="20" t="inlineStr"/>
      <c r="F9" s="20" t="inlineStr"/>
    </row>
    <row r="10">
      <c r="A10" s="20" t="inlineStr">
        <is>
          <t>Gregg ES</t>
        </is>
      </c>
      <c r="B10" s="20" t="inlineStr">
        <is>
          <t>NES Elementary</t>
        </is>
      </c>
      <c r="C10" s="20" t="inlineStr">
        <is>
          <t>UNIT 1</t>
        </is>
      </c>
      <c r="D10" s="20" t="inlineStr"/>
      <c r="E10" s="20" t="inlineStr"/>
      <c r="F10" s="20" t="inlineStr"/>
    </row>
    <row r="11">
      <c r="A11" s="20" t="inlineStr">
        <is>
          <t>Law ES</t>
        </is>
      </c>
      <c r="B11" s="20" t="inlineStr">
        <is>
          <t>NES Elementary</t>
        </is>
      </c>
      <c r="C11" s="20" t="inlineStr">
        <is>
          <t>UNIT 1</t>
        </is>
      </c>
      <c r="D11" s="20" t="inlineStr"/>
      <c r="E11" s="20" t="inlineStr"/>
      <c r="F11" s="20" t="inlineStr"/>
    </row>
    <row r="12">
      <c r="A12" s="20" t="inlineStr">
        <is>
          <t>Benavides ES</t>
        </is>
      </c>
      <c r="B12" s="20" t="inlineStr">
        <is>
          <t>NES Elementary</t>
        </is>
      </c>
      <c r="C12" s="20" t="inlineStr">
        <is>
          <t>UNIT 1</t>
        </is>
      </c>
      <c r="D12" s="20" t="inlineStr"/>
      <c r="E12" s="20" t="inlineStr"/>
      <c r="F12" s="20" t="inlineStr"/>
    </row>
    <row r="13">
      <c r="A13" s="20" t="inlineStr">
        <is>
          <t>Foerster ES</t>
        </is>
      </c>
      <c r="B13" s="20" t="inlineStr">
        <is>
          <t>NES Elementary</t>
        </is>
      </c>
      <c r="C13" s="20" t="inlineStr">
        <is>
          <t>UNIT 1</t>
        </is>
      </c>
      <c r="D13" s="20" t="inlineStr"/>
      <c r="E13" s="20" t="inlineStr"/>
      <c r="F13" s="20" t="inlineStr"/>
    </row>
    <row r="14">
      <c r="A14" s="20" t="inlineStr">
        <is>
          <t>Mitchell ES</t>
        </is>
      </c>
      <c r="B14" s="20" t="inlineStr">
        <is>
          <t>NES Elementary</t>
        </is>
      </c>
      <c r="C14" s="20" t="inlineStr">
        <is>
          <t>UNIT 1</t>
        </is>
      </c>
      <c r="D14" s="20" t="inlineStr"/>
      <c r="E14" s="20" t="inlineStr"/>
      <c r="F14" s="20" t="inlineStr"/>
    </row>
    <row r="15">
      <c r="A15" s="20" t="inlineStr">
        <is>
          <t>Grissom ES</t>
        </is>
      </c>
      <c r="B15" s="20" t="inlineStr">
        <is>
          <t>NES Elementary</t>
        </is>
      </c>
      <c r="C15" s="20" t="inlineStr">
        <is>
          <t>UNIT 1</t>
        </is>
      </c>
      <c r="D15" s="20" t="inlineStr"/>
      <c r="E15" s="20" t="inlineStr"/>
      <c r="F15" s="20" t="inlineStr"/>
    </row>
    <row r="16">
      <c r="A16" s="20" t="inlineStr">
        <is>
          <t>Lockhart ES</t>
        </is>
      </c>
      <c r="B16" s="20" t="inlineStr">
        <is>
          <t>NES Elementary</t>
        </is>
      </c>
      <c r="C16" s="20" t="inlineStr">
        <is>
          <t>UNIT 1</t>
        </is>
      </c>
      <c r="D16" s="20" t="inlineStr"/>
      <c r="E16" s="20" t="inlineStr"/>
      <c r="F16" s="20" t="inlineStr"/>
    </row>
    <row r="17">
      <c r="A17" s="20" t="inlineStr">
        <is>
          <t>Bonham ES</t>
        </is>
      </c>
      <c r="B17" s="20" t="inlineStr">
        <is>
          <t>NES Elementary</t>
        </is>
      </c>
      <c r="C17" s="20" t="inlineStr">
        <is>
          <t>UNIT 1</t>
        </is>
      </c>
      <c r="D17" s="20" t="inlineStr"/>
      <c r="E17" s="20" t="inlineStr">
        <is>
          <t>No (charter withdrawn)</t>
        </is>
      </c>
      <c r="F17" s="20" t="inlineStr">
        <is>
          <t>Charter Withdrawn</t>
        </is>
      </c>
    </row>
    <row r="18">
      <c r="A18" s="20" t="inlineStr">
        <is>
          <t>Milne ES</t>
        </is>
      </c>
      <c r="B18" s="20" t="inlineStr">
        <is>
          <t>NES Elementary</t>
        </is>
      </c>
      <c r="C18" s="20" t="inlineStr">
        <is>
          <t>UNIT 1</t>
        </is>
      </c>
      <c r="D18" s="20" t="inlineStr"/>
      <c r="E18" s="20" t="inlineStr"/>
      <c r="F18" s="20" t="inlineStr"/>
    </row>
    <row r="19">
      <c r="A19" s="20" t="inlineStr">
        <is>
          <t>Reynolds ES</t>
        </is>
      </c>
      <c r="B19" s="20" t="inlineStr">
        <is>
          <t>NES Elementary</t>
        </is>
      </c>
      <c r="C19" s="20" t="inlineStr">
        <is>
          <t>UNIT 1</t>
        </is>
      </c>
      <c r="D19" s="20" t="inlineStr"/>
      <c r="E19" s="20" t="inlineStr"/>
      <c r="F19" s="20" t="inlineStr"/>
    </row>
    <row r="20">
      <c r="A20" s="20" t="inlineStr">
        <is>
          <t>Hobby ES (@Lawson MS)</t>
        </is>
      </c>
      <c r="B20" s="20" t="inlineStr">
        <is>
          <t>NES Elementary</t>
        </is>
      </c>
      <c r="C20" s="20" t="inlineStr">
        <is>
          <t>UNIT 1</t>
        </is>
      </c>
      <c r="D20" s="20" t="inlineStr"/>
      <c r="E20" s="20" t="inlineStr"/>
      <c r="F20" s="20" t="inlineStr"/>
    </row>
    <row r="21">
      <c r="A21" s="20" t="inlineStr">
        <is>
          <t>Longfellow ES</t>
        </is>
      </c>
      <c r="B21" s="20" t="inlineStr">
        <is>
          <t>NES Elementary</t>
        </is>
      </c>
      <c r="C21" s="20" t="inlineStr">
        <is>
          <t>UNIT 1</t>
        </is>
      </c>
      <c r="D21" s="20" t="inlineStr"/>
      <c r="E21" s="20" t="inlineStr"/>
      <c r="F21" s="20" t="inlineStr"/>
    </row>
    <row r="22">
      <c r="A22" s="20" t="inlineStr">
        <is>
          <t>Gross ES</t>
        </is>
      </c>
      <c r="B22" s="20" t="inlineStr">
        <is>
          <t>NES Elementary</t>
        </is>
      </c>
      <c r="C22" s="20" t="inlineStr">
        <is>
          <t>UNIT 1</t>
        </is>
      </c>
      <c r="D22" s="20" t="inlineStr"/>
      <c r="E22" s="20" t="inlineStr"/>
      <c r="F22" s="20" t="inlineStr"/>
    </row>
    <row r="23">
      <c r="A23" s="20" t="inlineStr">
        <is>
          <t>Neff ES</t>
        </is>
      </c>
      <c r="B23" s="20" t="inlineStr">
        <is>
          <t>NES Elementary</t>
        </is>
      </c>
      <c r="C23" s="20" t="inlineStr">
        <is>
          <t>UNIT 1</t>
        </is>
      </c>
      <c r="D23" s="20" t="inlineStr"/>
      <c r="E23" s="20" t="inlineStr"/>
      <c r="F23" s="20" t="inlineStr"/>
    </row>
    <row r="24">
      <c r="A24" s="20" t="inlineStr">
        <is>
          <t>Whidby ES</t>
        </is>
      </c>
      <c r="B24" s="20" t="inlineStr">
        <is>
          <t>NES Elementary</t>
        </is>
      </c>
      <c r="C24" s="20" t="inlineStr">
        <is>
          <t>UNIT 1</t>
        </is>
      </c>
      <c r="D24" s="20" t="inlineStr"/>
      <c r="E24" s="20" t="inlineStr"/>
      <c r="F24" s="20" t="inlineStr"/>
    </row>
    <row r="25">
      <c r="A25" s="20" t="inlineStr">
        <is>
          <t>Montgomery ES</t>
        </is>
      </c>
      <c r="B25" s="20" t="inlineStr">
        <is>
          <t>NES Elementary</t>
        </is>
      </c>
      <c r="C25" s="20" t="inlineStr">
        <is>
          <t>UNIT 1</t>
        </is>
      </c>
      <c r="D25" s="20" t="inlineStr"/>
      <c r="E25" s="20" t="inlineStr"/>
      <c r="F25" s="20" t="inlineStr"/>
    </row>
    <row r="26">
      <c r="A26" s="20" t="inlineStr">
        <is>
          <t>Thompson ES</t>
        </is>
      </c>
      <c r="B26" s="20" t="inlineStr">
        <is>
          <t>NES Elementary</t>
        </is>
      </c>
      <c r="C26" s="20" t="inlineStr">
        <is>
          <t>UNIT 1</t>
        </is>
      </c>
      <c r="D26" s="20" t="inlineStr"/>
      <c r="E26" s="20" t="inlineStr"/>
      <c r="F26" s="20" t="inlineStr"/>
    </row>
    <row r="27">
      <c r="A27" s="20" t="inlineStr">
        <is>
          <t>Walnut Bend ES</t>
        </is>
      </c>
      <c r="B27" s="20" t="inlineStr">
        <is>
          <t>NES Elementary</t>
        </is>
      </c>
      <c r="C27" s="20" t="inlineStr">
        <is>
          <t>UNIT 1</t>
        </is>
      </c>
      <c r="D27" s="20" t="inlineStr"/>
      <c r="E27" s="20" t="inlineStr"/>
      <c r="F27" s="20" t="inlineStr"/>
    </row>
    <row r="28">
      <c r="A28" s="20" t="inlineStr">
        <is>
          <t>Tinsley ES</t>
        </is>
      </c>
      <c r="B28" s="20" t="inlineStr">
        <is>
          <t>NES Elementary</t>
        </is>
      </c>
      <c r="C28" s="20" t="inlineStr">
        <is>
          <t>UNIT 1</t>
        </is>
      </c>
      <c r="D28" s="20" t="inlineStr"/>
      <c r="E28" s="20" t="inlineStr"/>
      <c r="F28" s="20" t="inlineStr"/>
    </row>
    <row r="29">
      <c r="A29" s="20" t="inlineStr">
        <is>
          <t>Woodson ES</t>
        </is>
      </c>
      <c r="B29" s="20" t="inlineStr">
        <is>
          <t>NES Elementary</t>
        </is>
      </c>
      <c r="C29" s="20" t="inlineStr">
        <is>
          <t>UNIT 1</t>
        </is>
      </c>
      <c r="D29" s="20" t="inlineStr">
        <is>
          <t>Woodson</t>
        </is>
      </c>
      <c r="E29" s="20" t="inlineStr"/>
      <c r="F29" s="20" t="inlineStr"/>
    </row>
    <row r="30">
      <c r="A30" s="20" t="inlineStr">
        <is>
          <t>Petersen ES</t>
        </is>
      </c>
      <c r="B30" s="20" t="inlineStr">
        <is>
          <t>NES Elementary</t>
        </is>
      </c>
      <c r="C30" s="20" t="inlineStr">
        <is>
          <t>UNIT 1</t>
        </is>
      </c>
      <c r="D30" s="20" t="inlineStr"/>
      <c r="E30" s="20" t="inlineStr"/>
      <c r="F30" s="20" t="inlineStr"/>
    </row>
    <row r="31">
      <c r="A31" s="20" t="inlineStr">
        <is>
          <t>White, Ed. ES</t>
        </is>
      </c>
      <c r="B31" s="20" t="inlineStr">
        <is>
          <t>NES Elementary</t>
        </is>
      </c>
      <c r="C31" s="20" t="inlineStr">
        <is>
          <t>UNIT 1</t>
        </is>
      </c>
      <c r="D31" s="20" t="inlineStr"/>
      <c r="E31" s="20" t="inlineStr"/>
      <c r="F31" s="20" t="inlineStr"/>
    </row>
    <row r="32">
      <c r="A32" s="20" t="inlineStr">
        <is>
          <t>Valley West ES</t>
        </is>
      </c>
      <c r="B32" s="20" t="inlineStr">
        <is>
          <t>NES Elementary</t>
        </is>
      </c>
      <c r="C32" s="20" t="inlineStr">
        <is>
          <t>UNIT 1</t>
        </is>
      </c>
      <c r="D32" s="20" t="inlineStr"/>
      <c r="E32" s="20" t="inlineStr"/>
      <c r="F32" s="20" t="inlineStr"/>
    </row>
    <row r="33">
      <c r="A33" s="20" t="inlineStr">
        <is>
          <t>Reagan K-8</t>
        </is>
      </c>
      <c r="B33" s="20" t="inlineStr">
        <is>
          <t>NES Elementary</t>
        </is>
      </c>
      <c r="C33" s="20" t="inlineStr">
        <is>
          <t>UNIT 1</t>
        </is>
      </c>
      <c r="D33" s="20" t="inlineStr"/>
      <c r="E33" s="20" t="inlineStr"/>
      <c r="F33" s="20" t="inlineStr"/>
    </row>
    <row r="34">
      <c r="A34" s="20" t="inlineStr">
        <is>
          <t>Benbrook ES</t>
        </is>
      </c>
      <c r="B34" s="20" t="inlineStr">
        <is>
          <t>NES Elementary</t>
        </is>
      </c>
      <c r="C34" s="20" t="inlineStr">
        <is>
          <t>UNIT 2</t>
        </is>
      </c>
      <c r="D34" s="20" t="inlineStr"/>
      <c r="E34" s="20" t="inlineStr"/>
      <c r="F34" s="20" t="inlineStr"/>
    </row>
    <row r="35">
      <c r="A35" s="20" t="inlineStr">
        <is>
          <t>Bonner ES</t>
        </is>
      </c>
      <c r="B35" s="20" t="inlineStr">
        <is>
          <t>NES Elementary</t>
        </is>
      </c>
      <c r="C35" s="20" t="inlineStr">
        <is>
          <t>UNIT 2</t>
        </is>
      </c>
      <c r="D35" s="20" t="inlineStr"/>
      <c r="E35" s="20" t="inlineStr"/>
      <c r="F35" s="20" t="inlineStr"/>
    </row>
    <row r="36">
      <c r="A36" s="20" t="inlineStr">
        <is>
          <t>Bell ES</t>
        </is>
      </c>
      <c r="B36" s="20" t="inlineStr">
        <is>
          <t>NES Elementary</t>
        </is>
      </c>
      <c r="C36" s="20" t="inlineStr">
        <is>
          <t>UNIT 2</t>
        </is>
      </c>
      <c r="D36" s="20" t="inlineStr"/>
      <c r="E36" s="20" t="inlineStr"/>
      <c r="F36" s="20" t="inlineStr"/>
    </row>
    <row r="37">
      <c r="A37" s="20" t="inlineStr">
        <is>
          <t>Barrick ES</t>
        </is>
      </c>
      <c r="B37" s="20" t="inlineStr">
        <is>
          <t>NES Elementary</t>
        </is>
      </c>
      <c r="C37" s="20" t="inlineStr">
        <is>
          <t>UNIT 2</t>
        </is>
      </c>
      <c r="D37" s="20" t="inlineStr"/>
      <c r="E37" s="20" t="inlineStr"/>
      <c r="F37" s="20" t="inlineStr"/>
    </row>
    <row r="38">
      <c r="A38" s="20" t="inlineStr">
        <is>
          <t>Cook ES</t>
        </is>
      </c>
      <c r="B38" s="20" t="inlineStr">
        <is>
          <t>NES Elementary</t>
        </is>
      </c>
      <c r="C38" s="20" t="inlineStr">
        <is>
          <t>UNIT 2</t>
        </is>
      </c>
      <c r="D38" s="20" t="inlineStr"/>
      <c r="E38" s="20" t="inlineStr"/>
      <c r="F38" s="20" t="inlineStr"/>
    </row>
    <row r="39">
      <c r="A39" s="20" t="inlineStr">
        <is>
          <t>Durkee ES</t>
        </is>
      </c>
      <c r="B39" s="20" t="inlineStr">
        <is>
          <t>NES Elementary</t>
        </is>
      </c>
      <c r="C39" s="20" t="inlineStr">
        <is>
          <t>UNIT 2</t>
        </is>
      </c>
      <c r="D39" s="20" t="inlineStr"/>
      <c r="E39" s="20" t="inlineStr"/>
      <c r="F39" s="20" t="inlineStr"/>
    </row>
    <row r="40">
      <c r="A40" s="20" t="inlineStr">
        <is>
          <t>Brookline ES</t>
        </is>
      </c>
      <c r="B40" s="20" t="inlineStr">
        <is>
          <t>NES Elementary</t>
        </is>
      </c>
      <c r="C40" s="20" t="inlineStr">
        <is>
          <t>UNIT 2</t>
        </is>
      </c>
      <c r="D40" s="20" t="inlineStr"/>
      <c r="E40" s="20" t="inlineStr"/>
      <c r="F40" s="20" t="inlineStr"/>
    </row>
    <row r="41">
      <c r="A41" s="20" t="inlineStr">
        <is>
          <t>Kelso ES</t>
        </is>
      </c>
      <c r="B41" s="20" t="inlineStr">
        <is>
          <t>NES Elementary</t>
        </is>
      </c>
      <c r="C41" s="20" t="inlineStr">
        <is>
          <t>UNIT 2</t>
        </is>
      </c>
      <c r="D41" s="20" t="inlineStr"/>
      <c r="E41" s="20" t="inlineStr"/>
      <c r="F41" s="20" t="inlineStr"/>
    </row>
    <row r="42">
      <c r="A42" s="20" t="inlineStr">
        <is>
          <t>Berry ES</t>
        </is>
      </c>
      <c r="B42" s="20" t="inlineStr">
        <is>
          <t>NES Elementary</t>
        </is>
      </c>
      <c r="C42" s="20" t="inlineStr">
        <is>
          <t>UNIT 2</t>
        </is>
      </c>
      <c r="D42" s="20" t="inlineStr"/>
      <c r="E42" s="20" t="inlineStr"/>
      <c r="F42" s="20" t="inlineStr"/>
    </row>
    <row r="43">
      <c r="A43" s="20" t="inlineStr">
        <is>
          <t>Elmore ES</t>
        </is>
      </c>
      <c r="B43" s="20" t="inlineStr">
        <is>
          <t>NES Elementary</t>
        </is>
      </c>
      <c r="C43" s="20" t="inlineStr">
        <is>
          <t>UNIT 2</t>
        </is>
      </c>
      <c r="D43" s="20" t="inlineStr"/>
      <c r="E43" s="20" t="inlineStr"/>
      <c r="F43" s="20" t="inlineStr"/>
    </row>
    <row r="44">
      <c r="A44" s="20" t="inlineStr">
        <is>
          <t>Highland Height ES</t>
        </is>
      </c>
      <c r="B44" s="20" t="inlineStr">
        <is>
          <t>NES Elementary</t>
        </is>
      </c>
      <c r="C44" s="20" t="inlineStr">
        <is>
          <t>UNIT 2</t>
        </is>
      </c>
      <c r="D44" s="20" t="inlineStr">
        <is>
          <t>Highland Heights ES</t>
        </is>
      </c>
      <c r="E44" s="20" t="inlineStr"/>
      <c r="F44" s="20" t="inlineStr"/>
    </row>
    <row r="45">
      <c r="A45" s="20" t="inlineStr">
        <is>
          <t>Golfcrest ES</t>
        </is>
      </c>
      <c r="B45" s="20" t="inlineStr">
        <is>
          <t>NES Elementary</t>
        </is>
      </c>
      <c r="C45" s="20" t="inlineStr">
        <is>
          <t>UNIT 2</t>
        </is>
      </c>
      <c r="D45" s="20" t="inlineStr"/>
      <c r="E45" s="20" t="inlineStr"/>
      <c r="F45" s="20" t="inlineStr"/>
    </row>
    <row r="46">
      <c r="A46" s="20" t="inlineStr">
        <is>
          <t>Lewis ES</t>
        </is>
      </c>
      <c r="B46" s="20" t="inlineStr">
        <is>
          <t>NES Elementary</t>
        </is>
      </c>
      <c r="C46" s="20" t="inlineStr">
        <is>
          <t>UNIT 2</t>
        </is>
      </c>
      <c r="D46" s="20" t="inlineStr"/>
      <c r="E46" s="20" t="inlineStr"/>
      <c r="F46" s="20" t="inlineStr"/>
    </row>
    <row r="47">
      <c r="A47" s="20" t="inlineStr">
        <is>
          <t>Kennedy ES</t>
        </is>
      </c>
      <c r="B47" s="20" t="inlineStr">
        <is>
          <t>NES Elementary</t>
        </is>
      </c>
      <c r="C47" s="20" t="inlineStr">
        <is>
          <t>UNIT 2</t>
        </is>
      </c>
      <c r="D47" s="20" t="inlineStr"/>
      <c r="E47" s="20" t="inlineStr"/>
      <c r="F47" s="20" t="inlineStr"/>
    </row>
    <row r="48">
      <c r="A48" s="20" t="inlineStr">
        <is>
          <t>Hilliard ES</t>
        </is>
      </c>
      <c r="B48" s="20" t="inlineStr">
        <is>
          <t>NES Elementary</t>
        </is>
      </c>
      <c r="C48" s="20" t="inlineStr">
        <is>
          <t>UNIT 2</t>
        </is>
      </c>
      <c r="D48" s="20" t="inlineStr"/>
      <c r="E48" s="20" t="inlineStr"/>
      <c r="F48" s="20" t="inlineStr"/>
    </row>
    <row r="49">
      <c r="A49" s="20" t="inlineStr">
        <is>
          <t>Smith ES</t>
        </is>
      </c>
      <c r="B49" s="20" t="inlineStr">
        <is>
          <t>NES Elementary</t>
        </is>
      </c>
      <c r="C49" s="20" t="inlineStr">
        <is>
          <t>UNIT 2</t>
        </is>
      </c>
      <c r="D49" s="20" t="inlineStr"/>
      <c r="E49" s="20" t="inlineStr"/>
      <c r="F49" s="20" t="inlineStr"/>
    </row>
    <row r="50">
      <c r="A50" s="20" t="inlineStr">
        <is>
          <t>Hartsfield ES</t>
        </is>
      </c>
      <c r="B50" s="20" t="inlineStr">
        <is>
          <t>NES Elementary</t>
        </is>
      </c>
      <c r="C50" s="20" t="inlineStr">
        <is>
          <t>UNIT 2</t>
        </is>
      </c>
      <c r="D50" s="20" t="inlineStr"/>
      <c r="E50" s="20" t="inlineStr"/>
      <c r="F50" s="20" t="inlineStr"/>
    </row>
    <row r="51">
      <c r="A51" s="20" t="inlineStr">
        <is>
          <t>Mading ES</t>
        </is>
      </c>
      <c r="B51" s="20" t="inlineStr">
        <is>
          <t>NES Elementary</t>
        </is>
      </c>
      <c r="C51" s="20" t="inlineStr">
        <is>
          <t>UNIT 2</t>
        </is>
      </c>
      <c r="D51" s="20" t="inlineStr"/>
      <c r="E51" s="20" t="inlineStr"/>
      <c r="F51" s="20" t="inlineStr"/>
    </row>
    <row r="52">
      <c r="A52" s="20" t="inlineStr">
        <is>
          <t>Coop ES</t>
        </is>
      </c>
      <c r="B52" s="20" t="inlineStr">
        <is>
          <t>NES Elementary</t>
        </is>
      </c>
      <c r="C52" s="20" t="inlineStr">
        <is>
          <t>UNIT 2</t>
        </is>
      </c>
      <c r="D52" s="20" t="inlineStr"/>
      <c r="E52" s="20" t="inlineStr"/>
      <c r="F52" s="20" t="inlineStr"/>
    </row>
    <row r="53">
      <c r="A53" s="20" t="inlineStr">
        <is>
          <t>Marshall ES</t>
        </is>
      </c>
      <c r="B53" s="20" t="inlineStr">
        <is>
          <t>NES Elementary</t>
        </is>
      </c>
      <c r="C53" s="20" t="inlineStr">
        <is>
          <t>UNIT 2</t>
        </is>
      </c>
      <c r="D53" s="20" t="inlineStr"/>
      <c r="E53" s="20" t="inlineStr"/>
      <c r="F53" s="20" t="inlineStr"/>
    </row>
    <row r="54">
      <c r="A54" s="20" t="inlineStr">
        <is>
          <t>Stevens ES</t>
        </is>
      </c>
      <c r="B54" s="20" t="inlineStr">
        <is>
          <t>NES Elementary</t>
        </is>
      </c>
      <c r="C54" s="20" t="inlineStr">
        <is>
          <t>UNIT 2</t>
        </is>
      </c>
      <c r="D54" s="20" t="inlineStr"/>
      <c r="E54" s="20" t="inlineStr"/>
      <c r="F54" s="20" t="inlineStr"/>
    </row>
    <row r="55">
      <c r="A55" s="20" t="inlineStr">
        <is>
          <t>Rucker ES</t>
        </is>
      </c>
      <c r="B55" s="20" t="inlineStr">
        <is>
          <t>NES Elementary</t>
        </is>
      </c>
      <c r="C55" s="20" t="inlineStr">
        <is>
          <t>UNIT 2</t>
        </is>
      </c>
      <c r="D55" s="20" t="inlineStr"/>
      <c r="E55" s="20" t="inlineStr"/>
      <c r="F55" s="20" t="inlineStr"/>
    </row>
    <row r="56">
      <c r="A56" s="20" t="inlineStr">
        <is>
          <t>Seguin ES</t>
        </is>
      </c>
      <c r="B56" s="20" t="inlineStr">
        <is>
          <t>NES Elementary</t>
        </is>
      </c>
      <c r="C56" s="20" t="inlineStr">
        <is>
          <t>UNIT 2</t>
        </is>
      </c>
      <c r="D56" s="20" t="inlineStr"/>
      <c r="E56" s="20" t="inlineStr"/>
      <c r="F56" s="20" t="inlineStr"/>
    </row>
    <row r="57">
      <c r="A57" s="20" t="inlineStr">
        <is>
          <t>Garcia ES</t>
        </is>
      </c>
      <c r="B57" s="20" t="inlineStr">
        <is>
          <t>NES Elementary</t>
        </is>
      </c>
      <c r="C57" s="20" t="inlineStr">
        <is>
          <t>UNIT 2</t>
        </is>
      </c>
      <c r="D57" s="20" t="inlineStr"/>
      <c r="E57" s="20" t="inlineStr"/>
      <c r="F57" s="20" t="inlineStr"/>
    </row>
    <row r="58">
      <c r="A58" s="20" t="inlineStr">
        <is>
          <t>McGowen ES</t>
        </is>
      </c>
      <c r="B58" s="20" t="inlineStr">
        <is>
          <t>NES Elementary</t>
        </is>
      </c>
      <c r="C58" s="20" t="inlineStr">
        <is>
          <t>UNIT 2</t>
        </is>
      </c>
      <c r="D58" s="20" t="inlineStr"/>
      <c r="E58" s="20" t="inlineStr"/>
      <c r="F58" s="20" t="inlineStr"/>
    </row>
    <row r="59">
      <c r="A59" s="20" t="inlineStr">
        <is>
          <t>Wainwright ES</t>
        </is>
      </c>
      <c r="B59" s="20" t="inlineStr">
        <is>
          <t>NES Elementary</t>
        </is>
      </c>
      <c r="C59" s="20" t="inlineStr">
        <is>
          <t>UNIT 2</t>
        </is>
      </c>
      <c r="D59" s="20" t="inlineStr"/>
      <c r="E59" s="20" t="inlineStr">
        <is>
          <t>No (charter withdrawn)</t>
        </is>
      </c>
      <c r="F59" s="20" t="inlineStr">
        <is>
          <t>Charter Withdrawn</t>
        </is>
      </c>
    </row>
    <row r="60">
      <c r="A60" s="20" t="inlineStr">
        <is>
          <t>Sanchez ES</t>
        </is>
      </c>
      <c r="B60" s="20" t="inlineStr">
        <is>
          <t>NES Elementary</t>
        </is>
      </c>
      <c r="C60" s="20" t="inlineStr">
        <is>
          <t>UNIT 2</t>
        </is>
      </c>
      <c r="D60" s="20" t="inlineStr"/>
      <c r="E60" s="20" t="inlineStr"/>
      <c r="F60" s="20" t="inlineStr"/>
    </row>
    <row r="61">
      <c r="A61" s="20" t="inlineStr">
        <is>
          <t>Young ES</t>
        </is>
      </c>
      <c r="B61" s="20" t="inlineStr">
        <is>
          <t>NES Elementary</t>
        </is>
      </c>
      <c r="C61" s="20" t="inlineStr">
        <is>
          <t>UNIT 2</t>
        </is>
      </c>
      <c r="D61" s="20" t="inlineStr"/>
      <c r="E61" s="20" t="inlineStr"/>
      <c r="F61" s="20" t="inlineStr"/>
    </row>
    <row r="62">
      <c r="A62" s="20" t="inlineStr">
        <is>
          <t>Northline ES</t>
        </is>
      </c>
      <c r="B62" s="20" t="inlineStr">
        <is>
          <t>NES Elementary</t>
        </is>
      </c>
      <c r="C62" s="20" t="inlineStr">
        <is>
          <t>UNIT 2</t>
        </is>
      </c>
      <c r="D62" s="20" t="inlineStr"/>
      <c r="E62" s="20" t="inlineStr"/>
      <c r="F62" s="20" t="inlineStr"/>
    </row>
    <row r="63">
      <c r="A63" s="20" t="inlineStr">
        <is>
          <t>Paige ES</t>
        </is>
      </c>
      <c r="B63" s="20" t="inlineStr">
        <is>
          <t>NES Elementary</t>
        </is>
      </c>
      <c r="C63" s="20" t="inlineStr">
        <is>
          <t>UNIT 2</t>
        </is>
      </c>
      <c r="D63" s="20" t="inlineStr"/>
      <c r="E63" s="20" t="inlineStr"/>
      <c r="F63" s="20" t="inlineStr"/>
    </row>
    <row r="64">
      <c r="A64" s="20" t="inlineStr">
        <is>
          <t>Wesley ES</t>
        </is>
      </c>
      <c r="B64" s="20" t="inlineStr">
        <is>
          <t>NES Elementary</t>
        </is>
      </c>
      <c r="C64" s="20" t="inlineStr">
        <is>
          <t>UNIT 2</t>
        </is>
      </c>
      <c r="D64" s="20" t="inlineStr"/>
      <c r="E64" s="20" t="inlineStr"/>
      <c r="F64" s="20" t="inlineStr"/>
    </row>
    <row r="65">
      <c r="A65" s="20" t="inlineStr">
        <is>
          <t>Osborne ES</t>
        </is>
      </c>
      <c r="B65" s="20" t="inlineStr">
        <is>
          <t>NES Elementary</t>
        </is>
      </c>
      <c r="C65" s="20" t="inlineStr">
        <is>
          <t>UNIT 2</t>
        </is>
      </c>
      <c r="D65" s="20" t="inlineStr"/>
      <c r="E65" s="20" t="inlineStr"/>
      <c r="F65" s="20" t="inlineStr"/>
    </row>
    <row r="66">
      <c r="A66" s="20" t="inlineStr">
        <is>
          <t>Shadydale ES</t>
        </is>
      </c>
      <c r="B66" s="20" t="inlineStr">
        <is>
          <t>NES Elementary</t>
        </is>
      </c>
      <c r="C66" s="20" t="inlineStr">
        <is>
          <t>UNIT 2</t>
        </is>
      </c>
      <c r="D66" s="20" t="inlineStr"/>
      <c r="E66" s="20" t="inlineStr"/>
      <c r="F66" s="20" t="inlineStr"/>
    </row>
    <row r="67">
      <c r="A67" s="20" t="inlineStr">
        <is>
          <t>Cage ES (@Lantrip ES)</t>
        </is>
      </c>
      <c r="B67" s="20" t="inlineStr">
        <is>
          <t>NES Elementary</t>
        </is>
      </c>
      <c r="C67" s="20" t="inlineStr">
        <is>
          <t>UNIT 3</t>
        </is>
      </c>
      <c r="D67" s="20" t="inlineStr"/>
      <c r="E67" s="20" t="inlineStr"/>
      <c r="F67" s="20" t="inlineStr"/>
    </row>
    <row r="68">
      <c r="A68" s="20" t="inlineStr">
        <is>
          <t>Burnet ES</t>
        </is>
      </c>
      <c r="B68" s="20" t="inlineStr">
        <is>
          <t>NES Elementary</t>
        </is>
      </c>
      <c r="C68" s="20" t="inlineStr">
        <is>
          <t>UNIT 3</t>
        </is>
      </c>
      <c r="D68" s="20" t="inlineStr"/>
      <c r="E68" s="20" t="inlineStr"/>
      <c r="F68" s="20" t="inlineStr"/>
    </row>
    <row r="69">
      <c r="A69" s="20" t="inlineStr">
        <is>
          <t>Atherton ES</t>
        </is>
      </c>
      <c r="B69" s="20" t="inlineStr">
        <is>
          <t>NES Elementary</t>
        </is>
      </c>
      <c r="C69" s="20" t="inlineStr">
        <is>
          <t>UNIT 3</t>
        </is>
      </c>
      <c r="D69" s="20" t="inlineStr"/>
      <c r="E69" s="20" t="inlineStr"/>
      <c r="F69" s="20" t="inlineStr"/>
    </row>
    <row r="70">
      <c r="A70" s="20" t="inlineStr">
        <is>
          <t>Dogan ES</t>
        </is>
      </c>
      <c r="B70" s="20" t="inlineStr">
        <is>
          <t>NES Elementary</t>
        </is>
      </c>
      <c r="C70" s="20" t="inlineStr">
        <is>
          <t>UNIT 3</t>
        </is>
      </c>
      <c r="D70" s="20" t="inlineStr"/>
      <c r="E70" s="20" t="inlineStr"/>
      <c r="F70" s="20" t="inlineStr"/>
    </row>
    <row r="71">
      <c r="A71" s="20" t="inlineStr">
        <is>
          <t>Blackshear ES</t>
        </is>
      </c>
      <c r="B71" s="20" t="inlineStr">
        <is>
          <t>NES Elementary</t>
        </is>
      </c>
      <c r="C71" s="20" t="inlineStr">
        <is>
          <t>UNIT 3</t>
        </is>
      </c>
      <c r="D71" s="20" t="inlineStr"/>
      <c r="E71" s="20" t="inlineStr"/>
      <c r="F71" s="20" t="inlineStr"/>
    </row>
    <row r="72">
      <c r="A72" s="20" t="inlineStr">
        <is>
          <t>Harris RP ES</t>
        </is>
      </c>
      <c r="B72" s="20" t="inlineStr">
        <is>
          <t>NES Elementary</t>
        </is>
      </c>
      <c r="C72" s="20" t="inlineStr">
        <is>
          <t>UNIT 3</t>
        </is>
      </c>
      <c r="D72" s="20" t="inlineStr"/>
      <c r="E72" s="20" t="inlineStr"/>
      <c r="F72" s="20" t="inlineStr"/>
    </row>
    <row r="73">
      <c r="A73" s="20" t="inlineStr">
        <is>
          <t>Carrillo ES</t>
        </is>
      </c>
      <c r="B73" s="20" t="inlineStr">
        <is>
          <t>NES Elementary</t>
        </is>
      </c>
      <c r="C73" s="20" t="inlineStr">
        <is>
          <t>UNIT 3</t>
        </is>
      </c>
      <c r="D73" s="20" t="inlineStr"/>
      <c r="E73" s="20" t="inlineStr"/>
      <c r="F73" s="20" t="inlineStr"/>
    </row>
    <row r="74">
      <c r="A74" s="20" t="inlineStr">
        <is>
          <t>Browning ES</t>
        </is>
      </c>
      <c r="B74" s="20" t="inlineStr">
        <is>
          <t>NES Elementary</t>
        </is>
      </c>
      <c r="C74" s="20" t="inlineStr">
        <is>
          <t>UNIT 3</t>
        </is>
      </c>
      <c r="D74" s="20" t="inlineStr"/>
      <c r="E74" s="20" t="inlineStr">
        <is>
          <t>Yes</t>
        </is>
      </c>
      <c r="F74" s="20" t="inlineStr">
        <is>
          <t>Inactive</t>
        </is>
      </c>
    </row>
    <row r="75">
      <c r="A75" s="20" t="inlineStr">
        <is>
          <t>Eliot ES</t>
        </is>
      </c>
      <c r="B75" s="20" t="inlineStr">
        <is>
          <t>NES Elementary</t>
        </is>
      </c>
      <c r="C75" s="20" t="inlineStr">
        <is>
          <t>UNIT 3</t>
        </is>
      </c>
      <c r="D75" s="20" t="inlineStr"/>
      <c r="E75" s="20" t="inlineStr"/>
      <c r="F75" s="20" t="inlineStr"/>
    </row>
    <row r="76">
      <c r="A76" s="20" t="inlineStr">
        <is>
          <t>Martinez R. ES</t>
        </is>
      </c>
      <c r="B76" s="20" t="inlineStr">
        <is>
          <t>NES Elementary</t>
        </is>
      </c>
      <c r="C76" s="20" t="inlineStr">
        <is>
          <t>UNIT 3</t>
        </is>
      </c>
      <c r="D76" s="20" t="inlineStr"/>
      <c r="E76" s="20" t="inlineStr"/>
      <c r="F76" s="20" t="inlineStr"/>
    </row>
    <row r="77">
      <c r="A77" s="20" t="inlineStr">
        <is>
          <t>Kashmere Gardens ES</t>
        </is>
      </c>
      <c r="B77" s="20" t="inlineStr">
        <is>
          <t>NES Elementary</t>
        </is>
      </c>
      <c r="C77" s="20" t="inlineStr">
        <is>
          <t>UNIT 3</t>
        </is>
      </c>
      <c r="D77" s="20" t="inlineStr"/>
      <c r="E77" s="20" t="inlineStr"/>
      <c r="F77" s="20" t="inlineStr"/>
    </row>
    <row r="78">
      <c r="A78" s="20" t="inlineStr">
        <is>
          <t>De Zavala ES</t>
        </is>
      </c>
      <c r="B78" s="20" t="inlineStr">
        <is>
          <t>NES Elementary</t>
        </is>
      </c>
      <c r="C78" s="20" t="inlineStr">
        <is>
          <t>UNIT 3</t>
        </is>
      </c>
      <c r="D78" s="20" t="inlineStr">
        <is>
          <t>DeZavala ES</t>
        </is>
      </c>
      <c r="E78" s="20" t="inlineStr"/>
      <c r="F78" s="20" t="inlineStr"/>
    </row>
    <row r="79">
      <c r="A79" s="20" t="inlineStr">
        <is>
          <t>Bruce ES</t>
        </is>
      </c>
      <c r="B79" s="20" t="inlineStr">
        <is>
          <t>NES Elementary</t>
        </is>
      </c>
      <c r="C79" s="20" t="inlineStr">
        <is>
          <t>UNIT 3</t>
        </is>
      </c>
      <c r="D79" s="20" t="inlineStr"/>
      <c r="E79" s="20" t="inlineStr"/>
      <c r="F79" s="20" t="inlineStr"/>
    </row>
    <row r="80">
      <c r="A80" s="20" t="inlineStr">
        <is>
          <t>Gregory Lincoln ES</t>
        </is>
      </c>
      <c r="B80" s="20" t="inlineStr">
        <is>
          <t>NES Elementary</t>
        </is>
      </c>
      <c r="C80" s="20" t="inlineStr">
        <is>
          <t>UNIT 3</t>
        </is>
      </c>
      <c r="D80" s="20" t="inlineStr"/>
      <c r="E80" s="20" t="inlineStr"/>
      <c r="F80" s="20" t="inlineStr"/>
    </row>
    <row r="81">
      <c r="A81" s="20" t="inlineStr">
        <is>
          <t>Martinez, C. ES</t>
        </is>
      </c>
      <c r="B81" s="20" t="inlineStr">
        <is>
          <t>NES Elementary</t>
        </is>
      </c>
      <c r="C81" s="20" t="inlineStr">
        <is>
          <t>UNIT 3</t>
        </is>
      </c>
      <c r="D81" s="20" t="inlineStr"/>
      <c r="E81" s="20" t="inlineStr"/>
      <c r="F81" s="20" t="inlineStr"/>
    </row>
    <row r="82">
      <c r="A82" s="20" t="inlineStr">
        <is>
          <t>Gallegos ES</t>
        </is>
      </c>
      <c r="B82" s="20" t="inlineStr">
        <is>
          <t>NES Elementary</t>
        </is>
      </c>
      <c r="C82" s="20" t="inlineStr">
        <is>
          <t>UNIT 3</t>
        </is>
      </c>
      <c r="D82" s="20" t="inlineStr"/>
      <c r="E82" s="20" t="inlineStr"/>
      <c r="F82" s="20" t="inlineStr"/>
    </row>
    <row r="83">
      <c r="A83" s="20" t="inlineStr">
        <is>
          <t>Crockett ES</t>
        </is>
      </c>
      <c r="B83" s="20" t="inlineStr">
        <is>
          <t>NES Elementary</t>
        </is>
      </c>
      <c r="C83" s="20" t="inlineStr">
        <is>
          <t>UNIT 3</t>
        </is>
      </c>
      <c r="D83" s="20" t="inlineStr"/>
      <c r="E83" s="20" t="inlineStr"/>
      <c r="F83" s="20" t="inlineStr"/>
    </row>
    <row r="84">
      <c r="A84" s="20" t="inlineStr">
        <is>
          <t>Isaacs ES</t>
        </is>
      </c>
      <c r="B84" s="20" t="inlineStr">
        <is>
          <t>NES Elementary</t>
        </is>
      </c>
      <c r="C84" s="20" t="inlineStr">
        <is>
          <t>UNIT 3</t>
        </is>
      </c>
      <c r="D84" s="20" t="inlineStr"/>
      <c r="E84" s="20" t="inlineStr"/>
      <c r="F84" s="20" t="inlineStr"/>
    </row>
    <row r="85">
      <c r="A85" s="20" t="inlineStr">
        <is>
          <t>Oates ES</t>
        </is>
      </c>
      <c r="B85" s="20" t="inlineStr">
        <is>
          <t>NES Elementary</t>
        </is>
      </c>
      <c r="C85" s="20" t="inlineStr">
        <is>
          <t>UNIT 3</t>
        </is>
      </c>
      <c r="D85" s="20" t="inlineStr"/>
      <c r="E85" s="20" t="inlineStr"/>
      <c r="F85" s="20" t="inlineStr"/>
    </row>
    <row r="86">
      <c r="A86" s="20" t="inlineStr">
        <is>
          <t>Harris, JR ES</t>
        </is>
      </c>
      <c r="B86" s="20" t="inlineStr">
        <is>
          <t>NES Elementary</t>
        </is>
      </c>
      <c r="C86" s="20" t="inlineStr">
        <is>
          <t>UNIT 3</t>
        </is>
      </c>
      <c r="D86" s="20" t="inlineStr"/>
      <c r="E86" s="20" t="inlineStr"/>
      <c r="F86" s="20" t="inlineStr"/>
    </row>
    <row r="87">
      <c r="A87" s="20" t="inlineStr">
        <is>
          <t>Peck ES</t>
        </is>
      </c>
      <c r="B87" s="20" t="inlineStr">
        <is>
          <t>NES Elementary</t>
        </is>
      </c>
      <c r="C87" s="20" t="inlineStr">
        <is>
          <t>UNIT 3</t>
        </is>
      </c>
      <c r="D87" s="20" t="inlineStr"/>
      <c r="E87" s="20" t="inlineStr"/>
      <c r="F87" s="20" t="inlineStr"/>
    </row>
    <row r="88">
      <c r="A88" s="20" t="inlineStr">
        <is>
          <t>Pugh ES</t>
        </is>
      </c>
      <c r="B88" s="20" t="inlineStr">
        <is>
          <t>NES Elementary</t>
        </is>
      </c>
      <c r="C88" s="20" t="inlineStr">
        <is>
          <t>UNIT 3</t>
        </is>
      </c>
      <c r="D88" s="20" t="inlineStr"/>
      <c r="E88" s="20" t="inlineStr"/>
      <c r="F88" s="20" t="inlineStr"/>
    </row>
    <row r="89">
      <c r="A89" s="20" t="inlineStr">
        <is>
          <t>Pleasantville ES</t>
        </is>
      </c>
      <c r="B89" s="20" t="inlineStr">
        <is>
          <t>NES Elementary</t>
        </is>
      </c>
      <c r="C89" s="20" t="inlineStr">
        <is>
          <t>UNIT 3</t>
        </is>
      </c>
      <c r="D89" s="20" t="inlineStr"/>
      <c r="E89" s="20" t="inlineStr"/>
      <c r="F89" s="20" t="inlineStr"/>
    </row>
    <row r="90">
      <c r="A90" s="20" t="inlineStr">
        <is>
          <t>Jefferson ES</t>
        </is>
      </c>
      <c r="B90" s="20" t="inlineStr">
        <is>
          <t>NES Elementary</t>
        </is>
      </c>
      <c r="C90" s="20" t="inlineStr">
        <is>
          <t>UNIT 3</t>
        </is>
      </c>
      <c r="D90" s="20" t="inlineStr"/>
      <c r="E90" s="20" t="inlineStr"/>
      <c r="F90" s="20" t="inlineStr"/>
    </row>
    <row r="91">
      <c r="A91" s="20" t="inlineStr">
        <is>
          <t>Ketelsen ES</t>
        </is>
      </c>
      <c r="B91" s="20" t="inlineStr">
        <is>
          <t>NES Elementary</t>
        </is>
      </c>
      <c r="C91" s="20" t="inlineStr">
        <is>
          <t>UNIT 3</t>
        </is>
      </c>
      <c r="D91" s="20" t="inlineStr"/>
      <c r="E91" s="20" t="inlineStr">
        <is>
          <t>Yes</t>
        </is>
      </c>
      <c r="F91" s="20" t="inlineStr">
        <is>
          <t>Inactive</t>
        </is>
      </c>
    </row>
    <row r="92">
      <c r="A92" s="20" t="inlineStr">
        <is>
          <t>Scroggins ES</t>
        </is>
      </c>
      <c r="B92" s="20" t="inlineStr">
        <is>
          <t>NES Elementary</t>
        </is>
      </c>
      <c r="C92" s="20" t="inlineStr">
        <is>
          <t>UNIT 3</t>
        </is>
      </c>
      <c r="D92" s="20" t="inlineStr"/>
      <c r="E92" s="20" t="inlineStr"/>
      <c r="F92" s="20" t="inlineStr"/>
    </row>
    <row r="93">
      <c r="A93" s="20" t="inlineStr">
        <is>
          <t>Robinson ES</t>
        </is>
      </c>
      <c r="B93" s="20" t="inlineStr">
        <is>
          <t>NES Elementary</t>
        </is>
      </c>
      <c r="C93" s="20" t="inlineStr">
        <is>
          <t>UNIT 3</t>
        </is>
      </c>
      <c r="D93" s="20" t="inlineStr"/>
      <c r="E93" s="20" t="inlineStr"/>
      <c r="F93" s="20" t="inlineStr"/>
    </row>
    <row r="94">
      <c r="A94" s="20" t="inlineStr">
        <is>
          <t>Southmayd ES</t>
        </is>
      </c>
      <c r="B94" s="20" t="inlineStr">
        <is>
          <t>NES Elementary</t>
        </is>
      </c>
      <c r="C94" s="20" t="inlineStr">
        <is>
          <t>UNIT 3</t>
        </is>
      </c>
      <c r="D94" s="20" t="inlineStr"/>
      <c r="E94" s="20" t="inlineStr"/>
      <c r="F94" s="20" t="inlineStr"/>
    </row>
    <row r="95">
      <c r="A95" s="20" t="inlineStr">
        <is>
          <t>Looscan ES</t>
        </is>
      </c>
      <c r="B95" s="20" t="inlineStr">
        <is>
          <t>NES Elementary</t>
        </is>
      </c>
      <c r="C95" s="20" t="inlineStr">
        <is>
          <t>UNIT 3</t>
        </is>
      </c>
      <c r="D95" s="20" t="inlineStr"/>
      <c r="E95" s="20" t="inlineStr"/>
      <c r="F95" s="20" t="inlineStr"/>
    </row>
    <row r="96">
      <c r="A96" s="20" t="inlineStr">
        <is>
          <t>Whittier ES</t>
        </is>
      </c>
      <c r="B96" s="20" t="inlineStr">
        <is>
          <t>NES Elementary</t>
        </is>
      </c>
      <c r="C96" s="20" t="inlineStr">
        <is>
          <t>UNIT 3</t>
        </is>
      </c>
      <c r="D96" s="20" t="inlineStr"/>
      <c r="E96" s="20" t="inlineStr"/>
      <c r="F96" s="20" t="inlineStr"/>
    </row>
    <row r="97">
      <c r="A97" s="20" t="inlineStr">
        <is>
          <t>Fleming/McReynolds (@ Leland MS )</t>
        </is>
      </c>
      <c r="B97" s="20" t="inlineStr">
        <is>
          <t>NES Secondary</t>
        </is>
      </c>
      <c r="C97" s="20" t="inlineStr">
        <is>
          <t>UNIT 1</t>
        </is>
      </c>
      <c r="D97" s="20" t="inlineStr">
        <is>
          <t>McReynolds MS</t>
        </is>
      </c>
      <c r="E97" s="20" t="inlineStr"/>
      <c r="F97" s="20" t="inlineStr"/>
    </row>
    <row r="98">
      <c r="A98" s="20" t="inlineStr">
        <is>
          <t>Clifton MS</t>
        </is>
      </c>
      <c r="B98" s="20" t="inlineStr">
        <is>
          <t>NES Secondary</t>
        </is>
      </c>
      <c r="C98" s="20" t="inlineStr">
        <is>
          <t>UNIT 1</t>
        </is>
      </c>
      <c r="D98" s="20" t="inlineStr"/>
      <c r="E98" s="20" t="inlineStr"/>
      <c r="F98" s="20" t="inlineStr"/>
    </row>
    <row r="99">
      <c r="A99" s="20" t="inlineStr">
        <is>
          <t>Forest Brook MS</t>
        </is>
      </c>
      <c r="B99" s="20" t="inlineStr">
        <is>
          <t>NES Secondary</t>
        </is>
      </c>
      <c r="C99" s="20" t="inlineStr">
        <is>
          <t>UNIT 1</t>
        </is>
      </c>
      <c r="D99" s="20" t="inlineStr"/>
      <c r="E99" s="20" t="inlineStr"/>
      <c r="F99" s="20" t="inlineStr"/>
    </row>
    <row r="100">
      <c r="A100" s="20" t="inlineStr">
        <is>
          <t>Holland MS</t>
        </is>
      </c>
      <c r="B100" s="20" t="inlineStr">
        <is>
          <t>NES Secondary</t>
        </is>
      </c>
      <c r="C100" s="20" t="inlineStr">
        <is>
          <t>UNIT 1</t>
        </is>
      </c>
      <c r="D100" s="20" t="inlineStr"/>
      <c r="E100" s="20" t="inlineStr"/>
      <c r="F100" s="20" t="inlineStr"/>
    </row>
    <row r="101">
      <c r="A101" s="20" t="inlineStr">
        <is>
          <t>Fonville MS</t>
        </is>
      </c>
      <c r="B101" s="20" t="inlineStr">
        <is>
          <t>NES Secondary</t>
        </is>
      </c>
      <c r="C101" s="20" t="inlineStr">
        <is>
          <t>UNIT 1</t>
        </is>
      </c>
      <c r="D101" s="20" t="inlineStr"/>
      <c r="E101" s="20" t="inlineStr"/>
      <c r="F101" s="20" t="inlineStr"/>
    </row>
    <row r="102">
      <c r="A102" s="20" t="inlineStr">
        <is>
          <t>Kashmere HS</t>
        </is>
      </c>
      <c r="B102" s="20" t="inlineStr">
        <is>
          <t>NES Secondary</t>
        </is>
      </c>
      <c r="C102" s="20" t="inlineStr">
        <is>
          <t>UNIT 1</t>
        </is>
      </c>
      <c r="D102" s="20" t="inlineStr"/>
      <c r="E102" s="20" t="inlineStr"/>
      <c r="F102" s="20" t="inlineStr"/>
    </row>
    <row r="103">
      <c r="A103" s="20" t="inlineStr">
        <is>
          <t>Marshall MS</t>
        </is>
      </c>
      <c r="B103" s="20" t="inlineStr">
        <is>
          <t>NES Secondary</t>
        </is>
      </c>
      <c r="C103" s="20" t="inlineStr">
        <is>
          <t>UNIT 1</t>
        </is>
      </c>
      <c r="D103" s="20" t="inlineStr"/>
      <c r="E103" s="20" t="inlineStr"/>
      <c r="F103" s="20" t="inlineStr"/>
    </row>
    <row r="104">
      <c r="A104" s="20" t="inlineStr">
        <is>
          <t>Furr HS</t>
        </is>
      </c>
      <c r="B104" s="20" t="inlineStr">
        <is>
          <t>NES Secondary</t>
        </is>
      </c>
      <c r="C104" s="20" t="inlineStr">
        <is>
          <t>UNIT 1</t>
        </is>
      </c>
      <c r="D104" s="20" t="inlineStr"/>
      <c r="E104" s="20" t="inlineStr"/>
      <c r="F104" s="20" t="inlineStr"/>
    </row>
    <row r="105">
      <c r="A105" s="20" t="inlineStr">
        <is>
          <t>Key MS</t>
        </is>
      </c>
      <c r="B105" s="20" t="inlineStr">
        <is>
          <t>NES Secondary</t>
        </is>
      </c>
      <c r="C105" s="20" t="inlineStr">
        <is>
          <t>UNIT 1</t>
        </is>
      </c>
      <c r="D105" s="20" t="inlineStr"/>
      <c r="E105" s="20" t="inlineStr"/>
      <c r="F105" s="20" t="inlineStr"/>
    </row>
    <row r="106">
      <c r="A106" s="20" t="inlineStr">
        <is>
          <t>North Forest HS</t>
        </is>
      </c>
      <c r="B106" s="20" t="inlineStr">
        <is>
          <t>NES Secondary</t>
        </is>
      </c>
      <c r="C106" s="20" t="inlineStr">
        <is>
          <t>UNIT 1</t>
        </is>
      </c>
      <c r="D106" s="20" t="inlineStr"/>
      <c r="E106" s="20" t="inlineStr"/>
      <c r="F106" s="20" t="inlineStr"/>
    </row>
    <row r="107">
      <c r="A107" s="20" t="inlineStr">
        <is>
          <t>Henry MS</t>
        </is>
      </c>
      <c r="B107" s="20" t="inlineStr">
        <is>
          <t>NES Secondary</t>
        </is>
      </c>
      <c r="C107" s="20" t="inlineStr">
        <is>
          <t>UNIT 1</t>
        </is>
      </c>
      <c r="D107" s="20" t="inlineStr"/>
      <c r="E107" s="20" t="inlineStr"/>
      <c r="F107" s="20" t="inlineStr"/>
    </row>
    <row r="108">
      <c r="A108" s="20" t="inlineStr">
        <is>
          <t>Northside HS</t>
        </is>
      </c>
      <c r="B108" s="20" t="inlineStr">
        <is>
          <t>NES Secondary</t>
        </is>
      </c>
      <c r="C108" s="20" t="inlineStr">
        <is>
          <t>UNIT 1</t>
        </is>
      </c>
      <c r="D108" s="20" t="inlineStr"/>
      <c r="E108" s="20" t="inlineStr">
        <is>
          <t>No (charter withdrawn)</t>
        </is>
      </c>
      <c r="F108" s="20" t="inlineStr">
        <is>
          <t>Charter Withdrawn</t>
        </is>
      </c>
    </row>
    <row r="109">
      <c r="A109" s="20" t="inlineStr">
        <is>
          <t>Washington HS</t>
        </is>
      </c>
      <c r="B109" s="20" t="inlineStr">
        <is>
          <t>NES Secondary</t>
        </is>
      </c>
      <c r="C109" s="20" t="inlineStr">
        <is>
          <t>UNIT 1</t>
        </is>
      </c>
      <c r="D109" s="20" t="inlineStr"/>
      <c r="E109" s="20" t="inlineStr"/>
      <c r="F109" s="20" t="inlineStr"/>
    </row>
    <row r="110">
      <c r="A110" s="20" t="inlineStr">
        <is>
          <t>Houston MSTC</t>
        </is>
      </c>
      <c r="B110" s="20" t="inlineStr">
        <is>
          <t>NES Secondary</t>
        </is>
      </c>
      <c r="C110" s="20" t="inlineStr">
        <is>
          <t>UNIT 1</t>
        </is>
      </c>
      <c r="D110" s="20" t="inlineStr">
        <is>
          <t>Houston MSTC HS</t>
        </is>
      </c>
      <c r="E110" s="20" t="inlineStr"/>
      <c r="F110" s="20" t="inlineStr"/>
    </row>
    <row r="111">
      <c r="A111" s="20" t="inlineStr">
        <is>
          <t>Scarborough HS</t>
        </is>
      </c>
      <c r="B111" s="20" t="inlineStr">
        <is>
          <t>NES Secondary</t>
        </is>
      </c>
      <c r="C111" s="20" t="inlineStr">
        <is>
          <t>UNIT 1</t>
        </is>
      </c>
      <c r="D111" s="20" t="inlineStr"/>
      <c r="E111" s="20" t="inlineStr"/>
      <c r="F111" s="20" t="inlineStr"/>
    </row>
    <row r="112">
      <c r="A112" s="20" t="inlineStr">
        <is>
          <t>McWilliams MS</t>
        </is>
      </c>
      <c r="B112" s="20" t="inlineStr">
        <is>
          <t>NES Secondary</t>
        </is>
      </c>
      <c r="C112" s="20" t="inlineStr">
        <is>
          <t>UNIT 1</t>
        </is>
      </c>
      <c r="D112" s="20" t="inlineStr">
        <is>
          <t>Williams MS</t>
        </is>
      </c>
      <c r="E112" s="20" t="inlineStr"/>
      <c r="F112" s="20" t="inlineStr"/>
    </row>
    <row r="113">
      <c r="A113" s="20" t="inlineStr">
        <is>
          <t>Lawson MS</t>
        </is>
      </c>
      <c r="B113" s="20" t="inlineStr">
        <is>
          <t>NES Secondary</t>
        </is>
      </c>
      <c r="C113" s="20" t="inlineStr">
        <is>
          <t>UNIT 2</t>
        </is>
      </c>
      <c r="D113" s="20" t="inlineStr"/>
      <c r="E113" s="20" t="inlineStr"/>
      <c r="F113" s="20" t="inlineStr"/>
    </row>
    <row r="114">
      <c r="A114" s="20" t="inlineStr">
        <is>
          <t>Hartman MS</t>
        </is>
      </c>
      <c r="B114" s="20" t="inlineStr">
        <is>
          <t>NES Secondary</t>
        </is>
      </c>
      <c r="C114" s="20" t="inlineStr">
        <is>
          <t>UNIT 2</t>
        </is>
      </c>
      <c r="D114" s="20" t="inlineStr"/>
      <c r="E114" s="20" t="inlineStr"/>
      <c r="F114" s="20" t="inlineStr"/>
    </row>
    <row r="115">
      <c r="A115" s="20" t="inlineStr">
        <is>
          <t>Cullen MS</t>
        </is>
      </c>
      <c r="B115" s="20" t="inlineStr">
        <is>
          <t>NES Secondary</t>
        </is>
      </c>
      <c r="C115" s="20" t="inlineStr">
        <is>
          <t>UNIT 2</t>
        </is>
      </c>
      <c r="D115" s="20" t="inlineStr"/>
      <c r="E115" s="20" t="inlineStr"/>
      <c r="F115" s="20" t="inlineStr"/>
    </row>
    <row r="116">
      <c r="A116" s="20" t="inlineStr">
        <is>
          <t>Austin HS</t>
        </is>
      </c>
      <c r="B116" s="20" t="inlineStr">
        <is>
          <t>NES Secondary</t>
        </is>
      </c>
      <c r="C116" s="20" t="inlineStr">
        <is>
          <t>UNIT 2</t>
        </is>
      </c>
      <c r="D116" s="20" t="inlineStr"/>
      <c r="E116" s="20" t="inlineStr"/>
      <c r="F116" s="20" t="inlineStr"/>
    </row>
    <row r="117">
      <c r="A117" s="20" t="inlineStr">
        <is>
          <t>Long Acad</t>
        </is>
      </c>
      <c r="B117" s="20" t="inlineStr">
        <is>
          <t>NES Secondary</t>
        </is>
      </c>
      <c r="C117" s="20" t="inlineStr">
        <is>
          <t>UNIT 2</t>
        </is>
      </c>
      <c r="D117" s="20" t="inlineStr"/>
      <c r="E117" s="20" t="inlineStr"/>
      <c r="F117" s="20" t="inlineStr"/>
    </row>
    <row r="118">
      <c r="A118" s="20" t="inlineStr">
        <is>
          <t>Sharpstown HS</t>
        </is>
      </c>
      <c r="B118" s="20" t="inlineStr">
        <is>
          <t>NES Secondary</t>
        </is>
      </c>
      <c r="C118" s="20" t="inlineStr">
        <is>
          <t>UNIT 2</t>
        </is>
      </c>
      <c r="D118" s="20" t="inlineStr"/>
      <c r="E118" s="20" t="inlineStr"/>
      <c r="F118" s="20" t="inlineStr"/>
    </row>
    <row r="119">
      <c r="A119" s="20" t="inlineStr">
        <is>
          <t>Deady MS</t>
        </is>
      </c>
      <c r="B119" s="20" t="inlineStr">
        <is>
          <t>NES Secondary</t>
        </is>
      </c>
      <c r="C119" s="20" t="inlineStr">
        <is>
          <t>UNIT 2</t>
        </is>
      </c>
      <c r="D119" s="20" t="inlineStr"/>
      <c r="E119" s="20" t="inlineStr"/>
      <c r="F119" s="20" t="inlineStr"/>
    </row>
    <row r="120">
      <c r="A120" s="20" t="inlineStr">
        <is>
          <t>Chrysalis MS</t>
        </is>
      </c>
      <c r="B120" s="20" t="inlineStr">
        <is>
          <t>NES Secondary</t>
        </is>
      </c>
      <c r="C120" s="20" t="inlineStr">
        <is>
          <t>UNIT 2</t>
        </is>
      </c>
      <c r="D120" s="20" t="inlineStr"/>
      <c r="E120" s="20" t="inlineStr"/>
      <c r="F120" s="20" t="inlineStr"/>
    </row>
    <row r="121">
      <c r="A121" s="20" t="inlineStr">
        <is>
          <t>Madison HS</t>
        </is>
      </c>
      <c r="B121" s="20" t="inlineStr">
        <is>
          <t>NES Secondary</t>
        </is>
      </c>
      <c r="C121" s="20" t="inlineStr">
        <is>
          <t>UNIT 2</t>
        </is>
      </c>
      <c r="D121" s="20" t="inlineStr"/>
      <c r="E121" s="20" t="inlineStr"/>
      <c r="F121" s="20" t="inlineStr"/>
    </row>
    <row r="122">
      <c r="A122" s="20" t="inlineStr">
        <is>
          <t>Sugar Grove MS</t>
        </is>
      </c>
      <c r="B122" s="20" t="inlineStr">
        <is>
          <t>NES Secondary</t>
        </is>
      </c>
      <c r="C122" s="20" t="inlineStr">
        <is>
          <t>UNIT 2</t>
        </is>
      </c>
      <c r="D122" s="20" t="inlineStr"/>
      <c r="E122" s="20" t="inlineStr"/>
      <c r="F122" s="20" t="inlineStr"/>
    </row>
    <row r="123">
      <c r="A123" s="20" t="inlineStr">
        <is>
          <t>Fondren MS</t>
        </is>
      </c>
      <c r="B123" s="20" t="inlineStr">
        <is>
          <t>NES Secondary</t>
        </is>
      </c>
      <c r="C123" s="20" t="inlineStr">
        <is>
          <t>UNIT 2</t>
        </is>
      </c>
      <c r="D123" s="20" t="inlineStr"/>
      <c r="E123" s="20" t="inlineStr"/>
      <c r="F123" s="20" t="inlineStr"/>
    </row>
    <row r="124">
      <c r="A124" s="20" t="inlineStr">
        <is>
          <t>Edison MS</t>
        </is>
      </c>
      <c r="B124" s="20" t="inlineStr">
        <is>
          <t>NES Secondary</t>
        </is>
      </c>
      <c r="C124" s="20" t="inlineStr">
        <is>
          <t>UNIT 2</t>
        </is>
      </c>
      <c r="D124" s="20" t="inlineStr"/>
      <c r="E124" s="20" t="inlineStr"/>
      <c r="F124" s="20" t="inlineStr"/>
    </row>
    <row r="125">
      <c r="A125" s="20" t="inlineStr">
        <is>
          <t>Revere MS</t>
        </is>
      </c>
      <c r="B125" s="20" t="inlineStr">
        <is>
          <t>NES Secondary</t>
        </is>
      </c>
      <c r="C125" s="20" t="inlineStr">
        <is>
          <t>UNIT 2</t>
        </is>
      </c>
      <c r="D125" s="20" t="inlineStr"/>
      <c r="E125" s="20" t="inlineStr"/>
      <c r="F125" s="20" t="inlineStr"/>
    </row>
    <row r="126">
      <c r="A126" s="20" t="inlineStr">
        <is>
          <t>Welch MS</t>
        </is>
      </c>
      <c r="B126" s="20" t="inlineStr">
        <is>
          <t>NES Secondary</t>
        </is>
      </c>
      <c r="C126" s="20" t="inlineStr">
        <is>
          <t>UNIT 2</t>
        </is>
      </c>
      <c r="D126" s="20" t="inlineStr"/>
      <c r="E126" s="20" t="inlineStr"/>
      <c r="F126" s="20" t="inlineStr"/>
    </row>
    <row r="127">
      <c r="A127" s="20" t="inlineStr">
        <is>
          <t>Ortiz MS</t>
        </is>
      </c>
      <c r="B127" s="20" t="inlineStr">
        <is>
          <t>NES Secondary</t>
        </is>
      </c>
      <c r="C127" s="20" t="inlineStr">
        <is>
          <t>UNIT 2</t>
        </is>
      </c>
      <c r="D127" s="20" t="inlineStr"/>
      <c r="E127" s="20" t="inlineStr"/>
      <c r="F127" s="20" t="inlineStr"/>
    </row>
    <row r="128">
      <c r="A128" s="20" t="inlineStr">
        <is>
          <t>Navarro MS</t>
        </is>
      </c>
      <c r="B128" s="20" t="inlineStr">
        <is>
          <t>NES Secondary</t>
        </is>
      </c>
      <c r="C128" s="20" t="inlineStr">
        <is>
          <t>UNIT 2</t>
        </is>
      </c>
      <c r="D128" s="20" t="inlineStr"/>
      <c r="E128" s="20" t="inlineStr"/>
      <c r="F128" s="20" t="inlineStr"/>
    </row>
    <row r="129">
      <c r="A129" s="20" t="inlineStr">
        <is>
          <t>Thomas MS</t>
        </is>
      </c>
      <c r="B129" s="20" t="inlineStr">
        <is>
          <t>NES Secondary</t>
        </is>
      </c>
      <c r="C129" s="20" t="inlineStr">
        <is>
          <t>UNIT 2</t>
        </is>
      </c>
      <c r="D129" s="20" t="inlineStr"/>
      <c r="E129" s="20" t="inlineStr"/>
      <c r="F129" s="20" t="inlineStr"/>
    </row>
    <row r="130">
      <c r="A130" s="20" t="inlineStr">
        <is>
          <t>Westbury HS</t>
        </is>
      </c>
      <c r="B130" s="20" t="inlineStr">
        <is>
          <t>NES Secondary</t>
        </is>
      </c>
      <c r="C130" s="20" t="inlineStr">
        <is>
          <t>UNIT 2</t>
        </is>
      </c>
      <c r="D130" s="20" t="inlineStr"/>
      <c r="E130" s="20" t="inlineStr"/>
      <c r="F130" s="20" t="inlineStr"/>
    </row>
    <row r="131">
      <c r="A131" s="20" t="inlineStr">
        <is>
          <t>Sterling HS</t>
        </is>
      </c>
      <c r="B131" s="20" t="inlineStr">
        <is>
          <t>NES Secondary</t>
        </is>
      </c>
      <c r="C131" s="20" t="inlineStr">
        <is>
          <t>UNIT 2</t>
        </is>
      </c>
      <c r="D131" s="20" t="inlineStr"/>
      <c r="E131" s="20" t="inlineStr"/>
      <c r="F131" s="20" t="inlineStr"/>
    </row>
    <row r="132">
      <c r="A132" s="20" t="inlineStr">
        <is>
          <t>Yates HS</t>
        </is>
      </c>
      <c r="B132" s="20" t="inlineStr">
        <is>
          <t>NES Secondary</t>
        </is>
      </c>
      <c r="C132" s="20" t="inlineStr">
        <is>
          <t>UNIT 2</t>
        </is>
      </c>
      <c r="D132" s="20" t="inlineStr"/>
      <c r="E132" s="20" t="inlineStr"/>
      <c r="F132" s="20" t="inlineStr"/>
    </row>
    <row r="133">
      <c r="A133" s="20" t="inlineStr">
        <is>
          <t>Wisdom HS</t>
        </is>
      </c>
      <c r="B133" s="20" t="inlineStr">
        <is>
          <t>NES Secondary</t>
        </is>
      </c>
      <c r="C133" s="20" t="inlineStr">
        <is>
          <t>UNIT 2</t>
        </is>
      </c>
      <c r="D133" s="20" t="inlineStr"/>
      <c r="E133" s="20" t="inlineStr"/>
      <c r="F133" s="20" t="inlineStr"/>
    </row>
    <row r="134">
      <c r="A134" s="20" t="inlineStr">
        <is>
          <t>Wheatley HS</t>
        </is>
      </c>
      <c r="B134" s="20" t="inlineStr">
        <is>
          <t>NES Secondary</t>
        </is>
      </c>
      <c r="C134" s="20" t="inlineStr">
        <is>
          <t>UNIT 2</t>
        </is>
      </c>
      <c r="D134" s="20" t="inlineStr"/>
      <c r="E134" s="20" t="inlineStr"/>
      <c r="F134" s="20" t="inlineStr"/>
    </row>
    <row r="135">
      <c r="A135" s="20" t="inlineStr">
        <is>
          <t>Worthing HS</t>
        </is>
      </c>
      <c r="B135" s="20" t="inlineStr">
        <is>
          <t>NES Secondary</t>
        </is>
      </c>
      <c r="C135" s="20" t="inlineStr">
        <is>
          <t>UNIT 2</t>
        </is>
      </c>
      <c r="D135" s="20" t="inlineStr"/>
      <c r="E135" s="20" t="inlineStr"/>
      <c r="F135" s="20" t="inlineStr"/>
    </row>
    <row r="136">
      <c r="A136" s="20" t="inlineStr">
        <is>
          <t>Fondern ES</t>
        </is>
      </c>
      <c r="B136" s="20" t="inlineStr">
        <is>
          <t>EAS Elementary</t>
        </is>
      </c>
      <c r="C136" s="20" t="inlineStr">
        <is>
          <t>UNIT 1</t>
        </is>
      </c>
      <c r="D136" s="20" t="inlineStr"/>
      <c r="E136" s="20" t="inlineStr"/>
      <c r="F136" s="20" t="inlineStr"/>
    </row>
    <row r="137">
      <c r="A137" s="20" t="inlineStr">
        <is>
          <t>Bellfort ECC</t>
        </is>
      </c>
      <c r="B137" s="20" t="inlineStr">
        <is>
          <t>EAS Elementary</t>
        </is>
      </c>
      <c r="C137" s="20" t="inlineStr">
        <is>
          <t>UNIT 1</t>
        </is>
      </c>
      <c r="D137" s="20" t="inlineStr"/>
      <c r="E137" s="20" t="inlineStr"/>
      <c r="F137" s="20" t="inlineStr"/>
    </row>
    <row r="138">
      <c r="A138" s="20" t="inlineStr">
        <is>
          <t>Arabic Immersion</t>
        </is>
      </c>
      <c r="B138" s="20" t="inlineStr">
        <is>
          <t>EAS Elementary</t>
        </is>
      </c>
      <c r="C138" s="20" t="inlineStr">
        <is>
          <t>UNIT 1</t>
        </is>
      </c>
      <c r="D138" s="20" t="inlineStr"/>
      <c r="E138" s="20" t="inlineStr"/>
      <c r="F138" s="20" t="inlineStr"/>
    </row>
    <row r="139">
      <c r="A139" s="20" t="inlineStr">
        <is>
          <t>Hines-Caldwell ES</t>
        </is>
      </c>
      <c r="B139" s="20" t="inlineStr">
        <is>
          <t>EAS Elementary</t>
        </is>
      </c>
      <c r="C139" s="20" t="inlineStr">
        <is>
          <t>UNIT 1</t>
        </is>
      </c>
      <c r="D139" s="20" t="inlineStr"/>
      <c r="E139" s="20" t="inlineStr"/>
      <c r="F139" s="20" t="inlineStr"/>
    </row>
    <row r="140">
      <c r="A140" s="20" t="inlineStr">
        <is>
          <t>Farias ECC</t>
        </is>
      </c>
      <c r="B140" s="20" t="inlineStr">
        <is>
          <t>EAS Elementary</t>
        </is>
      </c>
      <c r="C140" s="20" t="inlineStr">
        <is>
          <t>UNIT 1</t>
        </is>
      </c>
      <c r="D140" s="20" t="inlineStr"/>
      <c r="E140" s="20" t="inlineStr"/>
      <c r="F140" s="20" t="inlineStr"/>
    </row>
    <row r="141">
      <c r="A141" s="20" t="inlineStr">
        <is>
          <t>Baker Montessori</t>
        </is>
      </c>
      <c r="B141" s="20" t="inlineStr">
        <is>
          <t>EAS Elementary</t>
        </is>
      </c>
      <c r="C141" s="20" t="inlineStr">
        <is>
          <t>UNIT 1</t>
        </is>
      </c>
      <c r="D141" s="20" t="inlineStr"/>
      <c r="E141" s="20" t="inlineStr"/>
      <c r="F141" s="20" t="inlineStr"/>
    </row>
    <row r="142">
      <c r="A142" s="20" t="inlineStr">
        <is>
          <t>JP Henderson ES</t>
        </is>
      </c>
      <c r="B142" s="20" t="inlineStr">
        <is>
          <t>EAS Elementary</t>
        </is>
      </c>
      <c r="C142" s="20" t="inlineStr">
        <is>
          <t>UNIT 1</t>
        </is>
      </c>
      <c r="D142" s="20" t="inlineStr">
        <is>
          <t>Henderson JP ES</t>
        </is>
      </c>
      <c r="E142" s="20" t="inlineStr"/>
      <c r="F142" s="20" t="inlineStr"/>
    </row>
    <row r="143">
      <c r="A143" s="20" t="inlineStr">
        <is>
          <t>Fonwood ECC</t>
        </is>
      </c>
      <c r="B143" s="20" t="inlineStr">
        <is>
          <t>EAS Elementary</t>
        </is>
      </c>
      <c r="C143" s="20" t="inlineStr">
        <is>
          <t>UNIT 1</t>
        </is>
      </c>
      <c r="D143" s="20" t="inlineStr"/>
      <c r="E143" s="20" t="inlineStr"/>
      <c r="F143" s="20" t="inlineStr"/>
    </row>
    <row r="144">
      <c r="A144" s="20" t="inlineStr">
        <is>
          <t>Briarmeadow</t>
        </is>
      </c>
      <c r="B144" s="20" t="inlineStr">
        <is>
          <t>EAS Elementary</t>
        </is>
      </c>
      <c r="C144" s="20" t="inlineStr">
        <is>
          <t>UNIT 1</t>
        </is>
      </c>
      <c r="D144" s="20" t="inlineStr"/>
      <c r="E144" s="20" t="inlineStr"/>
      <c r="F144" s="20" t="inlineStr"/>
    </row>
    <row r="145">
      <c r="A145" s="20" t="inlineStr">
        <is>
          <t>Lantrip ES</t>
        </is>
      </c>
      <c r="B145" s="20" t="inlineStr">
        <is>
          <t>EAS Elementary</t>
        </is>
      </c>
      <c r="C145" s="20" t="inlineStr">
        <is>
          <t>UNIT 1</t>
        </is>
      </c>
      <c r="D145" s="20" t="inlineStr"/>
      <c r="E145" s="20" t="inlineStr"/>
      <c r="F145" s="20" t="inlineStr"/>
    </row>
    <row r="146">
      <c r="A146" s="20" t="inlineStr">
        <is>
          <t>Halpin ECC</t>
        </is>
      </c>
      <c r="B146" s="20" t="inlineStr">
        <is>
          <t>EAS Elementary</t>
        </is>
      </c>
      <c r="C146" s="20" t="inlineStr">
        <is>
          <t>UNIT 1</t>
        </is>
      </c>
      <c r="D146" s="20" t="inlineStr"/>
      <c r="E146" s="20" t="inlineStr"/>
      <c r="F146" s="20" t="inlineStr"/>
    </row>
    <row r="147">
      <c r="A147" s="20" t="inlineStr">
        <is>
          <t>Garden Oaks K - 8</t>
        </is>
      </c>
      <c r="B147" s="20" t="inlineStr">
        <is>
          <t>EAS Elementary</t>
        </is>
      </c>
      <c r="C147" s="20" t="inlineStr">
        <is>
          <t>UNIT 1</t>
        </is>
      </c>
      <c r="D147" s="20" t="inlineStr">
        <is>
          <t>Garden Oaks</t>
        </is>
      </c>
      <c r="E147" s="20" t="inlineStr"/>
      <c r="F147" s="20" t="inlineStr"/>
    </row>
    <row r="148">
      <c r="A148" s="20" t="inlineStr">
        <is>
          <t>Red ES</t>
        </is>
      </c>
      <c r="B148" s="20" t="inlineStr">
        <is>
          <t>EAS Elementary</t>
        </is>
      </c>
      <c r="C148" s="20" t="inlineStr">
        <is>
          <t>UNIT 1</t>
        </is>
      </c>
      <c r="D148" s="20" t="inlineStr"/>
      <c r="E148" s="20" t="inlineStr"/>
      <c r="F148" s="20" t="inlineStr"/>
    </row>
    <row r="149">
      <c r="A149" s="20" t="inlineStr">
        <is>
          <t>Laurenzo ECC</t>
        </is>
      </c>
      <c r="B149" s="20" t="inlineStr">
        <is>
          <t>EAS Elementary</t>
        </is>
      </c>
      <c r="C149" s="20" t="inlineStr">
        <is>
          <t>UNIT 1</t>
        </is>
      </c>
      <c r="D149" s="20" t="inlineStr"/>
      <c r="E149" s="20" t="inlineStr"/>
      <c r="F149" s="20" t="inlineStr"/>
    </row>
    <row r="150">
      <c r="A150" s="20" t="inlineStr">
        <is>
          <t>Mandarin Immersion</t>
        </is>
      </c>
      <c r="B150" s="20" t="inlineStr">
        <is>
          <t>EAS Elementary</t>
        </is>
      </c>
      <c r="C150" s="20" t="inlineStr">
        <is>
          <t>UNIT 1</t>
        </is>
      </c>
      <c r="D150" s="20" t="inlineStr">
        <is>
          <t>Mandarin Immersion Magnet</t>
        </is>
      </c>
      <c r="E150" s="20" t="inlineStr"/>
      <c r="F150" s="20" t="inlineStr"/>
    </row>
    <row r="151">
      <c r="A151" s="20" t="inlineStr">
        <is>
          <t>Sherman ES</t>
        </is>
      </c>
      <c r="B151" s="20" t="inlineStr">
        <is>
          <t>EAS Elementary</t>
        </is>
      </c>
      <c r="C151" s="20" t="inlineStr">
        <is>
          <t>UNIT 1</t>
        </is>
      </c>
      <c r="D151" s="20" t="inlineStr"/>
      <c r="E151" s="20" t="inlineStr"/>
      <c r="F151" s="20" t="inlineStr"/>
    </row>
    <row r="152">
      <c r="A152" s="20" t="inlineStr">
        <is>
          <t>Mistral ECC</t>
        </is>
      </c>
      <c r="B152" s="20" t="inlineStr">
        <is>
          <t>EAS Elementary</t>
        </is>
      </c>
      <c r="C152" s="20" t="inlineStr">
        <is>
          <t>UNIT 1</t>
        </is>
      </c>
      <c r="D152" s="20" t="inlineStr"/>
      <c r="E152" s="20" t="inlineStr"/>
      <c r="F152" s="20" t="inlineStr"/>
    </row>
    <row r="153">
      <c r="A153" s="20" t="inlineStr">
        <is>
          <t>Pilgrim Acad</t>
        </is>
      </c>
      <c r="B153" s="20" t="inlineStr">
        <is>
          <t>EAS Elementary</t>
        </is>
      </c>
      <c r="C153" s="20" t="inlineStr">
        <is>
          <t>UNIT 1</t>
        </is>
      </c>
      <c r="D153" s="20" t="inlineStr"/>
      <c r="E153" s="20" t="inlineStr"/>
      <c r="F153" s="20" t="inlineStr"/>
    </row>
    <row r="154">
      <c r="A154" s="20" t="inlineStr">
        <is>
          <t>Tijerina ES</t>
        </is>
      </c>
      <c r="B154" s="20" t="inlineStr">
        <is>
          <t>EAS Elementary</t>
        </is>
      </c>
      <c r="C154" s="20" t="inlineStr">
        <is>
          <t>UNIT 1</t>
        </is>
      </c>
      <c r="D154" s="20" t="inlineStr"/>
      <c r="E154" s="20" t="inlineStr">
        <is>
          <t>Yes</t>
        </is>
      </c>
      <c r="F154" s="20" t="inlineStr">
        <is>
          <t>Inactive</t>
        </is>
      </c>
    </row>
    <row r="155">
      <c r="A155" s="20" t="inlineStr">
        <is>
          <t>MLK ECC</t>
        </is>
      </c>
      <c r="B155" s="20" t="inlineStr">
        <is>
          <t>EAS Elementary</t>
        </is>
      </c>
      <c r="C155" s="20" t="inlineStr">
        <is>
          <t>UNIT 1</t>
        </is>
      </c>
      <c r="D155" s="20" t="inlineStr"/>
      <c r="E155" s="20" t="inlineStr"/>
      <c r="F155" s="20" t="inlineStr"/>
    </row>
    <row r="156">
      <c r="A156" s="20" t="inlineStr">
        <is>
          <t>Rice School</t>
        </is>
      </c>
      <c r="B156" s="20" t="inlineStr">
        <is>
          <t>EAS Elementary</t>
        </is>
      </c>
      <c r="C156" s="20" t="inlineStr">
        <is>
          <t>UNIT 1</t>
        </is>
      </c>
      <c r="D156" s="20" t="inlineStr">
        <is>
          <t>Rice School PK-8</t>
        </is>
      </c>
      <c r="E156" s="20" t="inlineStr"/>
      <c r="F156" s="20" t="inlineStr"/>
    </row>
    <row r="157">
      <c r="A157" s="20" t="inlineStr">
        <is>
          <t>Windsor Village ES</t>
        </is>
      </c>
      <c r="B157" s="20" t="inlineStr">
        <is>
          <t>EAS Elementary</t>
        </is>
      </c>
      <c r="C157" s="20" t="inlineStr">
        <is>
          <t>UNIT 1</t>
        </is>
      </c>
      <c r="D157" s="20" t="inlineStr"/>
      <c r="E157" s="20" t="inlineStr"/>
      <c r="F157" s="20" t="inlineStr"/>
    </row>
    <row r="158">
      <c r="A158" s="20" t="inlineStr">
        <is>
          <t>Neff ECC</t>
        </is>
      </c>
      <c r="B158" s="20" t="inlineStr">
        <is>
          <t>EAS Elementary</t>
        </is>
      </c>
      <c r="C158" s="20" t="inlineStr">
        <is>
          <t>UNIT 1</t>
        </is>
      </c>
      <c r="D158" s="20" t="inlineStr"/>
      <c r="E158" s="20" t="inlineStr"/>
      <c r="F158" s="20" t="inlineStr"/>
    </row>
    <row r="159">
      <c r="A159" s="20" t="inlineStr">
        <is>
          <t>Wharton</t>
        </is>
      </c>
      <c r="B159" s="20" t="inlineStr">
        <is>
          <t>EAS Elementary</t>
        </is>
      </c>
      <c r="C159" s="20" t="inlineStr">
        <is>
          <t>UNIT 1</t>
        </is>
      </c>
      <c r="D159" s="20" t="inlineStr">
        <is>
          <t>Wharton K-8</t>
        </is>
      </c>
      <c r="E159" s="20" t="inlineStr"/>
      <c r="F159" s="20" t="inlineStr"/>
    </row>
    <row r="160">
      <c r="A160" s="20" t="inlineStr">
        <is>
          <t>Braeburn ES</t>
        </is>
      </c>
      <c r="B160" s="20" t="inlineStr">
        <is>
          <t>EAS Elementary</t>
        </is>
      </c>
      <c r="C160" s="20" t="inlineStr">
        <is>
          <t>UNIT 2</t>
        </is>
      </c>
      <c r="D160" s="20" t="inlineStr"/>
      <c r="E160" s="20" t="inlineStr"/>
      <c r="F160" s="20" t="inlineStr"/>
    </row>
    <row r="161">
      <c r="A161" s="20" t="inlineStr">
        <is>
          <t>Bush ES</t>
        </is>
      </c>
      <c r="B161" s="20" t="inlineStr">
        <is>
          <t>EAS Elementary</t>
        </is>
      </c>
      <c r="C161" s="20" t="inlineStr">
        <is>
          <t>UNIT 2</t>
        </is>
      </c>
      <c r="D161" s="20" t="inlineStr"/>
      <c r="E161" s="20" t="inlineStr"/>
      <c r="F161" s="20" t="inlineStr"/>
    </row>
    <row r="162">
      <c r="A162" s="20" t="inlineStr">
        <is>
          <t>Crespo ES</t>
        </is>
      </c>
      <c r="B162" s="20" t="inlineStr">
        <is>
          <t>EAS Elementary</t>
        </is>
      </c>
      <c r="C162" s="20" t="inlineStr">
        <is>
          <t>UNIT 2</t>
        </is>
      </c>
      <c r="D162" s="20" t="inlineStr"/>
      <c r="E162" s="20" t="inlineStr"/>
      <c r="F162" s="20" t="inlineStr"/>
    </row>
    <row r="163">
      <c r="A163" s="20" t="inlineStr">
        <is>
          <t>MacGregor ES</t>
        </is>
      </c>
      <c r="B163" s="20" t="inlineStr">
        <is>
          <t>EAS Elementary</t>
        </is>
      </c>
      <c r="C163" s="20" t="inlineStr">
        <is>
          <t>UNIT 2</t>
        </is>
      </c>
      <c r="D163" s="20" t="inlineStr"/>
      <c r="E163" s="20" t="inlineStr"/>
      <c r="F163" s="20" t="inlineStr"/>
    </row>
    <row r="164">
      <c r="A164" s="20" t="inlineStr">
        <is>
          <t>Cunningham ES</t>
        </is>
      </c>
      <c r="B164" s="20" t="inlineStr">
        <is>
          <t>EAS Elementary</t>
        </is>
      </c>
      <c r="C164" s="20" t="inlineStr">
        <is>
          <t>UNIT 2</t>
        </is>
      </c>
      <c r="D164" s="20" t="inlineStr"/>
      <c r="E164" s="20" t="inlineStr"/>
      <c r="F164" s="20" t="inlineStr"/>
    </row>
    <row r="165">
      <c r="A165" s="20" t="inlineStr">
        <is>
          <t>Emerson ES</t>
        </is>
      </c>
      <c r="B165" s="20" t="inlineStr">
        <is>
          <t>EAS Elementary</t>
        </is>
      </c>
      <c r="C165" s="20" t="inlineStr">
        <is>
          <t>UNIT 2</t>
        </is>
      </c>
      <c r="D165" s="20" t="inlineStr"/>
      <c r="E165" s="20" t="inlineStr"/>
      <c r="F165" s="20" t="inlineStr"/>
    </row>
    <row r="166">
      <c r="A166" s="20" t="inlineStr">
        <is>
          <t>Cornelius ES</t>
        </is>
      </c>
      <c r="B166" s="20" t="inlineStr">
        <is>
          <t>EAS Elementary</t>
        </is>
      </c>
      <c r="C166" s="20" t="inlineStr">
        <is>
          <t>UNIT 2</t>
        </is>
      </c>
      <c r="D166" s="20" t="inlineStr"/>
      <c r="E166" s="20" t="inlineStr"/>
      <c r="F166" s="20" t="inlineStr"/>
    </row>
    <row r="167">
      <c r="A167" s="20" t="inlineStr">
        <is>
          <t>Oak Forest ES</t>
        </is>
      </c>
      <c r="B167" s="20" t="inlineStr">
        <is>
          <t>EAS Elementary</t>
        </is>
      </c>
      <c r="C167" s="20" t="inlineStr">
        <is>
          <t>UNIT 2</t>
        </is>
      </c>
      <c r="D167" s="20" t="inlineStr"/>
      <c r="E167" s="20" t="inlineStr">
        <is>
          <t>Yes</t>
        </is>
      </c>
      <c r="F167" s="20" t="inlineStr">
        <is>
          <t>Good Standing</t>
        </is>
      </c>
    </row>
    <row r="168">
      <c r="A168" s="20" t="inlineStr">
        <is>
          <t>Elrod ES</t>
        </is>
      </c>
      <c r="B168" s="20" t="inlineStr">
        <is>
          <t>EAS Elementary</t>
        </is>
      </c>
      <c r="C168" s="20" t="inlineStr">
        <is>
          <t>UNIT 2</t>
        </is>
      </c>
      <c r="D168" s="20" t="inlineStr"/>
      <c r="E168" s="20" t="inlineStr"/>
      <c r="F168" s="20" t="inlineStr"/>
    </row>
    <row r="169">
      <c r="A169" s="20" t="inlineStr">
        <is>
          <t>Kolter ES</t>
        </is>
      </c>
      <c r="B169" s="20" t="inlineStr">
        <is>
          <t>EAS Elementary</t>
        </is>
      </c>
      <c r="C169" s="20" t="inlineStr">
        <is>
          <t>UNIT 2</t>
        </is>
      </c>
      <c r="D169" s="20" t="inlineStr"/>
      <c r="E169" s="20" t="inlineStr"/>
      <c r="F169" s="20" t="inlineStr"/>
    </row>
    <row r="170">
      <c r="A170" s="20" t="inlineStr">
        <is>
          <t>Davila ES</t>
        </is>
      </c>
      <c r="B170" s="20" t="inlineStr">
        <is>
          <t>EAS Elementary</t>
        </is>
      </c>
      <c r="C170" s="20" t="inlineStr">
        <is>
          <t>UNIT 2</t>
        </is>
      </c>
      <c r="D170" s="20" t="inlineStr"/>
      <c r="E170" s="20" t="inlineStr"/>
      <c r="F170" s="20" t="inlineStr"/>
    </row>
    <row r="171">
      <c r="A171" s="20" t="inlineStr">
        <is>
          <t>Roosevelt ES</t>
        </is>
      </c>
      <c r="B171" s="20" t="inlineStr">
        <is>
          <t>EAS Elementary</t>
        </is>
      </c>
      <c r="C171" s="20" t="inlineStr">
        <is>
          <t>UNIT 2</t>
        </is>
      </c>
      <c r="D171" s="20" t="inlineStr"/>
      <c r="E171" s="20" t="inlineStr"/>
      <c r="F171" s="20" t="inlineStr"/>
    </row>
    <row r="172">
      <c r="A172" s="20" t="inlineStr">
        <is>
          <t>Herod ES</t>
        </is>
      </c>
      <c r="B172" s="20" t="inlineStr">
        <is>
          <t>EAS Elementary</t>
        </is>
      </c>
      <c r="C172" s="20" t="inlineStr">
        <is>
          <t>UNIT 2</t>
        </is>
      </c>
      <c r="D172" s="20" t="inlineStr"/>
      <c r="E172" s="20" t="inlineStr"/>
      <c r="F172" s="20" t="inlineStr"/>
    </row>
    <row r="173">
      <c r="A173" s="20" t="inlineStr">
        <is>
          <t>McNamara ES</t>
        </is>
      </c>
      <c r="B173" s="20" t="inlineStr">
        <is>
          <t>EAS Elementary</t>
        </is>
      </c>
      <c r="C173" s="20" t="inlineStr">
        <is>
          <t>UNIT 2</t>
        </is>
      </c>
      <c r="D173" s="20" t="inlineStr"/>
      <c r="E173" s="20" t="inlineStr"/>
      <c r="F173" s="20" t="inlineStr"/>
    </row>
    <row r="174">
      <c r="A174" s="20" t="inlineStr">
        <is>
          <t>DeAnda ES</t>
        </is>
      </c>
      <c r="B174" s="20" t="inlineStr">
        <is>
          <t>EAS Elementary</t>
        </is>
      </c>
      <c r="C174" s="20" t="inlineStr">
        <is>
          <t>UNIT 2</t>
        </is>
      </c>
      <c r="D174" s="20" t="inlineStr"/>
      <c r="E174" s="20" t="inlineStr"/>
      <c r="F174" s="20" t="inlineStr"/>
    </row>
    <row r="175">
      <c r="A175" s="20" t="inlineStr">
        <is>
          <t>Sinclair ES</t>
        </is>
      </c>
      <c r="B175" s="20" t="inlineStr">
        <is>
          <t>EAS Elementary</t>
        </is>
      </c>
      <c r="C175" s="20" t="inlineStr">
        <is>
          <t>UNIT 2</t>
        </is>
      </c>
      <c r="D175" s="20" t="inlineStr"/>
      <c r="E175" s="20" t="inlineStr"/>
      <c r="F175" s="20" t="inlineStr"/>
    </row>
    <row r="176">
      <c r="A176" s="20" t="inlineStr">
        <is>
          <t>Parker ES</t>
        </is>
      </c>
      <c r="B176" s="20" t="inlineStr">
        <is>
          <t>EAS Elementary</t>
        </is>
      </c>
      <c r="C176" s="20" t="inlineStr">
        <is>
          <t>UNIT 2</t>
        </is>
      </c>
      <c r="D176" s="20" t="inlineStr"/>
      <c r="E176" s="20" t="inlineStr"/>
      <c r="F176" s="20" t="inlineStr"/>
    </row>
    <row r="177">
      <c r="A177" s="20" t="inlineStr">
        <is>
          <t>Piney Point ES</t>
        </is>
      </c>
      <c r="B177" s="20" t="inlineStr">
        <is>
          <t>EAS Elementary</t>
        </is>
      </c>
      <c r="C177" s="20" t="inlineStr">
        <is>
          <t>UNIT 2</t>
        </is>
      </c>
      <c r="D177" s="20" t="inlineStr"/>
      <c r="E177" s="20" t="inlineStr"/>
      <c r="F177" s="20" t="inlineStr"/>
    </row>
    <row r="178">
      <c r="A178" s="20" t="inlineStr">
        <is>
          <t>Garden Villas ES</t>
        </is>
      </c>
      <c r="B178" s="20" t="inlineStr">
        <is>
          <t>EAS Elementary</t>
        </is>
      </c>
      <c r="C178" s="20" t="inlineStr">
        <is>
          <t>UNIT 2</t>
        </is>
      </c>
      <c r="D178" s="20" t="inlineStr"/>
      <c r="E178" s="20" t="inlineStr"/>
      <c r="F178" s="20" t="inlineStr"/>
    </row>
    <row r="179">
      <c r="A179" s="20" t="inlineStr">
        <is>
          <t>TH Rogers</t>
        </is>
      </c>
      <c r="B179" s="20" t="inlineStr">
        <is>
          <t>EAS Elementary</t>
        </is>
      </c>
      <c r="C179" s="20" t="inlineStr">
        <is>
          <t>UNIT 2</t>
        </is>
      </c>
      <c r="D179" s="20" t="inlineStr">
        <is>
          <t>Rogers T H</t>
        </is>
      </c>
      <c r="E179" s="20" t="inlineStr"/>
      <c r="F179" s="20" t="inlineStr"/>
    </row>
    <row r="180">
      <c r="A180" s="20" t="inlineStr">
        <is>
          <t>Rodriguez ES</t>
        </is>
      </c>
      <c r="B180" s="20" t="inlineStr">
        <is>
          <t>EAS Elementary</t>
        </is>
      </c>
      <c r="C180" s="20" t="inlineStr">
        <is>
          <t>UNIT 2</t>
        </is>
      </c>
      <c r="D180" s="20" t="inlineStr"/>
      <c r="E180" s="20" t="inlineStr"/>
      <c r="F180" s="20" t="inlineStr"/>
    </row>
    <row r="181">
      <c r="A181" s="20" t="inlineStr">
        <is>
          <t>Sutton ES</t>
        </is>
      </c>
      <c r="B181" s="20" t="inlineStr">
        <is>
          <t>EAS Elementary</t>
        </is>
      </c>
      <c r="C181" s="20" t="inlineStr">
        <is>
          <t>UNIT 2</t>
        </is>
      </c>
      <c r="D181" s="20" t="inlineStr"/>
      <c r="E181" s="20" t="inlineStr"/>
      <c r="F181" s="20" t="inlineStr"/>
    </row>
    <row r="182">
      <c r="A182" s="20" t="inlineStr">
        <is>
          <t>Patterson ES</t>
        </is>
      </c>
      <c r="B182" s="20" t="inlineStr">
        <is>
          <t>EAS Elementary</t>
        </is>
      </c>
      <c r="C182" s="20" t="inlineStr">
        <is>
          <t>UNIT 2</t>
        </is>
      </c>
      <c r="D182" s="20" t="inlineStr"/>
      <c r="E182" s="20" t="inlineStr"/>
      <c r="F182" s="20" t="inlineStr"/>
    </row>
    <row r="183">
      <c r="A183" s="20" t="inlineStr">
        <is>
          <t>Travis ES</t>
        </is>
      </c>
      <c r="B183" s="20" t="inlineStr">
        <is>
          <t>EAS Elementary</t>
        </is>
      </c>
      <c r="C183" s="20" t="inlineStr">
        <is>
          <t>UNIT 2</t>
        </is>
      </c>
      <c r="D183" s="20" t="inlineStr"/>
      <c r="E183" s="20" t="inlineStr">
        <is>
          <t>Yes</t>
        </is>
      </c>
      <c r="F183" s="20" t="inlineStr">
        <is>
          <t>Good Standing</t>
        </is>
      </c>
    </row>
    <row r="184">
      <c r="A184" s="20" t="inlineStr">
        <is>
          <t>St. George ES</t>
        </is>
      </c>
      <c r="B184" s="20" t="inlineStr">
        <is>
          <t>EAS Elementary</t>
        </is>
      </c>
      <c r="C184" s="20" t="inlineStr">
        <is>
          <t>UNIT 2</t>
        </is>
      </c>
      <c r="D184" s="20" t="inlineStr">
        <is>
          <t>School at St. George ES</t>
        </is>
      </c>
      <c r="E184" s="20" t="inlineStr"/>
      <c r="F184" s="20" t="inlineStr"/>
    </row>
    <row r="185">
      <c r="A185" s="20" t="inlineStr">
        <is>
          <t>M. White ES</t>
        </is>
      </c>
      <c r="B185" s="20" t="inlineStr">
        <is>
          <t>EAS Elementary</t>
        </is>
      </c>
      <c r="C185" s="20" t="inlineStr">
        <is>
          <t>UNIT 2</t>
        </is>
      </c>
      <c r="D185" s="20" t="inlineStr">
        <is>
          <t>White M ES</t>
        </is>
      </c>
      <c r="E185" s="20" t="inlineStr"/>
      <c r="F185" s="20" t="inlineStr"/>
    </row>
    <row r="186">
      <c r="A186" s="20" t="inlineStr">
        <is>
          <t>Park Place ES</t>
        </is>
      </c>
      <c r="B186" s="20" t="inlineStr">
        <is>
          <t>EAS Elementary</t>
        </is>
      </c>
      <c r="C186" s="20" t="inlineStr">
        <is>
          <t>UNIT 2</t>
        </is>
      </c>
      <c r="D186" s="20" t="inlineStr"/>
      <c r="E186" s="20" t="inlineStr"/>
      <c r="F186" s="20" t="inlineStr"/>
    </row>
    <row r="187">
      <c r="A187" s="20" t="inlineStr">
        <is>
          <t>DeChaumes ES</t>
        </is>
      </c>
      <c r="B187" s="20" t="inlineStr">
        <is>
          <t>EAS Elementary</t>
        </is>
      </c>
      <c r="C187" s="20" t="inlineStr">
        <is>
          <t>UNIT 3</t>
        </is>
      </c>
      <c r="D187" s="20" t="inlineStr">
        <is>
          <t>De Chaumes ES</t>
        </is>
      </c>
      <c r="E187" s="20" t="inlineStr"/>
      <c r="F187" s="20" t="inlineStr"/>
    </row>
    <row r="188">
      <c r="A188" s="20" t="inlineStr">
        <is>
          <t>Memorial ES</t>
        </is>
      </c>
      <c r="B188" s="20" t="inlineStr">
        <is>
          <t>EAS Elementary</t>
        </is>
      </c>
      <c r="C188" s="20" t="inlineStr">
        <is>
          <t>UNIT 3</t>
        </is>
      </c>
      <c r="D188" s="20" t="inlineStr"/>
      <c r="E188" s="20" t="inlineStr"/>
      <c r="F188" s="20" t="inlineStr"/>
    </row>
    <row r="189">
      <c r="A189" s="20" t="inlineStr">
        <is>
          <t>Briargrove ES</t>
        </is>
      </c>
      <c r="B189" s="20" t="inlineStr">
        <is>
          <t>EAS Elementary</t>
        </is>
      </c>
      <c r="C189" s="20" t="inlineStr">
        <is>
          <t>UNIT 3</t>
        </is>
      </c>
      <c r="D189" s="20" t="inlineStr"/>
      <c r="E189" s="20" t="inlineStr"/>
      <c r="F189" s="20" t="inlineStr"/>
    </row>
    <row r="190">
      <c r="A190" s="20" t="inlineStr">
        <is>
          <t>Burbank ES</t>
        </is>
      </c>
      <c r="B190" s="20" t="inlineStr">
        <is>
          <t>EAS Elementary</t>
        </is>
      </c>
      <c r="C190" s="20" t="inlineStr">
        <is>
          <t>UNIT 3</t>
        </is>
      </c>
      <c r="D190" s="20" t="inlineStr"/>
      <c r="E190" s="20" t="inlineStr"/>
      <c r="F190" s="20" t="inlineStr"/>
    </row>
    <row r="191">
      <c r="A191" s="20" t="inlineStr">
        <is>
          <t>Durham ES</t>
        </is>
      </c>
      <c r="B191" s="20" t="inlineStr">
        <is>
          <t>EAS Elementary</t>
        </is>
      </c>
      <c r="C191" s="20" t="inlineStr">
        <is>
          <t>UNIT 3</t>
        </is>
      </c>
      <c r="D191" s="20" t="inlineStr"/>
      <c r="E191" s="20" t="inlineStr">
        <is>
          <t>Yes</t>
        </is>
      </c>
      <c r="F191" s="20" t="inlineStr">
        <is>
          <t>Inactive</t>
        </is>
      </c>
    </row>
    <row r="192">
      <c r="A192" s="20" t="inlineStr">
        <is>
          <t>Poe ES</t>
        </is>
      </c>
      <c r="B192" s="20" t="inlineStr">
        <is>
          <t>EAS Elementary</t>
        </is>
      </c>
      <c r="C192" s="20" t="inlineStr">
        <is>
          <t>UNIT 3</t>
        </is>
      </c>
      <c r="D192" s="20" t="inlineStr"/>
      <c r="E192" s="20" t="inlineStr"/>
      <c r="F192" s="20" t="inlineStr"/>
    </row>
    <row r="193">
      <c r="A193" s="20" t="inlineStr">
        <is>
          <t>Condit ES</t>
        </is>
      </c>
      <c r="B193" s="20" t="inlineStr">
        <is>
          <t>EAS Elementary</t>
        </is>
      </c>
      <c r="C193" s="20" t="inlineStr">
        <is>
          <t>UNIT 3</t>
        </is>
      </c>
      <c r="D193" s="20" t="inlineStr"/>
      <c r="E193" s="20" t="inlineStr"/>
      <c r="F193" s="20" t="inlineStr"/>
    </row>
    <row r="194">
      <c r="A194" s="20" t="inlineStr">
        <is>
          <t>Herrera ES</t>
        </is>
      </c>
      <c r="B194" s="20" t="inlineStr">
        <is>
          <t>EAS Elementary</t>
        </is>
      </c>
      <c r="C194" s="20" t="inlineStr">
        <is>
          <t>UNIT 3</t>
        </is>
      </c>
      <c r="D194" s="20" t="inlineStr"/>
      <c r="E194" s="20" t="inlineStr"/>
      <c r="F194" s="20" t="inlineStr"/>
    </row>
    <row r="195">
      <c r="A195" s="20" t="inlineStr">
        <is>
          <t>Field ES</t>
        </is>
      </c>
      <c r="B195" s="20" t="inlineStr">
        <is>
          <t>EAS Elementary</t>
        </is>
      </c>
      <c r="C195" s="20" t="inlineStr">
        <is>
          <t>UNIT 3</t>
        </is>
      </c>
      <c r="D195" s="20" t="inlineStr"/>
      <c r="E195" s="20" t="inlineStr"/>
      <c r="F195" s="20" t="inlineStr"/>
    </row>
    <row r="196">
      <c r="A196" s="20" t="inlineStr">
        <is>
          <t>River Oaks ES</t>
        </is>
      </c>
      <c r="B196" s="20" t="inlineStr">
        <is>
          <t>EAS Elementary</t>
        </is>
      </c>
      <c r="C196" s="20" t="inlineStr">
        <is>
          <t>UNIT 3</t>
        </is>
      </c>
      <c r="D196" s="20" t="inlineStr"/>
      <c r="E196" s="20" t="inlineStr"/>
      <c r="F196" s="20" t="inlineStr"/>
    </row>
    <row r="197">
      <c r="A197" s="20" t="inlineStr">
        <is>
          <t>Daily ES</t>
        </is>
      </c>
      <c r="B197" s="20" t="inlineStr">
        <is>
          <t>EAS Elementary</t>
        </is>
      </c>
      <c r="C197" s="20" t="inlineStr">
        <is>
          <t>UNIT 3</t>
        </is>
      </c>
      <c r="D197" s="20" t="inlineStr"/>
      <c r="E197" s="20" t="inlineStr"/>
      <c r="F197" s="20" t="inlineStr"/>
    </row>
    <row r="198">
      <c r="A198" s="20" t="inlineStr">
        <is>
          <t>Janowski ES</t>
        </is>
      </c>
      <c r="B198" s="20" t="inlineStr">
        <is>
          <t>EAS Elementary</t>
        </is>
      </c>
      <c r="C198" s="20" t="inlineStr">
        <is>
          <t>UNIT 3</t>
        </is>
      </c>
      <c r="D198" s="20" t="inlineStr"/>
      <c r="E198" s="20" t="inlineStr"/>
      <c r="F198" s="20" t="inlineStr"/>
    </row>
    <row r="199">
      <c r="A199" s="20" t="inlineStr">
        <is>
          <t>Harvard ES</t>
        </is>
      </c>
      <c r="B199" s="20" t="inlineStr">
        <is>
          <t>EAS Elementary</t>
        </is>
      </c>
      <c r="C199" s="20" t="inlineStr">
        <is>
          <t>UNIT 3</t>
        </is>
      </c>
      <c r="D199" s="20" t="inlineStr"/>
      <c r="E199" s="20" t="inlineStr">
        <is>
          <t>Yes</t>
        </is>
      </c>
      <c r="F199" s="20" t="inlineStr">
        <is>
          <t>Active</t>
        </is>
      </c>
    </row>
    <row r="200">
      <c r="A200" s="20" t="inlineStr">
        <is>
          <t>Roberts ES</t>
        </is>
      </c>
      <c r="B200" s="20" t="inlineStr">
        <is>
          <t>EAS Elementary</t>
        </is>
      </c>
      <c r="C200" s="20" t="inlineStr">
        <is>
          <t>UNIT 3</t>
        </is>
      </c>
      <c r="D200" s="20" t="inlineStr"/>
      <c r="E200" s="20" t="inlineStr"/>
      <c r="F200" s="20" t="inlineStr"/>
    </row>
    <row r="201">
      <c r="A201" s="20" t="inlineStr">
        <is>
          <t>Horn ES</t>
        </is>
      </c>
      <c r="B201" s="20" t="inlineStr">
        <is>
          <t>EAS Elementary</t>
        </is>
      </c>
      <c r="C201" s="20" t="inlineStr">
        <is>
          <t>UNIT 3</t>
        </is>
      </c>
      <c r="D201" s="20" t="inlineStr"/>
      <c r="E201" s="20" t="inlineStr"/>
      <c r="F201" s="20" t="inlineStr"/>
    </row>
    <row r="202">
      <c r="A202" s="20" t="inlineStr">
        <is>
          <t>Lyons ES</t>
        </is>
      </c>
      <c r="B202" s="20" t="inlineStr">
        <is>
          <t>EAS Elementary</t>
        </is>
      </c>
      <c r="C202" s="20" t="inlineStr">
        <is>
          <t>UNIT 3</t>
        </is>
      </c>
      <c r="D202" s="20" t="inlineStr"/>
      <c r="E202" s="20" t="inlineStr"/>
      <c r="F202" s="20" t="inlineStr"/>
    </row>
    <row r="203">
      <c r="A203" s="20" t="inlineStr">
        <is>
          <t>Helms ES</t>
        </is>
      </c>
      <c r="B203" s="20" t="inlineStr">
        <is>
          <t>EAS Elementary</t>
        </is>
      </c>
      <c r="C203" s="20" t="inlineStr">
        <is>
          <t>UNIT 3</t>
        </is>
      </c>
      <c r="D203" s="20" t="inlineStr"/>
      <c r="E203" s="20" t="inlineStr">
        <is>
          <t>Yes</t>
        </is>
      </c>
      <c r="F203" s="20" t="inlineStr">
        <is>
          <t>Inactive</t>
        </is>
      </c>
    </row>
    <row r="204">
      <c r="A204" s="20" t="inlineStr">
        <is>
          <t>Twain ES</t>
        </is>
      </c>
      <c r="B204" s="20" t="inlineStr">
        <is>
          <t>EAS Elementary</t>
        </is>
      </c>
      <c r="C204" s="20" t="inlineStr">
        <is>
          <t>UNIT 3</t>
        </is>
      </c>
      <c r="D204" s="20" t="inlineStr"/>
      <c r="E204" s="20" t="inlineStr"/>
      <c r="F204" s="20" t="inlineStr"/>
    </row>
    <row r="205">
      <c r="A205" s="20" t="inlineStr">
        <is>
          <t>Lovett ES</t>
        </is>
      </c>
      <c r="B205" s="20" t="inlineStr">
        <is>
          <t>EAS Elementary</t>
        </is>
      </c>
      <c r="C205" s="20" t="inlineStr">
        <is>
          <t>UNIT 3</t>
        </is>
      </c>
      <c r="D205" s="20" t="inlineStr"/>
      <c r="E205" s="20" t="inlineStr"/>
      <c r="F205" s="20" t="inlineStr"/>
    </row>
    <row r="206">
      <c r="A206" s="20" t="inlineStr">
        <is>
          <t>Moreno ES</t>
        </is>
      </c>
      <c r="B206" s="20" t="inlineStr">
        <is>
          <t>EAS Elementary</t>
        </is>
      </c>
      <c r="C206" s="20" t="inlineStr">
        <is>
          <t>UNIT 3</t>
        </is>
      </c>
      <c r="D206" s="20" t="inlineStr"/>
      <c r="E206" s="20" t="inlineStr"/>
      <c r="F206" s="20" t="inlineStr"/>
    </row>
    <row r="207">
      <c r="A207" s="20" t="inlineStr">
        <is>
          <t>Love ES</t>
        </is>
      </c>
      <c r="B207" s="20" t="inlineStr">
        <is>
          <t>EAS Elementary</t>
        </is>
      </c>
      <c r="C207" s="20" t="inlineStr">
        <is>
          <t>UNIT 3</t>
        </is>
      </c>
      <c r="D207" s="20" t="inlineStr"/>
      <c r="E207" s="20" t="inlineStr"/>
      <c r="F207" s="20" t="inlineStr"/>
    </row>
    <row r="208">
      <c r="A208" s="20" t="inlineStr">
        <is>
          <t>West University ES</t>
        </is>
      </c>
      <c r="B208" s="20" t="inlineStr">
        <is>
          <t>EAS Elementary</t>
        </is>
      </c>
      <c r="C208" s="20" t="inlineStr">
        <is>
          <t>UNIT 3</t>
        </is>
      </c>
      <c r="D208" s="20" t="inlineStr"/>
      <c r="E208" s="20" t="inlineStr"/>
      <c r="F208" s="20" t="inlineStr"/>
    </row>
    <row r="209">
      <c r="A209" s="20" t="inlineStr">
        <is>
          <t>Shadowbriar ES</t>
        </is>
      </c>
      <c r="B209" s="20" t="inlineStr">
        <is>
          <t>EAS Elementary</t>
        </is>
      </c>
      <c r="C209" s="20" t="inlineStr">
        <is>
          <t>UNIT 3</t>
        </is>
      </c>
      <c r="D209" s="20" t="inlineStr"/>
      <c r="E209" s="20" t="inlineStr"/>
      <c r="F209" s="20" t="inlineStr"/>
    </row>
    <row r="210">
      <c r="A210" s="20" t="inlineStr">
        <is>
          <t>Scarborough ES</t>
        </is>
      </c>
      <c r="B210" s="20" t="inlineStr">
        <is>
          <t>EAS Elementary</t>
        </is>
      </c>
      <c r="C210" s="20" t="inlineStr">
        <is>
          <t>UNIT 3</t>
        </is>
      </c>
      <c r="D210" s="20" t="inlineStr"/>
      <c r="E210" s="20" t="inlineStr"/>
      <c r="F210" s="20" t="inlineStr"/>
    </row>
    <row r="211">
      <c r="A211" s="20" t="inlineStr">
        <is>
          <t>Shearn ES</t>
        </is>
      </c>
      <c r="B211" s="20" t="inlineStr">
        <is>
          <t>EAS Elementary</t>
        </is>
      </c>
      <c r="C211" s="20" t="inlineStr">
        <is>
          <t>UNIT 3</t>
        </is>
      </c>
      <c r="D211" s="20" t="inlineStr"/>
      <c r="E211" s="20" t="inlineStr"/>
      <c r="F211" s="20" t="inlineStr"/>
    </row>
    <row r="212">
      <c r="A212" s="20" t="inlineStr">
        <is>
          <t>Bellaire HS</t>
        </is>
      </c>
      <c r="B212" s="20" t="inlineStr">
        <is>
          <t>EAS Secondary</t>
        </is>
      </c>
      <c r="C212" s="20" t="inlineStr">
        <is>
          <t>UNIT 1</t>
        </is>
      </c>
      <c r="D212" s="20" t="inlineStr"/>
      <c r="E212" s="20" t="inlineStr"/>
      <c r="F212" s="20" t="inlineStr"/>
    </row>
    <row r="213">
      <c r="A213" s="20" t="inlineStr">
        <is>
          <t>Black MS</t>
        </is>
      </c>
      <c r="B213" s="20" t="inlineStr">
        <is>
          <t>EAS Secondary</t>
        </is>
      </c>
      <c r="C213" s="20" t="inlineStr">
        <is>
          <t>UNIT 1</t>
        </is>
      </c>
      <c r="D213" s="20" t="inlineStr"/>
      <c r="E213" s="20" t="inlineStr"/>
      <c r="F213" s="20" t="inlineStr"/>
    </row>
    <row r="214">
      <c r="A214" s="20" t="inlineStr">
        <is>
          <t>Baylor @ Ryan MS</t>
        </is>
      </c>
      <c r="B214" s="20" t="inlineStr">
        <is>
          <t>EAS Secondary</t>
        </is>
      </c>
      <c r="C214" s="20" t="inlineStr">
        <is>
          <t>UNIT 1</t>
        </is>
      </c>
      <c r="D214" s="20" t="inlineStr">
        <is>
          <t>Baylor College MS</t>
        </is>
      </c>
      <c r="E214" s="20" t="inlineStr"/>
      <c r="F214" s="20" t="inlineStr"/>
    </row>
    <row r="215">
      <c r="A215" s="20" t="inlineStr">
        <is>
          <t>Meyerland MS</t>
        </is>
      </c>
      <c r="B215" s="20" t="inlineStr">
        <is>
          <t>EAS Secondary</t>
        </is>
      </c>
      <c r="C215" s="20" t="inlineStr">
        <is>
          <t>UNIT 1</t>
        </is>
      </c>
      <c r="D215" s="20" t="inlineStr"/>
      <c r="E215" s="20" t="inlineStr"/>
      <c r="F215" s="20" t="inlineStr"/>
    </row>
    <row r="216">
      <c r="A216" s="20" t="inlineStr">
        <is>
          <t>Lanier MS</t>
        </is>
      </c>
      <c r="B216" s="20" t="inlineStr">
        <is>
          <t>EAS Secondary</t>
        </is>
      </c>
      <c r="C216" s="20" t="inlineStr">
        <is>
          <t>UNIT 1</t>
        </is>
      </c>
      <c r="D216" s="20" t="inlineStr"/>
      <c r="E216" s="20" t="inlineStr"/>
      <c r="F216" s="20" t="inlineStr"/>
    </row>
    <row r="217">
      <c r="A217" s="20" t="inlineStr">
        <is>
          <t>Heights HS</t>
        </is>
      </c>
      <c r="B217" s="20" t="inlineStr">
        <is>
          <t>EAS Secondary</t>
        </is>
      </c>
      <c r="C217" s="20" t="inlineStr">
        <is>
          <t>UNIT 1</t>
        </is>
      </c>
      <c r="D217" s="20" t="inlineStr"/>
      <c r="E217" s="20" t="inlineStr"/>
      <c r="F217" s="20" t="inlineStr"/>
    </row>
    <row r="218">
      <c r="A218" s="20" t="inlineStr">
        <is>
          <t>Pin Oak MS</t>
        </is>
      </c>
      <c r="B218" s="20" t="inlineStr">
        <is>
          <t>EAS Secondary</t>
        </is>
      </c>
      <c r="C218" s="20" t="inlineStr">
        <is>
          <t>UNIT 1</t>
        </is>
      </c>
      <c r="D218" s="20" t="inlineStr"/>
      <c r="E218" s="20" t="inlineStr"/>
      <c r="F218" s="20" t="inlineStr"/>
    </row>
    <row r="219">
      <c r="A219" s="20" t="inlineStr">
        <is>
          <t>Pershing MS</t>
        </is>
      </c>
      <c r="B219" s="20" t="inlineStr">
        <is>
          <t>EAS Secondary</t>
        </is>
      </c>
      <c r="C219" s="20" t="inlineStr">
        <is>
          <t>UNIT 1</t>
        </is>
      </c>
      <c r="D219" s="20" t="inlineStr"/>
      <c r="E219" s="20" t="inlineStr"/>
      <c r="F219" s="20" t="inlineStr"/>
    </row>
    <row r="220">
      <c r="A220" s="20" t="inlineStr">
        <is>
          <t>Lamar HS</t>
        </is>
      </c>
      <c r="B220" s="20" t="inlineStr">
        <is>
          <t>EAS Secondary</t>
        </is>
      </c>
      <c r="C220" s="20" t="inlineStr">
        <is>
          <t>UNIT 1</t>
        </is>
      </c>
      <c r="D220" s="20" t="inlineStr"/>
      <c r="E220" s="20" t="inlineStr"/>
      <c r="F220" s="20" t="inlineStr"/>
    </row>
    <row r="221">
      <c r="A221" s="20" t="inlineStr">
        <is>
          <t>West Briar MS</t>
        </is>
      </c>
      <c r="B221" s="20" t="inlineStr">
        <is>
          <t>EAS Secondary</t>
        </is>
      </c>
      <c r="C221" s="20" t="inlineStr">
        <is>
          <t>UNIT 1</t>
        </is>
      </c>
      <c r="D221" s="20" t="inlineStr"/>
      <c r="E221" s="20" t="inlineStr"/>
      <c r="F221" s="20" t="inlineStr"/>
    </row>
    <row r="222">
      <c r="A222" s="20" t="inlineStr">
        <is>
          <t>Sharpstown Int</t>
        </is>
      </c>
      <c r="B222" s="20" t="inlineStr">
        <is>
          <t>EAS Secondary</t>
        </is>
      </c>
      <c r="C222" s="20" t="inlineStr">
        <is>
          <t>UNIT 1</t>
        </is>
      </c>
      <c r="D222" s="20" t="inlineStr"/>
      <c r="E222" s="20" t="inlineStr"/>
      <c r="F222" s="20" t="inlineStr"/>
    </row>
    <row r="223">
      <c r="A223" s="20" t="inlineStr">
        <is>
          <t>Leland YMCPA</t>
        </is>
      </c>
      <c r="B223" s="20" t="inlineStr">
        <is>
          <t>EAS Secondary</t>
        </is>
      </c>
      <c r="C223" s="20" t="inlineStr">
        <is>
          <t>UNIT 1</t>
        </is>
      </c>
      <c r="D223" s="20" t="inlineStr"/>
      <c r="E223" s="20" t="inlineStr"/>
      <c r="F223" s="20" t="inlineStr"/>
    </row>
    <row r="224">
      <c r="A224" s="20" t="inlineStr">
        <is>
          <t>Westside HS</t>
        </is>
      </c>
      <c r="B224" s="20" t="inlineStr">
        <is>
          <t>EAS Secondary</t>
        </is>
      </c>
      <c r="C224" s="20" t="inlineStr">
        <is>
          <t>UNIT 1</t>
        </is>
      </c>
      <c r="D224" s="20" t="inlineStr"/>
      <c r="E224" s="20" t="inlineStr"/>
      <c r="F224" s="20" t="inlineStr"/>
    </row>
    <row r="225">
      <c r="A225" s="20" t="inlineStr">
        <is>
          <t>Waltrip HS</t>
        </is>
      </c>
      <c r="B225" s="20" t="inlineStr">
        <is>
          <t>EAS Secondary</t>
        </is>
      </c>
      <c r="C225" s="20" t="inlineStr">
        <is>
          <t>UNIT 1</t>
        </is>
      </c>
      <c r="D225" s="20" t="inlineStr"/>
      <c r="E225" s="20" t="inlineStr"/>
      <c r="F225" s="20" t="inlineStr"/>
    </row>
    <row r="226">
      <c r="A226" s="20" t="inlineStr">
        <is>
          <t>North Houston EC HS</t>
        </is>
      </c>
      <c r="B226" s="20" t="inlineStr">
        <is>
          <t>EAS Secondary</t>
        </is>
      </c>
      <c r="C226" s="20" t="inlineStr">
        <is>
          <t>UNIT 1</t>
        </is>
      </c>
      <c r="D226" s="20" t="inlineStr"/>
      <c r="E226" s="20" t="inlineStr"/>
      <c r="F226" s="20" t="inlineStr"/>
    </row>
    <row r="227">
      <c r="A227" s="20" t="inlineStr">
        <is>
          <t>Attucks MS</t>
        </is>
      </c>
      <c r="B227" s="20" t="inlineStr">
        <is>
          <t>EAS Secondary</t>
        </is>
      </c>
      <c r="C227" s="20" t="inlineStr">
        <is>
          <t>UNIT 2</t>
        </is>
      </c>
      <c r="D227" s="20" t="inlineStr"/>
      <c r="E227" s="20" t="inlineStr"/>
      <c r="F227" s="20" t="inlineStr"/>
    </row>
    <row r="228">
      <c r="A228" s="20" t="inlineStr">
        <is>
          <t>BCM Biotech @ Rusk MS</t>
        </is>
      </c>
      <c r="B228" s="20" t="inlineStr">
        <is>
          <t>EAS Secondary</t>
        </is>
      </c>
      <c r="C228" s="20" t="inlineStr">
        <is>
          <t>UNIT 2</t>
        </is>
      </c>
      <c r="D228" s="20" t="inlineStr">
        <is>
          <t>BCM Biotech Acad at Rusk</t>
        </is>
      </c>
      <c r="E228" s="20" t="inlineStr"/>
      <c r="F228" s="20" t="inlineStr"/>
    </row>
    <row r="229">
      <c r="A229" s="20" t="inlineStr">
        <is>
          <t>Carnegie HS</t>
        </is>
      </c>
      <c r="B229" s="20" t="inlineStr">
        <is>
          <t>EAS Secondary</t>
        </is>
      </c>
      <c r="C229" s="20" t="inlineStr">
        <is>
          <t>UNIT 2</t>
        </is>
      </c>
      <c r="D229" s="20" t="inlineStr"/>
      <c r="E229" s="20" t="inlineStr"/>
      <c r="F229" s="20" t="inlineStr"/>
    </row>
    <row r="230">
      <c r="A230" s="20" t="inlineStr">
        <is>
          <t>DeBakey HS</t>
        </is>
      </c>
      <c r="B230" s="20" t="inlineStr">
        <is>
          <t>EAS Secondary</t>
        </is>
      </c>
      <c r="C230" s="20" t="inlineStr">
        <is>
          <t>UNIT 2</t>
        </is>
      </c>
      <c r="D230" s="20" t="inlineStr"/>
      <c r="E230" s="20" t="inlineStr"/>
      <c r="F230" s="20" t="inlineStr"/>
    </row>
    <row r="231">
      <c r="A231" s="20" t="inlineStr">
        <is>
          <t>Chavez HS</t>
        </is>
      </c>
      <c r="B231" s="20" t="inlineStr">
        <is>
          <t>EAS Secondary</t>
        </is>
      </c>
      <c r="C231" s="20" t="inlineStr">
        <is>
          <t>UNIT 2</t>
        </is>
      </c>
      <c r="D231" s="20" t="inlineStr"/>
      <c r="E231" s="20" t="inlineStr"/>
      <c r="F231" s="20" t="inlineStr"/>
    </row>
    <row r="232">
      <c r="A232" s="20" t="inlineStr">
        <is>
          <t>Burbank MS</t>
        </is>
      </c>
      <c r="B232" s="20" t="inlineStr">
        <is>
          <t>EAS Secondary</t>
        </is>
      </c>
      <c r="C232" s="20" t="inlineStr">
        <is>
          <t>UNIT 2</t>
        </is>
      </c>
      <c r="D232" s="20" t="inlineStr"/>
      <c r="E232" s="20" t="inlineStr"/>
      <c r="F232" s="20" t="inlineStr"/>
    </row>
    <row r="233">
      <c r="A233" s="20" t="inlineStr">
        <is>
          <t>Hamilton MS</t>
        </is>
      </c>
      <c r="B233" s="20" t="inlineStr">
        <is>
          <t>EAS Secondary</t>
        </is>
      </c>
      <c r="C233" s="20" t="inlineStr">
        <is>
          <t>UNIT 2</t>
        </is>
      </c>
      <c r="D233" s="20" t="inlineStr"/>
      <c r="E233" s="20" t="inlineStr">
        <is>
          <t>Yes</t>
        </is>
      </c>
      <c r="F233" s="20" t="inlineStr">
        <is>
          <t>Active</t>
        </is>
      </c>
    </row>
    <row r="234">
      <c r="A234" s="20" t="inlineStr">
        <is>
          <t>High School Ahead MS</t>
        </is>
      </c>
      <c r="B234" s="20" t="inlineStr">
        <is>
          <t>EAS Secondary</t>
        </is>
      </c>
      <c r="C234" s="20" t="inlineStr">
        <is>
          <t>UNIT 2</t>
        </is>
      </c>
      <c r="D234" s="20" t="inlineStr">
        <is>
          <t>High School Ahead Acad MS</t>
        </is>
      </c>
      <c r="E234" s="20" t="inlineStr"/>
      <c r="F234" s="20" t="inlineStr"/>
    </row>
    <row r="235">
      <c r="A235" s="20" t="inlineStr">
        <is>
          <t>MC Fraga EC HS</t>
        </is>
      </c>
      <c r="B235" s="20" t="inlineStr">
        <is>
          <t>EAS Secondary</t>
        </is>
      </c>
      <c r="C235" s="20" t="inlineStr">
        <is>
          <t>UNIT 2</t>
        </is>
      </c>
      <c r="D235" s="20" t="inlineStr"/>
      <c r="E235" s="20" t="inlineStr"/>
      <c r="F235" s="20" t="inlineStr"/>
    </row>
    <row r="236">
      <c r="A236" s="20" t="inlineStr">
        <is>
          <t>East Early HS</t>
        </is>
      </c>
      <c r="B236" s="20" t="inlineStr">
        <is>
          <t>EAS Secondary</t>
        </is>
      </c>
      <c r="C236" s="20" t="inlineStr">
        <is>
          <t>UNIT 2</t>
        </is>
      </c>
      <c r="D236" s="20" t="inlineStr">
        <is>
          <t>East EC HS</t>
        </is>
      </c>
      <c r="E236" s="20" t="inlineStr"/>
      <c r="F236" s="20" t="inlineStr"/>
    </row>
    <row r="237">
      <c r="A237" s="20" t="inlineStr">
        <is>
          <t>Law &amp; Justice HS</t>
        </is>
      </c>
      <c r="B237" s="20" t="inlineStr">
        <is>
          <t>EAS Secondary</t>
        </is>
      </c>
      <c r="C237" s="20" t="inlineStr">
        <is>
          <t>UNIT 2</t>
        </is>
      </c>
      <c r="D237" s="20" t="inlineStr"/>
      <c r="E237" s="20" t="inlineStr"/>
      <c r="F237" s="20" t="inlineStr"/>
    </row>
    <row r="238">
      <c r="A238" s="20" t="inlineStr">
        <is>
          <t>Hogg MS</t>
        </is>
      </c>
      <c r="B238" s="20" t="inlineStr">
        <is>
          <t>EAS Secondary</t>
        </is>
      </c>
      <c r="C238" s="20" t="inlineStr">
        <is>
          <t>UNIT 2</t>
        </is>
      </c>
      <c r="D238" s="20" t="inlineStr"/>
      <c r="E238" s="20" t="inlineStr">
        <is>
          <t>Yes</t>
        </is>
      </c>
      <c r="F238" s="20" t="inlineStr">
        <is>
          <t>Good Standing</t>
        </is>
      </c>
    </row>
    <row r="239">
      <c r="A239" s="20" t="inlineStr">
        <is>
          <t>Milby HS</t>
        </is>
      </c>
      <c r="B239" s="20" t="inlineStr">
        <is>
          <t>EAS Secondary</t>
        </is>
      </c>
      <c r="C239" s="20" t="inlineStr">
        <is>
          <t>UNIT 2</t>
        </is>
      </c>
      <c r="D239" s="20" t="inlineStr"/>
      <c r="E239" s="20" t="inlineStr"/>
      <c r="F239" s="20" t="inlineStr"/>
    </row>
    <row r="240">
      <c r="A240" s="20" t="inlineStr">
        <is>
          <t>Eastwood Acad HS</t>
        </is>
      </c>
      <c r="B240" s="20" t="inlineStr">
        <is>
          <t>EAS Secondary</t>
        </is>
      </c>
      <c r="C240" s="20" t="inlineStr">
        <is>
          <t>UNIT 2</t>
        </is>
      </c>
      <c r="D240" s="20" t="inlineStr"/>
      <c r="E240" s="20" t="inlineStr"/>
      <c r="F240" s="20" t="inlineStr"/>
    </row>
    <row r="241">
      <c r="A241" s="20" t="inlineStr">
        <is>
          <t>Tanglewood MS</t>
        </is>
      </c>
      <c r="B241" s="20" t="inlineStr">
        <is>
          <t>EAS Secondary</t>
        </is>
      </c>
      <c r="C241" s="20" t="inlineStr">
        <is>
          <t>UNIT 2</t>
        </is>
      </c>
      <c r="D241" s="20" t="inlineStr"/>
      <c r="E241" s="20" t="inlineStr"/>
      <c r="F241" s="20" t="inlineStr"/>
    </row>
    <row r="242">
      <c r="A242" s="20" t="inlineStr">
        <is>
          <t>Liberty HS</t>
        </is>
      </c>
      <c r="B242" s="20" t="inlineStr">
        <is>
          <t>EAS Secondary</t>
        </is>
      </c>
      <c r="C242" s="20" t="inlineStr">
        <is>
          <t>UNIT 2</t>
        </is>
      </c>
      <c r="D242" s="20" t="inlineStr"/>
      <c r="E242" s="20" t="inlineStr"/>
      <c r="F242" s="20" t="inlineStr"/>
    </row>
    <row r="243">
      <c r="A243" s="20" t="inlineStr">
        <is>
          <t>Stevenson MS</t>
        </is>
      </c>
      <c r="B243" s="20" t="inlineStr">
        <is>
          <t>EAS Secondary</t>
        </is>
      </c>
      <c r="C243" s="20" t="inlineStr">
        <is>
          <t>UNIT 2</t>
        </is>
      </c>
      <c r="D243" s="20" t="inlineStr"/>
      <c r="E243" s="20" t="inlineStr"/>
      <c r="F243" s="20" t="inlineStr"/>
    </row>
    <row r="244">
      <c r="A244" s="20" t="inlineStr">
        <is>
          <t>Jones Futures HS</t>
        </is>
      </c>
      <c r="B244" s="20" t="inlineStr">
        <is>
          <t>EAS Secondary</t>
        </is>
      </c>
      <c r="C244" s="20" t="inlineStr">
        <is>
          <t>UNIT 2</t>
        </is>
      </c>
      <c r="D244" s="20" t="inlineStr"/>
      <c r="E244" s="20" t="inlineStr"/>
      <c r="F244" s="20" t="inlineStr"/>
    </row>
    <row r="245">
      <c r="A245" s="20" t="inlineStr">
        <is>
          <t>YWCPA</t>
        </is>
      </c>
      <c r="B245" s="20" t="inlineStr">
        <is>
          <t>EAS Secondary</t>
        </is>
      </c>
      <c r="C245" s="20" t="inlineStr">
        <is>
          <t>UNIT 2</t>
        </is>
      </c>
      <c r="D245" s="20" t="inlineStr"/>
      <c r="E245" s="20" t="inlineStr"/>
      <c r="F245" s="20" t="inlineStr"/>
    </row>
    <row r="246">
      <c r="A246" s="20" t="inlineStr">
        <is>
          <t>South Early HS</t>
        </is>
      </c>
      <c r="B246" s="20" t="inlineStr">
        <is>
          <t>EAS Secondary</t>
        </is>
      </c>
      <c r="C246" s="20" t="inlineStr">
        <is>
          <t>UNIT 2</t>
        </is>
      </c>
      <c r="D246" s="20" t="inlineStr">
        <is>
          <t>South EC HS</t>
        </is>
      </c>
      <c r="E246" s="20" t="inlineStr">
        <is>
          <t>Yes</t>
        </is>
      </c>
      <c r="F246" s="20" t="inlineStr">
        <is>
          <t>Inactive</t>
        </is>
      </c>
    </row>
    <row r="247">
      <c r="A247" s="20" t="inlineStr">
        <is>
          <t>Energized ECC</t>
        </is>
      </c>
      <c r="B247" s="20" t="inlineStr">
        <is>
          <t>Programs/Charters</t>
        </is>
      </c>
      <c r="C247" s="20" t="inlineStr">
        <is>
          <t>Charters</t>
        </is>
      </c>
      <c r="D247" s="20" t="inlineStr"/>
      <c r="E247" s="20" t="inlineStr"/>
      <c r="F247" s="20" t="inlineStr"/>
    </row>
    <row r="248">
      <c r="A248" s="20" t="inlineStr">
        <is>
          <t>Community Services</t>
        </is>
      </c>
      <c r="B248" s="20" t="inlineStr">
        <is>
          <t>Programs/Charters</t>
        </is>
      </c>
      <c r="C248" s="20" t="inlineStr">
        <is>
          <t>Programs</t>
        </is>
      </c>
      <c r="D248" s="20" t="inlineStr"/>
      <c r="E248" s="20" t="inlineStr"/>
      <c r="F248" s="20" t="inlineStr"/>
    </row>
    <row r="249">
      <c r="A249" s="20" t="inlineStr">
        <is>
          <t>Kinder HSPVA</t>
        </is>
      </c>
      <c r="B249" s="20" t="inlineStr">
        <is>
          <t>Programs/Charters</t>
        </is>
      </c>
      <c r="C249" s="20" t="inlineStr">
        <is>
          <t>1882</t>
        </is>
      </c>
      <c r="D249" s="20" t="inlineStr"/>
      <c r="E249" s="20" t="inlineStr"/>
      <c r="F249" s="20" t="inlineStr"/>
    </row>
    <row r="250">
      <c r="A250" s="20" t="inlineStr">
        <is>
          <t>Barbara Jordan Career Center</t>
        </is>
      </c>
      <c r="B250" s="20" t="inlineStr">
        <is>
          <t>Programs/Charters</t>
        </is>
      </c>
      <c r="C250" s="20" t="inlineStr">
        <is>
          <t>Office of Academics</t>
        </is>
      </c>
      <c r="D250" s="20" t="inlineStr"/>
      <c r="E250" s="20" t="inlineStr"/>
      <c r="F250" s="20" t="inlineStr"/>
    </row>
    <row r="251">
      <c r="A251" s="20" t="inlineStr">
        <is>
          <t>Energized ES</t>
        </is>
      </c>
      <c r="B251" s="20" t="inlineStr">
        <is>
          <t>Programs/Charters</t>
        </is>
      </c>
      <c r="C251" s="20" t="inlineStr">
        <is>
          <t>Charters</t>
        </is>
      </c>
      <c r="D251" s="20" t="inlineStr"/>
      <c r="E251" s="20" t="inlineStr"/>
      <c r="F251" s="20" t="inlineStr"/>
    </row>
    <row r="252">
      <c r="A252" s="20" t="inlineStr">
        <is>
          <t>DAEP EL</t>
        </is>
      </c>
      <c r="B252" s="20" t="inlineStr">
        <is>
          <t>Programs/Charters</t>
        </is>
      </c>
      <c r="C252" s="20" t="inlineStr">
        <is>
          <t>Programs</t>
        </is>
      </c>
      <c r="D252" s="20" t="inlineStr"/>
      <c r="E252" s="20" t="inlineStr"/>
      <c r="F252" s="20" t="inlineStr"/>
    </row>
    <row r="253">
      <c r="A253" s="20" t="inlineStr">
        <is>
          <t>Challenge EC HS</t>
        </is>
      </c>
      <c r="B253" s="20" t="inlineStr">
        <is>
          <t>Programs/Charters</t>
        </is>
      </c>
      <c r="C253" s="20" t="inlineStr">
        <is>
          <t>1882</t>
        </is>
      </c>
      <c r="D253" s="20" t="inlineStr"/>
      <c r="E253" s="20" t="inlineStr"/>
      <c r="F253" s="20" t="inlineStr"/>
    </row>
    <row r="254">
      <c r="A254" s="20" t="inlineStr">
        <is>
          <t>SPED HCC Lifeskills</t>
        </is>
      </c>
      <c r="B254" s="20" t="inlineStr">
        <is>
          <t>Programs/Charters</t>
        </is>
      </c>
      <c r="C254" s="20" t="inlineStr">
        <is>
          <t>Office of Academics</t>
        </is>
      </c>
      <c r="D254" s="20" t="inlineStr"/>
      <c r="E254" s="20" t="inlineStr"/>
      <c r="F254" s="20" t="inlineStr"/>
    </row>
    <row r="255">
      <c r="A255" s="20" t="inlineStr">
        <is>
          <t>Energized for STEM Acad MS</t>
        </is>
      </c>
      <c r="B255" s="20" t="inlineStr">
        <is>
          <t>Programs/Charters</t>
        </is>
      </c>
      <c r="C255" s="20" t="inlineStr">
        <is>
          <t>Charters</t>
        </is>
      </c>
      <c r="D255" s="20" t="inlineStr"/>
      <c r="E255" s="20" t="inlineStr"/>
      <c r="F255" s="20" t="inlineStr"/>
    </row>
    <row r="256">
      <c r="A256" s="20" t="inlineStr">
        <is>
          <t>Harper/Secondary DAEP</t>
        </is>
      </c>
      <c r="B256" s="20" t="inlineStr">
        <is>
          <t>Programs/Charters</t>
        </is>
      </c>
      <c r="C256" s="20" t="inlineStr">
        <is>
          <t>Programs</t>
        </is>
      </c>
      <c r="D256" s="20" t="inlineStr"/>
      <c r="E256" s="20" t="inlineStr"/>
      <c r="F256" s="20" t="inlineStr"/>
    </row>
    <row r="257">
      <c r="A257" s="20" t="inlineStr">
        <is>
          <t>Energy Inst HS</t>
        </is>
      </c>
      <c r="B257" s="20" t="inlineStr">
        <is>
          <t>Programs/Charters</t>
        </is>
      </c>
      <c r="C257" s="20" t="inlineStr">
        <is>
          <t>1882</t>
        </is>
      </c>
      <c r="D257" s="20" t="inlineStr"/>
      <c r="E257" s="20" t="inlineStr"/>
      <c r="F257" s="20" t="inlineStr"/>
    </row>
    <row r="258">
      <c r="A258" s="20" t="inlineStr">
        <is>
          <t>SPED RDSPD</t>
        </is>
      </c>
      <c r="B258" s="20" t="inlineStr">
        <is>
          <t>Programs/Charters</t>
        </is>
      </c>
      <c r="C258" s="20" t="inlineStr">
        <is>
          <t>Office of Academics</t>
        </is>
      </c>
      <c r="D258" s="20" t="inlineStr"/>
      <c r="E258" s="20" t="inlineStr"/>
      <c r="F258" s="20" t="inlineStr"/>
    </row>
    <row r="259">
      <c r="A259" s="20" t="inlineStr">
        <is>
          <t>Energized for STEM Acad HS</t>
        </is>
      </c>
      <c r="B259" s="20" t="inlineStr">
        <is>
          <t>Programs/Charters</t>
        </is>
      </c>
      <c r="C259" s="20" t="inlineStr">
        <is>
          <t>Charters</t>
        </is>
      </c>
      <c r="D259" s="20" t="inlineStr"/>
      <c r="E259" s="20" t="inlineStr"/>
      <c r="F259" s="20" t="inlineStr"/>
    </row>
    <row r="260">
      <c r="A260" s="20" t="inlineStr">
        <is>
          <t>JJAEP</t>
        </is>
      </c>
      <c r="B260" s="20" t="inlineStr">
        <is>
          <t>Programs/Charters</t>
        </is>
      </c>
      <c r="C260" s="20" t="inlineStr">
        <is>
          <t>Programs</t>
        </is>
      </c>
      <c r="D260" s="20" t="inlineStr"/>
      <c r="E260" s="20" t="inlineStr"/>
      <c r="F260" s="20" t="inlineStr"/>
    </row>
    <row r="261">
      <c r="A261" s="20" t="inlineStr">
        <is>
          <t>HAIS</t>
        </is>
      </c>
      <c r="B261" s="20" t="inlineStr">
        <is>
          <t>Programs/Charters</t>
        </is>
      </c>
      <c r="C261" s="20" t="inlineStr">
        <is>
          <t>1882</t>
        </is>
      </c>
      <c r="D261" s="20" t="inlineStr">
        <is>
          <t>HAIS HS</t>
        </is>
      </c>
      <c r="E261" s="20" t="inlineStr"/>
      <c r="F261" s="20" t="inlineStr"/>
    </row>
    <row r="262">
      <c r="A262" s="20" t="inlineStr">
        <is>
          <t>SPED SOAR</t>
        </is>
      </c>
      <c r="B262" s="20" t="inlineStr">
        <is>
          <t>Programs/Charters</t>
        </is>
      </c>
      <c r="C262" s="20" t="inlineStr">
        <is>
          <t>Office of Academics</t>
        </is>
      </c>
      <c r="D262" s="20" t="inlineStr"/>
      <c r="E262" s="20" t="inlineStr"/>
      <c r="F262" s="20" t="inlineStr"/>
    </row>
    <row r="263">
      <c r="A263" s="20" t="inlineStr">
        <is>
          <t>Energized MS</t>
        </is>
      </c>
      <c r="B263" s="20" t="inlineStr">
        <is>
          <t>Programs/Charters</t>
        </is>
      </c>
      <c r="C263" s="20" t="inlineStr">
        <is>
          <t>Charters</t>
        </is>
      </c>
      <c r="D263" s="20" t="inlineStr"/>
      <c r="E263" s="20" t="inlineStr"/>
      <c r="F263" s="20" t="inlineStr"/>
    </row>
    <row r="264">
      <c r="A264" s="20" t="inlineStr">
        <is>
          <t>Virtual Launchpad</t>
        </is>
      </c>
      <c r="B264" s="20" t="inlineStr">
        <is>
          <t>Programs/Charters</t>
        </is>
      </c>
      <c r="C264" s="20" t="inlineStr">
        <is>
          <t>Office of Academics</t>
        </is>
      </c>
      <c r="D264" s="20" t="inlineStr"/>
      <c r="E264" s="20" t="inlineStr"/>
      <c r="F264" s="20" t="inlineStr"/>
    </row>
    <row r="265">
      <c r="A265" s="20" t="inlineStr">
        <is>
          <t>TCAH</t>
        </is>
      </c>
      <c r="B265" s="20" t="inlineStr">
        <is>
          <t>Programs/Charters</t>
        </is>
      </c>
      <c r="C265" s="20" t="inlineStr">
        <is>
          <t>Charters</t>
        </is>
      </c>
      <c r="D265" s="20" t="inlineStr"/>
      <c r="E265" s="20" t="inlineStr"/>
      <c r="F265" s="2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W17"/>
  <sheetViews>
    <sheetView workbookViewId="0">
      <pane ySplit="3" topLeftCell="A4" activePane="bottomLeft" state="frozen"/>
      <selection pane="bottomLeft" activeCell="A1" sqref="A1"/>
    </sheetView>
  </sheetViews>
  <sheetFormatPr baseColWidth="8" defaultRowHeight="15"/>
  <sheetData>
    <row r="1">
      <c r="A1" s="20" t="inlineStr">
        <is>
          <t>Updated on THU, October 15, 2026 at 8:48 AM</t>
        </is>
      </c>
    </row>
    <row r="2">
      <c r="D2" s="20" t="inlineStr">
        <is>
          <t>Membership</t>
        </is>
      </c>
      <c r="J2" s="20" t="inlineStr">
        <is>
          <t>Feature Eligibility</t>
        </is>
      </c>
      <c r="M2" s="20" t="inlineStr">
        <is>
          <t>Path to Good Standing- Standards of Continuing Affiliation (SOA)
All PTAs should be in Good Standing by November 1st</t>
        </is>
      </c>
    </row>
    <row r="3">
      <c r="A3" s="40" t="inlineStr">
        <is>
          <t>School District</t>
        </is>
      </c>
      <c r="B3" s="40" t="inlineStr">
        <is>
          <t>PTA</t>
        </is>
      </c>
      <c r="C3" s="40" t="inlineStr">
        <is>
          <t>Texas PTA ID</t>
        </is>
      </c>
      <c r="D3" s="40" t="inlineStr">
        <is>
          <t>Membership Goal</t>
        </is>
      </c>
      <c r="E3" s="40" t="inlineStr">
        <is>
          <t>To Increase Local</t>
        </is>
      </c>
      <c r="F3" s="40" t="inlineStr">
        <is>
          <t>26-27                    Current Membership Count</t>
        </is>
      </c>
      <c r="G3" s="40" t="inlineStr">
        <is>
          <t>25-26</t>
        </is>
      </c>
      <c r="H3" s="40" t="inlineStr">
        <is>
          <t>24-25</t>
        </is>
      </c>
      <c r="I3" s="40" t="inlineStr">
        <is>
          <t>Student Enrollment</t>
        </is>
      </c>
      <c r="J3" s="40" t="inlineStr">
        <is>
          <t>Reflections Eligible</t>
        </is>
      </c>
      <c r="K3" s="40" t="inlineStr">
        <is>
          <t>JoinPTA.org Activation?</t>
        </is>
      </c>
      <c r="L3" s="40" t="inlineStr">
        <is>
          <t>Online RDC</t>
        </is>
      </c>
      <c r="M3" s="40" t="inlineStr">
        <is>
          <t>PTA Status</t>
        </is>
      </c>
      <c r="N3" s="40" t="inlineStr">
        <is>
          <t>Retention Plan Status</t>
        </is>
      </c>
      <c r="O3" s="40" t="inlineStr">
        <is>
          <t>Retention Plan Status More Information</t>
        </is>
      </c>
      <c r="P3" s="40" t="inlineStr">
        <is>
          <t>Good Standing Date</t>
        </is>
      </c>
      <c r="Q3" s="40" t="inlineStr">
        <is>
          <t>SOA Officers</t>
        </is>
      </c>
      <c r="R3" s="40" t="inlineStr">
        <is>
          <t>SOA Membership</t>
        </is>
      </c>
      <c r="S3" s="40" t="inlineStr">
        <is>
          <t>SOA Bylaws</t>
        </is>
      </c>
      <c r="T3" s="40" t="inlineStr">
        <is>
          <t>SOA Standing Rules</t>
        </is>
      </c>
      <c r="U3" s="40" t="inlineStr">
        <is>
          <t xml:space="preserve">SOA 990 </t>
        </is>
      </c>
      <c r="V3" s="40" t="inlineStr">
        <is>
          <t>Active Status Date (Must be active by 12/1/26 to vote)</t>
        </is>
      </c>
      <c r="W3" s="40" t="inlineStr">
        <is>
          <t>Bylaws Approved</t>
        </is>
      </c>
    </row>
    <row r="4">
      <c r="A4" s="20" t="inlineStr">
        <is>
          <t>Houston ISD</t>
        </is>
      </c>
      <c r="B4" s="20" t="inlineStr">
        <is>
          <t>Alexander Hamilton Middle School</t>
        </is>
      </c>
      <c r="C4" s="20" t="inlineStr">
        <is>
          <t>2312957</t>
        </is>
      </c>
      <c r="D4" s="20" t="n">
        <v>32</v>
      </c>
      <c r="E4" s="20" t="n">
        <v>-21</v>
      </c>
      <c r="F4" s="20" t="n">
        <v>51</v>
      </c>
      <c r="G4" s="20" t="n">
        <v>29</v>
      </c>
      <c r="H4" s="20" t="n">
        <v>0</v>
      </c>
      <c r="I4" s="20" t="n">
        <v>964</v>
      </c>
      <c r="J4" s="20" t="inlineStr">
        <is>
          <t>X</t>
        </is>
      </c>
      <c r="K4" s="20" t="inlineStr">
        <is>
          <t>√</t>
        </is>
      </c>
      <c r="L4" s="20" t="inlineStr">
        <is>
          <t>√</t>
        </is>
      </c>
      <c r="M4" s="20" t="inlineStr">
        <is>
          <t>Good Standing</t>
        </is>
      </c>
      <c r="O4" s="20" t="inlineStr">
        <is>
          <t>1st Year PTA</t>
        </is>
      </c>
      <c r="P4" s="20" t="inlineStr">
        <is>
          <t>10/14/2026</t>
        </is>
      </c>
      <c r="Q4" s="20" t="inlineStr">
        <is>
          <t>√</t>
        </is>
      </c>
      <c r="R4" s="20" t="inlineStr">
        <is>
          <t>√</t>
        </is>
      </c>
      <c r="S4" s="20" t="inlineStr">
        <is>
          <t>√</t>
        </is>
      </c>
      <c r="T4" s="20" t="inlineStr">
        <is>
          <t>√</t>
        </is>
      </c>
      <c r="U4" s="20" t="inlineStr">
        <is>
          <t>√</t>
        </is>
      </c>
      <c r="V4" s="20" t="inlineStr">
        <is>
          <t>8/10/2026</t>
        </is>
      </c>
      <c r="W4" s="20" t="inlineStr">
        <is>
          <t>12/1/2025</t>
        </is>
      </c>
    </row>
    <row r="5">
      <c r="A5" s="20" t="inlineStr">
        <is>
          <t>Houston ISD</t>
        </is>
      </c>
      <c r="B5" s="20" t="inlineStr">
        <is>
          <t>Bonham Elementary</t>
        </is>
      </c>
      <c r="C5" s="20" t="inlineStr">
        <is>
          <t>2302410</t>
        </is>
      </c>
      <c r="D5" s="20" t="n">
        <v>1</v>
      </c>
      <c r="E5" s="20" t="n">
        <v>1</v>
      </c>
      <c r="F5" s="20" t="n">
        <v>0</v>
      </c>
      <c r="G5" s="20" t="n">
        <v>0</v>
      </c>
      <c r="H5" s="20" t="n">
        <v>29</v>
      </c>
      <c r="I5" s="20" t="n">
        <v>767</v>
      </c>
      <c r="J5" s="20" t="inlineStr">
        <is>
          <t>X</t>
        </is>
      </c>
      <c r="K5" s="20" t="inlineStr">
        <is>
          <t>X</t>
        </is>
      </c>
      <c r="L5" s="20" t="inlineStr">
        <is>
          <t>X</t>
        </is>
      </c>
      <c r="M5" s="20" t="inlineStr">
        <is>
          <t>Charter Withdrawal</t>
        </is>
      </c>
      <c r="Q5" s="20" t="inlineStr">
        <is>
          <t>X</t>
        </is>
      </c>
      <c r="R5" s="20" t="inlineStr">
        <is>
          <t>X</t>
        </is>
      </c>
      <c r="S5" s="20" t="inlineStr">
        <is>
          <t>X</t>
        </is>
      </c>
      <c r="T5" s="20" t="inlineStr">
        <is>
          <t>√</t>
        </is>
      </c>
      <c r="U5" s="20" t="inlineStr">
        <is>
          <t>X</t>
        </is>
      </c>
      <c r="W5" s="20" t="inlineStr">
        <is>
          <t>10/13/2021</t>
        </is>
      </c>
    </row>
    <row r="6">
      <c r="A6" s="20" t="inlineStr">
        <is>
          <t>Houston ISD</t>
        </is>
      </c>
      <c r="B6" s="20" t="inlineStr">
        <is>
          <t>Browning Elementary</t>
        </is>
      </c>
      <c r="C6" s="20" t="inlineStr">
        <is>
          <t>2312892</t>
        </is>
      </c>
      <c r="D6" s="20" t="n">
        <v>28</v>
      </c>
      <c r="E6" s="20" t="n">
        <v>26</v>
      </c>
      <c r="F6" s="20" t="n">
        <v>0</v>
      </c>
      <c r="G6" s="20" t="n">
        <v>25</v>
      </c>
      <c r="H6" s="20" t="n">
        <v>20</v>
      </c>
      <c r="I6" s="20" t="n">
        <v>317</v>
      </c>
      <c r="J6" s="20" t="inlineStr">
        <is>
          <t>√</t>
        </is>
      </c>
      <c r="K6" s="20" t="inlineStr">
        <is>
          <t>√</t>
        </is>
      </c>
      <c r="L6" s="20" t="inlineStr">
        <is>
          <t>√</t>
        </is>
      </c>
      <c r="M6" s="20" t="inlineStr">
        <is>
          <t>Inactive</t>
        </is>
      </c>
      <c r="Q6" s="20" t="inlineStr">
        <is>
          <t>√</t>
        </is>
      </c>
      <c r="R6" s="20" t="inlineStr">
        <is>
          <t>X</t>
        </is>
      </c>
      <c r="S6" s="20" t="inlineStr">
        <is>
          <t>√</t>
        </is>
      </c>
      <c r="T6" s="20" t="inlineStr">
        <is>
          <t>√</t>
        </is>
      </c>
      <c r="U6" s="20" t="inlineStr">
        <is>
          <t>X</t>
        </is>
      </c>
      <c r="W6" s="20" t="inlineStr">
        <is>
          <t>5/12/2025</t>
        </is>
      </c>
    </row>
    <row r="7">
      <c r="A7" s="20" t="inlineStr">
        <is>
          <t>Houston ISD</t>
        </is>
      </c>
      <c r="B7" s="20" t="inlineStr">
        <is>
          <t>Durham Elementary</t>
        </is>
      </c>
      <c r="C7" s="20" t="inlineStr">
        <is>
          <t>4784</t>
        </is>
      </c>
      <c r="D7" s="20" t="n">
        <v>312</v>
      </c>
      <c r="E7" s="20" t="n">
        <v>263</v>
      </c>
      <c r="F7" s="20" t="n">
        <v>21</v>
      </c>
      <c r="G7" s="20" t="n">
        <v>283</v>
      </c>
      <c r="H7" s="20" t="n">
        <v>317</v>
      </c>
      <c r="I7" s="20" t="n">
        <v>498</v>
      </c>
      <c r="J7" s="20" t="inlineStr">
        <is>
          <t>√</t>
        </is>
      </c>
      <c r="K7" s="20" t="inlineStr">
        <is>
          <t>√</t>
        </is>
      </c>
      <c r="L7" s="20" t="inlineStr">
        <is>
          <t>√</t>
        </is>
      </c>
      <c r="M7" s="20" t="inlineStr">
        <is>
          <t>Good Standing</t>
        </is>
      </c>
      <c r="P7" s="20" t="inlineStr">
        <is>
          <t>10/14/2026</t>
        </is>
      </c>
      <c r="Q7" s="20" t="inlineStr">
        <is>
          <t>√</t>
        </is>
      </c>
      <c r="R7" s="20" t="inlineStr">
        <is>
          <t>√</t>
        </is>
      </c>
      <c r="S7" s="20" t="inlineStr">
        <is>
          <t>√</t>
        </is>
      </c>
      <c r="T7" s="20" t="inlineStr">
        <is>
          <t>√</t>
        </is>
      </c>
      <c r="U7" s="20" t="inlineStr">
        <is>
          <t>√</t>
        </is>
      </c>
      <c r="V7" s="20" t="inlineStr">
        <is>
          <t>10/9/2026</t>
        </is>
      </c>
      <c r="W7" s="20" t="inlineStr">
        <is>
          <t>3/21/2025</t>
        </is>
      </c>
    </row>
    <row r="8">
      <c r="A8" s="20" t="inlineStr">
        <is>
          <t>Houston ISD</t>
        </is>
      </c>
      <c r="B8" s="20" t="inlineStr">
        <is>
          <t>Harvard Elementary</t>
        </is>
      </c>
      <c r="C8" s="20" t="inlineStr">
        <is>
          <t>4888</t>
        </is>
      </c>
      <c r="D8" s="20" t="n">
        <v>91</v>
      </c>
      <c r="E8" s="20" t="n">
        <v>30</v>
      </c>
      <c r="F8" s="20" t="n">
        <v>53</v>
      </c>
      <c r="G8" s="20" t="n">
        <v>82</v>
      </c>
      <c r="H8" s="20" t="n">
        <v>205</v>
      </c>
      <c r="I8" s="20" t="n">
        <v>663</v>
      </c>
      <c r="J8" s="20" t="inlineStr">
        <is>
          <t>√</t>
        </is>
      </c>
      <c r="K8" s="20" t="inlineStr">
        <is>
          <t>√</t>
        </is>
      </c>
      <c r="L8" s="20" t="inlineStr">
        <is>
          <t>√</t>
        </is>
      </c>
      <c r="M8" s="20" t="inlineStr">
        <is>
          <t>Active</t>
        </is>
      </c>
      <c r="Q8" s="20" t="inlineStr">
        <is>
          <t>√</t>
        </is>
      </c>
      <c r="R8" s="20" t="inlineStr">
        <is>
          <t>√</t>
        </is>
      </c>
      <c r="S8" s="20" t="inlineStr">
        <is>
          <t>√</t>
        </is>
      </c>
      <c r="T8" s="20" t="inlineStr">
        <is>
          <t>√</t>
        </is>
      </c>
      <c r="U8" s="20" t="inlineStr">
        <is>
          <t>X</t>
        </is>
      </c>
      <c r="V8" s="20" t="inlineStr">
        <is>
          <t>8/17/2026</t>
        </is>
      </c>
      <c r="W8" s="20" t="inlineStr">
        <is>
          <t>7/8/2024</t>
        </is>
      </c>
    </row>
    <row r="9">
      <c r="A9" s="20" t="inlineStr">
        <is>
          <t>Houston ISD</t>
        </is>
      </c>
      <c r="B9" s="20" t="inlineStr">
        <is>
          <t>Helms Elementary</t>
        </is>
      </c>
      <c r="C9" s="20" t="inlineStr">
        <is>
          <t>4892</t>
        </is>
      </c>
      <c r="D9" s="20" t="n">
        <v>338</v>
      </c>
      <c r="E9" s="20" t="n">
        <v>308</v>
      </c>
      <c r="F9" s="20" t="n">
        <v>0</v>
      </c>
      <c r="G9" s="20" t="n">
        <v>307</v>
      </c>
      <c r="H9" s="20" t="n">
        <v>180</v>
      </c>
      <c r="I9" s="20" t="n">
        <v>523</v>
      </c>
      <c r="J9" s="20" t="inlineStr">
        <is>
          <t>√</t>
        </is>
      </c>
      <c r="K9" s="20" t="inlineStr">
        <is>
          <t>√</t>
        </is>
      </c>
      <c r="L9" s="20" t="inlineStr">
        <is>
          <t>√</t>
        </is>
      </c>
      <c r="M9" s="20" t="inlineStr">
        <is>
          <t>Inactive</t>
        </is>
      </c>
      <c r="Q9" s="20" t="inlineStr">
        <is>
          <t>√</t>
        </is>
      </c>
      <c r="R9" s="20" t="inlineStr">
        <is>
          <t>X</t>
        </is>
      </c>
      <c r="S9" s="20" t="inlineStr">
        <is>
          <t>√</t>
        </is>
      </c>
      <c r="T9" s="20" t="inlineStr">
        <is>
          <t>√</t>
        </is>
      </c>
      <c r="U9" s="20" t="inlineStr">
        <is>
          <t>X</t>
        </is>
      </c>
      <c r="W9" s="20" t="inlineStr">
        <is>
          <t>1/8/2026</t>
        </is>
      </c>
    </row>
    <row r="10">
      <c r="A10" s="20" t="inlineStr">
        <is>
          <t>Houston ISD</t>
        </is>
      </c>
      <c r="B10" s="20" t="inlineStr">
        <is>
          <t>Hogg Middle School</t>
        </is>
      </c>
      <c r="C10" s="20" t="inlineStr">
        <is>
          <t>2283554</t>
        </is>
      </c>
      <c r="D10" s="20" t="n">
        <v>237</v>
      </c>
      <c r="E10" s="20" t="n">
        <v>-71</v>
      </c>
      <c r="F10" s="20" t="n">
        <v>287</v>
      </c>
      <c r="G10" s="20" t="n">
        <v>215</v>
      </c>
      <c r="H10" s="20" t="n">
        <v>157</v>
      </c>
      <c r="I10" s="20" t="n">
        <v>1149</v>
      </c>
      <c r="J10" s="20" t="inlineStr">
        <is>
          <t>√</t>
        </is>
      </c>
      <c r="K10" s="20" t="inlineStr">
        <is>
          <t>√</t>
        </is>
      </c>
      <c r="L10" s="20" t="inlineStr">
        <is>
          <t>√</t>
        </is>
      </c>
      <c r="M10" s="20" t="inlineStr">
        <is>
          <t>Good Standing</t>
        </is>
      </c>
      <c r="P10" s="20" t="inlineStr">
        <is>
          <t>9/24/2026</t>
        </is>
      </c>
      <c r="Q10" s="20" t="inlineStr">
        <is>
          <t>√</t>
        </is>
      </c>
      <c r="R10" s="20" t="inlineStr">
        <is>
          <t>√</t>
        </is>
      </c>
      <c r="S10" s="20" t="inlineStr">
        <is>
          <t>√</t>
        </is>
      </c>
      <c r="T10" s="20" t="inlineStr">
        <is>
          <t>√</t>
        </is>
      </c>
      <c r="U10" s="20" t="inlineStr">
        <is>
          <t>√</t>
        </is>
      </c>
      <c r="V10" s="20" t="inlineStr">
        <is>
          <t>9/24/2026</t>
        </is>
      </c>
      <c r="W10" s="20" t="inlineStr">
        <is>
          <t>3/30/2026</t>
        </is>
      </c>
    </row>
    <row r="11">
      <c r="A11" s="20" t="inlineStr">
        <is>
          <t>Houston ISD</t>
        </is>
      </c>
      <c r="B11" s="20" t="inlineStr">
        <is>
          <t>Ketelsen</t>
        </is>
      </c>
      <c r="C11" s="20" t="inlineStr">
        <is>
          <t>2312525</t>
        </is>
      </c>
      <c r="D11" s="20" t="n">
        <v>26</v>
      </c>
      <c r="E11" s="20" t="n">
        <v>15</v>
      </c>
      <c r="F11" s="20" t="n">
        <v>9</v>
      </c>
      <c r="G11" s="20" t="n">
        <v>23</v>
      </c>
      <c r="H11" s="20" t="n">
        <v>20</v>
      </c>
      <c r="I11" s="20" t="n">
        <v>340</v>
      </c>
      <c r="J11" s="20" t="inlineStr">
        <is>
          <t>√</t>
        </is>
      </c>
      <c r="K11" s="20" t="inlineStr">
        <is>
          <t>√</t>
        </is>
      </c>
      <c r="L11" s="20" t="inlineStr">
        <is>
          <t>√</t>
        </is>
      </c>
      <c r="M11" s="20" t="inlineStr">
        <is>
          <t>Inactive</t>
        </is>
      </c>
      <c r="Q11" s="20" t="inlineStr">
        <is>
          <t>√</t>
        </is>
      </c>
      <c r="R11" s="20" t="inlineStr">
        <is>
          <t>X</t>
        </is>
      </c>
      <c r="S11" s="20" t="inlineStr">
        <is>
          <t>X</t>
        </is>
      </c>
      <c r="T11" s="20" t="inlineStr">
        <is>
          <t>√</t>
        </is>
      </c>
      <c r="U11" s="20" t="inlineStr">
        <is>
          <t>√</t>
        </is>
      </c>
      <c r="W11" s="20" t="inlineStr">
        <is>
          <t>9/15/2022</t>
        </is>
      </c>
    </row>
    <row r="12">
      <c r="A12" s="20" t="inlineStr">
        <is>
          <t>Houston ISD</t>
        </is>
      </c>
      <c r="B12" s="20" t="inlineStr">
        <is>
          <t>Northside High School</t>
        </is>
      </c>
      <c r="C12" s="20" t="inlineStr">
        <is>
          <t>2311869</t>
        </is>
      </c>
      <c r="D12" s="20" t="n">
        <v>2</v>
      </c>
      <c r="E12" s="20" t="n">
        <v>2</v>
      </c>
      <c r="F12" s="20" t="n">
        <v>0</v>
      </c>
      <c r="G12" s="20" t="n">
        <v>1</v>
      </c>
      <c r="H12" s="20" t="n">
        <v>22</v>
      </c>
      <c r="I12" s="20" t="n">
        <v>922</v>
      </c>
      <c r="J12" s="20" t="inlineStr">
        <is>
          <t>X</t>
        </is>
      </c>
      <c r="K12" s="20" t="inlineStr">
        <is>
          <t>X</t>
        </is>
      </c>
      <c r="L12" s="20" t="inlineStr">
        <is>
          <t>X</t>
        </is>
      </c>
      <c r="M12" s="20" t="inlineStr">
        <is>
          <t>Charter Withdrawal</t>
        </is>
      </c>
      <c r="Q12" s="20" t="inlineStr">
        <is>
          <t>X</t>
        </is>
      </c>
      <c r="R12" s="20" t="inlineStr">
        <is>
          <t>X</t>
        </is>
      </c>
      <c r="S12" s="20" t="inlineStr">
        <is>
          <t>X</t>
        </is>
      </c>
      <c r="T12" s="20" t="inlineStr">
        <is>
          <t>√</t>
        </is>
      </c>
      <c r="U12" s="20" t="inlineStr">
        <is>
          <t>X</t>
        </is>
      </c>
      <c r="W12" s="20" t="inlineStr">
        <is>
          <t>9/27/2021</t>
        </is>
      </c>
    </row>
    <row r="13">
      <c r="A13" s="20" t="inlineStr">
        <is>
          <t>Houston ISD</t>
        </is>
      </c>
      <c r="B13" s="20" t="inlineStr">
        <is>
          <t>Oak Forest Elementary</t>
        </is>
      </c>
      <c r="C13" s="20" t="inlineStr">
        <is>
          <t>5124</t>
        </is>
      </c>
      <c r="D13" s="20" t="n">
        <v>744</v>
      </c>
      <c r="E13" s="20" t="n">
        <v>-12</v>
      </c>
      <c r="F13" s="20" t="n">
        <v>689</v>
      </c>
      <c r="G13" s="20" t="n">
        <v>676</v>
      </c>
      <c r="H13" s="20" t="n">
        <v>639</v>
      </c>
      <c r="I13" s="20" t="n">
        <v>996</v>
      </c>
      <c r="J13" s="20" t="inlineStr">
        <is>
          <t>√</t>
        </is>
      </c>
      <c r="K13" s="20" t="inlineStr">
        <is>
          <t>√</t>
        </is>
      </c>
      <c r="L13" s="20" t="inlineStr">
        <is>
          <t>√</t>
        </is>
      </c>
      <c r="M13" s="20" t="inlineStr">
        <is>
          <t>Good Standing</t>
        </is>
      </c>
      <c r="P13" s="20" t="inlineStr">
        <is>
          <t>9/9/2026</t>
        </is>
      </c>
      <c r="Q13" s="20" t="inlineStr">
        <is>
          <t>√</t>
        </is>
      </c>
      <c r="R13" s="20" t="inlineStr">
        <is>
          <t>√</t>
        </is>
      </c>
      <c r="S13" s="20" t="inlineStr">
        <is>
          <t>√</t>
        </is>
      </c>
      <c r="T13" s="20" t="inlineStr">
        <is>
          <t>√</t>
        </is>
      </c>
      <c r="U13" s="20" t="inlineStr">
        <is>
          <t>√</t>
        </is>
      </c>
      <c r="V13" s="20" t="inlineStr">
        <is>
          <t>9/3/2026</t>
        </is>
      </c>
      <c r="W13" s="20" t="inlineStr">
        <is>
          <t>6/2/26</t>
        </is>
      </c>
    </row>
    <row r="14">
      <c r="A14" s="20" t="inlineStr">
        <is>
          <t>Houston ISD</t>
        </is>
      </c>
      <c r="B14" s="20" t="inlineStr">
        <is>
          <t>South Early Community</t>
        </is>
      </c>
      <c r="C14" s="20" t="inlineStr">
        <is>
          <t>2223725</t>
        </is>
      </c>
      <c r="D14" s="20" t="n">
        <v>71</v>
      </c>
      <c r="E14" s="20" t="n">
        <v>65</v>
      </c>
      <c r="F14" s="20" t="n">
        <v>0</v>
      </c>
      <c r="G14" s="20" t="n">
        <v>64</v>
      </c>
      <c r="H14" s="20" t="n">
        <v>21</v>
      </c>
      <c r="I14" s="20" t="n">
        <v>525</v>
      </c>
      <c r="J14" s="20" t="inlineStr">
        <is>
          <t>√</t>
        </is>
      </c>
      <c r="K14" s="20" t="inlineStr">
        <is>
          <t>√</t>
        </is>
      </c>
      <c r="L14" s="20" t="inlineStr">
        <is>
          <t>√</t>
        </is>
      </c>
      <c r="M14" s="20" t="inlineStr">
        <is>
          <t>Inactive</t>
        </is>
      </c>
      <c r="Q14" s="20" t="inlineStr">
        <is>
          <t>√</t>
        </is>
      </c>
      <c r="R14" s="20" t="inlineStr">
        <is>
          <t>X</t>
        </is>
      </c>
      <c r="S14" s="20" t="inlineStr">
        <is>
          <t>√</t>
        </is>
      </c>
      <c r="T14" s="20" t="inlineStr">
        <is>
          <t>√</t>
        </is>
      </c>
      <c r="U14" s="20" t="inlineStr">
        <is>
          <t>X</t>
        </is>
      </c>
      <c r="W14" s="20" t="inlineStr">
        <is>
          <t>9/11/2024</t>
        </is>
      </c>
    </row>
    <row r="15">
      <c r="A15" s="20" t="inlineStr">
        <is>
          <t>Houston ISD</t>
        </is>
      </c>
      <c r="B15" s="20" t="inlineStr">
        <is>
          <t>Tijerina Elementary</t>
        </is>
      </c>
      <c r="C15" s="20" t="inlineStr">
        <is>
          <t>5328</t>
        </is>
      </c>
      <c r="D15" s="20" t="n">
        <v>29</v>
      </c>
      <c r="E15" s="20" t="n">
        <v>27</v>
      </c>
      <c r="F15" s="20" t="n">
        <v>0</v>
      </c>
      <c r="G15" s="20" t="n">
        <v>26</v>
      </c>
      <c r="H15" s="20" t="n">
        <v>20</v>
      </c>
      <c r="I15" s="20" t="n">
        <v>282</v>
      </c>
      <c r="J15" s="20" t="inlineStr">
        <is>
          <t>√</t>
        </is>
      </c>
      <c r="K15" s="20" t="inlineStr">
        <is>
          <t>√</t>
        </is>
      </c>
      <c r="L15" s="20" t="inlineStr">
        <is>
          <t>√</t>
        </is>
      </c>
      <c r="M15" s="20" t="inlineStr">
        <is>
          <t>Inactive</t>
        </is>
      </c>
      <c r="Q15" s="20" t="inlineStr">
        <is>
          <t>X</t>
        </is>
      </c>
      <c r="R15" s="20" t="inlineStr">
        <is>
          <t>X</t>
        </is>
      </c>
      <c r="S15" s="20" t="inlineStr">
        <is>
          <t>√</t>
        </is>
      </c>
      <c r="T15" s="20" t="inlineStr">
        <is>
          <t>√</t>
        </is>
      </c>
      <c r="U15" s="20" t="inlineStr">
        <is>
          <t>X</t>
        </is>
      </c>
      <c r="W15" s="20" t="inlineStr">
        <is>
          <t>3/7/2024</t>
        </is>
      </c>
    </row>
    <row r="16">
      <c r="A16" s="20" t="inlineStr">
        <is>
          <t>Houston ISD</t>
        </is>
      </c>
      <c r="B16" s="20" t="inlineStr">
        <is>
          <t>Wainwright Elementary</t>
        </is>
      </c>
      <c r="C16" s="20" t="inlineStr">
        <is>
          <t>5340</t>
        </is>
      </c>
      <c r="D16" s="20" t="n">
        <v>1</v>
      </c>
      <c r="E16" s="20" t="n">
        <v>1</v>
      </c>
      <c r="F16" s="20" t="n">
        <v>0</v>
      </c>
      <c r="G16" s="20" t="n">
        <v>0</v>
      </c>
      <c r="H16" s="20" t="n">
        <v>20</v>
      </c>
      <c r="I16" s="20" t="n">
        <v>316</v>
      </c>
      <c r="J16" s="20" t="inlineStr">
        <is>
          <t>X</t>
        </is>
      </c>
      <c r="K16" s="20" t="inlineStr">
        <is>
          <t>X</t>
        </is>
      </c>
      <c r="L16" s="20" t="inlineStr">
        <is>
          <t>X</t>
        </is>
      </c>
      <c r="M16" s="20" t="inlineStr">
        <is>
          <t>Charter Withdrawal</t>
        </is>
      </c>
      <c r="Q16" s="20" t="inlineStr">
        <is>
          <t>X</t>
        </is>
      </c>
      <c r="R16" s="20" t="inlineStr">
        <is>
          <t>X</t>
        </is>
      </c>
      <c r="S16" s="20" t="inlineStr">
        <is>
          <t>X</t>
        </is>
      </c>
      <c r="T16" s="20" t="inlineStr">
        <is>
          <t>√</t>
        </is>
      </c>
      <c r="U16" s="20" t="inlineStr">
        <is>
          <t>X</t>
        </is>
      </c>
      <c r="W16" s="20" t="inlineStr">
        <is>
          <t>10/13/2021</t>
        </is>
      </c>
    </row>
    <row r="17">
      <c r="A17" s="20" t="inlineStr">
        <is>
          <t>Houston ISD</t>
        </is>
      </c>
      <c r="B17" s="20" t="inlineStr">
        <is>
          <t>William B. Travis Elementary</t>
        </is>
      </c>
      <c r="C17" s="20" t="inlineStr">
        <is>
          <t>5332</t>
        </is>
      </c>
      <c r="D17" s="20" t="n">
        <v>368</v>
      </c>
      <c r="E17" s="20" t="n">
        <v>-77</v>
      </c>
      <c r="F17" s="20" t="n">
        <v>412</v>
      </c>
      <c r="G17" s="20" t="n">
        <v>334</v>
      </c>
      <c r="H17" s="20" t="n">
        <v>317</v>
      </c>
      <c r="I17" s="20" t="n">
        <v>782</v>
      </c>
      <c r="J17" s="20" t="inlineStr">
        <is>
          <t>√</t>
        </is>
      </c>
      <c r="K17" s="20" t="inlineStr">
        <is>
          <t>√</t>
        </is>
      </c>
      <c r="L17" s="20" t="inlineStr">
        <is>
          <t>√</t>
        </is>
      </c>
      <c r="M17" s="20" t="inlineStr">
        <is>
          <t>Good Standing</t>
        </is>
      </c>
      <c r="P17" s="20" t="inlineStr">
        <is>
          <t>9/9/2026</t>
        </is>
      </c>
      <c r="Q17" s="20" t="inlineStr">
        <is>
          <t>√</t>
        </is>
      </c>
      <c r="R17" s="20" t="inlineStr">
        <is>
          <t>√</t>
        </is>
      </c>
      <c r="S17" s="20" t="inlineStr">
        <is>
          <t>√</t>
        </is>
      </c>
      <c r="T17" s="20" t="inlineStr">
        <is>
          <t>√</t>
        </is>
      </c>
      <c r="U17" s="20" t="inlineStr">
        <is>
          <t>√</t>
        </is>
      </c>
      <c r="V17" s="20" t="inlineStr">
        <is>
          <t>8/1/2026</t>
        </is>
      </c>
      <c r="W17" s="20" t="inlineStr">
        <is>
          <t>8/11/2025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2"/>
  <sheetViews>
    <sheetView workbookViewId="0">
      <pane ySplit="1" topLeftCell="A2" activePane="bottomLeft" state="frozen"/>
      <selection pane="bottomLeft" activeCell="A1" sqref="A1"/>
    </sheetView>
  </sheetViews>
  <sheetFormatPr baseColWidth="8" defaultRowHeight="15"/>
  <cols>
    <col width="18" customWidth="1" style="21" min="1" max="1"/>
    <col width="32" customWidth="1" style="21" min="2" max="2"/>
  </cols>
  <sheetData>
    <row r="1">
      <c r="A1" s="40" t="inlineStr">
        <is>
          <t>Campus</t>
        </is>
      </c>
      <c r="B1" s="40" t="inlineStr">
        <is>
          <t>Texas PTA Name</t>
        </is>
      </c>
      <c r="C1" s="40" t="inlineStr">
        <is>
          <t>Texas PTA ID</t>
        </is>
      </c>
      <c r="D1" s="40" t="inlineStr">
        <is>
          <t>PTA Status</t>
        </is>
      </c>
      <c r="E1" s="40" t="inlineStr">
        <is>
          <t>Good Standing Date</t>
        </is>
      </c>
      <c r="F1" s="40" t="inlineStr">
        <is>
          <t>SOA Officers</t>
        </is>
      </c>
      <c r="G1" s="40" t="inlineStr">
        <is>
          <t>SOA Membership</t>
        </is>
      </c>
      <c r="H1" s="40" t="inlineStr">
        <is>
          <t>SOA Bylaws</t>
        </is>
      </c>
      <c r="I1" s="40" t="inlineStr">
        <is>
          <t>SOA Standing Rules</t>
        </is>
      </c>
      <c r="J1" s="40" t="inlineStr">
        <is>
          <t>SOA 990</t>
        </is>
      </c>
      <c r="K1" s="40" t="inlineStr">
        <is>
          <t>Current Members</t>
        </is>
      </c>
      <c r="L1" s="40" t="inlineStr">
        <is>
          <t>Membership Goal</t>
        </is>
      </c>
      <c r="M1" s="40" t="inlineStr">
        <is>
          <t>Active Status Date</t>
        </is>
      </c>
      <c r="N1" s="40" t="inlineStr">
        <is>
          <t>Bylaws Approved</t>
        </is>
      </c>
      <c r="O1" s="40" t="inlineStr">
        <is>
          <t>Note</t>
        </is>
      </c>
      <c r="P1" s="40" t="inlineStr">
        <is>
          <t>Texas PTA Updated</t>
        </is>
      </c>
      <c r="Q1" s="40" t="inlineStr">
        <is>
          <t>Imported</t>
        </is>
      </c>
    </row>
    <row r="2">
      <c r="A2" s="20" t="inlineStr">
        <is>
          <t>Hamilton MS</t>
        </is>
      </c>
      <c r="B2" s="20" t="inlineStr">
        <is>
          <t>Alexander Hamilton Middle School</t>
        </is>
      </c>
      <c r="C2" s="20" t="inlineStr">
        <is>
          <t>2312957</t>
        </is>
      </c>
      <c r="D2" s="20" t="inlineStr">
        <is>
          <t>Good Standing</t>
        </is>
      </c>
      <c r="E2" s="20" t="inlineStr">
        <is>
          <t>10/14/2026</t>
        </is>
      </c>
      <c r="F2" s="20" t="inlineStr">
        <is>
          <t>Yes</t>
        </is>
      </c>
      <c r="G2" s="20" t="inlineStr">
        <is>
          <t>Yes</t>
        </is>
      </c>
      <c r="H2" s="20" t="inlineStr">
        <is>
          <t>Yes</t>
        </is>
      </c>
      <c r="I2" s="20" t="inlineStr">
        <is>
          <t>Yes</t>
        </is>
      </c>
      <c r="J2" s="20" t="inlineStr">
        <is>
          <t>Yes</t>
        </is>
      </c>
      <c r="K2" s="20" t="inlineStr">
        <is>
          <t>51</t>
        </is>
      </c>
      <c r="L2" s="20" t="inlineStr">
        <is>
          <t>32</t>
        </is>
      </c>
      <c r="M2" s="20" t="inlineStr">
        <is>
          <t>8/10/2026</t>
        </is>
      </c>
      <c r="N2" s="20" t="inlineStr">
        <is>
          <t>12/1/2025</t>
        </is>
      </c>
      <c r="O2" s="20" t="inlineStr">
        <is>
          <t>Matched by a shorter name. Check the campus.</t>
        </is>
      </c>
      <c r="P2" s="20" t="inlineStr">
        <is>
          <t>THU, October 15, 2026 at 8:48 AM</t>
        </is>
      </c>
      <c r="Q2" s="20" t="inlineStr">
        <is>
          <t>2026-10-16 14:56</t>
        </is>
      </c>
    </row>
    <row r="3">
      <c r="A3" s="20" t="inlineStr">
        <is>
          <t>Browning ES</t>
        </is>
      </c>
      <c r="B3" s="20" t="inlineStr">
        <is>
          <t>Browning Elementary</t>
        </is>
      </c>
      <c r="C3" s="20" t="inlineStr">
        <is>
          <t>2312892</t>
        </is>
      </c>
      <c r="D3" s="20" t="inlineStr">
        <is>
          <t>Inactive</t>
        </is>
      </c>
      <c r="F3" s="20" t="inlineStr">
        <is>
          <t>Yes</t>
        </is>
      </c>
      <c r="G3" s="20" t="inlineStr">
        <is>
          <t>No</t>
        </is>
      </c>
      <c r="H3" s="20" t="inlineStr">
        <is>
          <t>Yes</t>
        </is>
      </c>
      <c r="I3" s="20" t="inlineStr">
        <is>
          <t>Yes</t>
        </is>
      </c>
      <c r="J3" s="20" t="inlineStr">
        <is>
          <t>No</t>
        </is>
      </c>
      <c r="K3" s="20" t="inlineStr">
        <is>
          <t>0</t>
        </is>
      </c>
      <c r="L3" s="20" t="inlineStr">
        <is>
          <t>28</t>
        </is>
      </c>
      <c r="N3" s="20" t="inlineStr">
        <is>
          <t>5/12/2025</t>
        </is>
      </c>
      <c r="P3" s="20" t="inlineStr">
        <is>
          <t>THU, October 15, 2026 at 8:48 AM</t>
        </is>
      </c>
      <c r="Q3" s="20" t="inlineStr">
        <is>
          <t>2026-10-16 14:56</t>
        </is>
      </c>
    </row>
    <row r="4">
      <c r="A4" s="20" t="inlineStr">
        <is>
          <t>Durham ES</t>
        </is>
      </c>
      <c r="B4" s="20" t="inlineStr">
        <is>
          <t>Durham Elementary</t>
        </is>
      </c>
      <c r="C4" s="20" t="inlineStr">
        <is>
          <t>4784</t>
        </is>
      </c>
      <c r="D4" s="20" t="inlineStr">
        <is>
          <t>Good Standing</t>
        </is>
      </c>
      <c r="E4" s="20" t="inlineStr">
        <is>
          <t>10/14/2026</t>
        </is>
      </c>
      <c r="F4" s="20" t="inlineStr">
        <is>
          <t>Yes</t>
        </is>
      </c>
      <c r="G4" s="20" t="inlineStr">
        <is>
          <t>Yes</t>
        </is>
      </c>
      <c r="H4" s="20" t="inlineStr">
        <is>
          <t>Yes</t>
        </is>
      </c>
      <c r="I4" s="20" t="inlineStr">
        <is>
          <t>Yes</t>
        </is>
      </c>
      <c r="J4" s="20" t="inlineStr">
        <is>
          <t>Yes</t>
        </is>
      </c>
      <c r="K4" s="20" t="inlineStr">
        <is>
          <t>21</t>
        </is>
      </c>
      <c r="L4" s="20" t="inlineStr">
        <is>
          <t>312</t>
        </is>
      </c>
      <c r="M4" s="20" t="inlineStr">
        <is>
          <t>10/9/2026</t>
        </is>
      </c>
      <c r="N4" s="20" t="inlineStr">
        <is>
          <t>3/21/2025</t>
        </is>
      </c>
      <c r="P4" s="20" t="inlineStr">
        <is>
          <t>THU, October 15, 2026 at 8:48 AM</t>
        </is>
      </c>
      <c r="Q4" s="20" t="inlineStr">
        <is>
          <t>2026-10-16 14:56</t>
        </is>
      </c>
    </row>
    <row r="5">
      <c r="A5" s="20" t="inlineStr">
        <is>
          <t>Harvard ES</t>
        </is>
      </c>
      <c r="B5" s="20" t="inlineStr">
        <is>
          <t>Harvard Elementary</t>
        </is>
      </c>
      <c r="C5" s="20" t="inlineStr">
        <is>
          <t>4888</t>
        </is>
      </c>
      <c r="D5" s="20" t="inlineStr">
        <is>
          <t>Active</t>
        </is>
      </c>
      <c r="F5" s="20" t="inlineStr">
        <is>
          <t>Yes</t>
        </is>
      </c>
      <c r="G5" s="20" t="inlineStr">
        <is>
          <t>Yes</t>
        </is>
      </c>
      <c r="H5" s="20" t="inlineStr">
        <is>
          <t>Yes</t>
        </is>
      </c>
      <c r="I5" s="20" t="inlineStr">
        <is>
          <t>Yes</t>
        </is>
      </c>
      <c r="J5" s="20" t="inlineStr">
        <is>
          <t>No</t>
        </is>
      </c>
      <c r="K5" s="20" t="inlineStr">
        <is>
          <t>53</t>
        </is>
      </c>
      <c r="L5" s="20" t="inlineStr">
        <is>
          <t>91</t>
        </is>
      </c>
      <c r="M5" s="20" t="inlineStr">
        <is>
          <t>8/17/2026</t>
        </is>
      </c>
      <c r="N5" s="20" t="inlineStr">
        <is>
          <t>7/8/2024</t>
        </is>
      </c>
      <c r="P5" s="20" t="inlineStr">
        <is>
          <t>THU, October 15, 2026 at 8:48 AM</t>
        </is>
      </c>
      <c r="Q5" s="20" t="inlineStr">
        <is>
          <t>2026-10-16 14:56</t>
        </is>
      </c>
    </row>
    <row r="6">
      <c r="A6" s="20" t="inlineStr">
        <is>
          <t>Helms ES</t>
        </is>
      </c>
      <c r="B6" s="20" t="inlineStr">
        <is>
          <t>Helms Elementary</t>
        </is>
      </c>
      <c r="C6" s="20" t="inlineStr">
        <is>
          <t>4892</t>
        </is>
      </c>
      <c r="D6" s="20" t="inlineStr">
        <is>
          <t>Inactive</t>
        </is>
      </c>
      <c r="F6" s="20" t="inlineStr">
        <is>
          <t>Yes</t>
        </is>
      </c>
      <c r="G6" s="20" t="inlineStr">
        <is>
          <t>No</t>
        </is>
      </c>
      <c r="H6" s="20" t="inlineStr">
        <is>
          <t>Yes</t>
        </is>
      </c>
      <c r="I6" s="20" t="inlineStr">
        <is>
          <t>Yes</t>
        </is>
      </c>
      <c r="J6" s="20" t="inlineStr">
        <is>
          <t>No</t>
        </is>
      </c>
      <c r="K6" s="20" t="inlineStr">
        <is>
          <t>0</t>
        </is>
      </c>
      <c r="L6" s="20" t="inlineStr">
        <is>
          <t>338</t>
        </is>
      </c>
      <c r="N6" s="20" t="inlineStr">
        <is>
          <t>1/8/2026</t>
        </is>
      </c>
      <c r="P6" s="20" t="inlineStr">
        <is>
          <t>THU, October 15, 2026 at 8:48 AM</t>
        </is>
      </c>
      <c r="Q6" s="20" t="inlineStr">
        <is>
          <t>2026-10-16 14:56</t>
        </is>
      </c>
    </row>
    <row r="7">
      <c r="A7" s="20" t="inlineStr">
        <is>
          <t>Hogg MS</t>
        </is>
      </c>
      <c r="B7" s="20" t="inlineStr">
        <is>
          <t>Hogg Middle School</t>
        </is>
      </c>
      <c r="C7" s="20" t="inlineStr">
        <is>
          <t>2283554</t>
        </is>
      </c>
      <c r="D7" s="20" t="inlineStr">
        <is>
          <t>Good Standing</t>
        </is>
      </c>
      <c r="E7" s="20" t="inlineStr">
        <is>
          <t>9/24/2026</t>
        </is>
      </c>
      <c r="F7" s="20" t="inlineStr">
        <is>
          <t>Yes</t>
        </is>
      </c>
      <c r="G7" s="20" t="inlineStr">
        <is>
          <t>Yes</t>
        </is>
      </c>
      <c r="H7" s="20" t="inlineStr">
        <is>
          <t>Yes</t>
        </is>
      </c>
      <c r="I7" s="20" t="inlineStr">
        <is>
          <t>Yes</t>
        </is>
      </c>
      <c r="J7" s="20" t="inlineStr">
        <is>
          <t>Yes</t>
        </is>
      </c>
      <c r="K7" s="20" t="inlineStr">
        <is>
          <t>287</t>
        </is>
      </c>
      <c r="L7" s="20" t="inlineStr">
        <is>
          <t>237</t>
        </is>
      </c>
      <c r="M7" s="20" t="inlineStr">
        <is>
          <t>9/24/2026</t>
        </is>
      </c>
      <c r="N7" s="20" t="inlineStr">
        <is>
          <t>3/30/2026</t>
        </is>
      </c>
      <c r="P7" s="20" t="inlineStr">
        <is>
          <t>THU, October 15, 2026 at 8:48 AM</t>
        </is>
      </c>
      <c r="Q7" s="20" t="inlineStr">
        <is>
          <t>2026-10-16 14:56</t>
        </is>
      </c>
    </row>
    <row r="8">
      <c r="A8" s="20" t="inlineStr">
        <is>
          <t>Ketelsen ES</t>
        </is>
      </c>
      <c r="B8" s="20" t="inlineStr">
        <is>
          <t>Ketelsen</t>
        </is>
      </c>
      <c r="C8" s="20" t="inlineStr">
        <is>
          <t>2312525</t>
        </is>
      </c>
      <c r="D8" s="20" t="inlineStr">
        <is>
          <t>Inactive</t>
        </is>
      </c>
      <c r="F8" s="20" t="inlineStr">
        <is>
          <t>Yes</t>
        </is>
      </c>
      <c r="G8" s="20" t="inlineStr">
        <is>
          <t>No</t>
        </is>
      </c>
      <c r="H8" s="20" t="inlineStr">
        <is>
          <t>No</t>
        </is>
      </c>
      <c r="I8" s="20" t="inlineStr">
        <is>
          <t>Yes</t>
        </is>
      </c>
      <c r="J8" s="20" t="inlineStr">
        <is>
          <t>Yes</t>
        </is>
      </c>
      <c r="K8" s="20" t="inlineStr">
        <is>
          <t>9</t>
        </is>
      </c>
      <c r="L8" s="20" t="inlineStr">
        <is>
          <t>26</t>
        </is>
      </c>
      <c r="N8" s="20" t="inlineStr">
        <is>
          <t>9/15/2022</t>
        </is>
      </c>
      <c r="P8" s="20" t="inlineStr">
        <is>
          <t>THU, October 15, 2026 at 8:48 AM</t>
        </is>
      </c>
      <c r="Q8" s="20" t="inlineStr">
        <is>
          <t>2026-10-16 14:56</t>
        </is>
      </c>
    </row>
    <row r="9">
      <c r="A9" s="20" t="inlineStr">
        <is>
          <t>Oak Forest ES</t>
        </is>
      </c>
      <c r="B9" s="20" t="inlineStr">
        <is>
          <t>Oak Forest Elementary</t>
        </is>
      </c>
      <c r="C9" s="20" t="inlineStr">
        <is>
          <t>5124</t>
        </is>
      </c>
      <c r="D9" s="20" t="inlineStr">
        <is>
          <t>Good Standing</t>
        </is>
      </c>
      <c r="E9" s="20" t="inlineStr">
        <is>
          <t>9/9/2026</t>
        </is>
      </c>
      <c r="F9" s="20" t="inlineStr">
        <is>
          <t>Yes</t>
        </is>
      </c>
      <c r="G9" s="20" t="inlineStr">
        <is>
          <t>Yes</t>
        </is>
      </c>
      <c r="H9" s="20" t="inlineStr">
        <is>
          <t>Yes</t>
        </is>
      </c>
      <c r="I9" s="20" t="inlineStr">
        <is>
          <t>Yes</t>
        </is>
      </c>
      <c r="J9" s="20" t="inlineStr">
        <is>
          <t>Yes</t>
        </is>
      </c>
      <c r="K9" s="20" t="inlineStr">
        <is>
          <t>689</t>
        </is>
      </c>
      <c r="L9" s="20" t="inlineStr">
        <is>
          <t>744</t>
        </is>
      </c>
      <c r="M9" s="20" t="inlineStr">
        <is>
          <t>9/3/2026</t>
        </is>
      </c>
      <c r="N9" s="20" t="inlineStr">
        <is>
          <t>6/2/26</t>
        </is>
      </c>
      <c r="P9" s="20" t="inlineStr">
        <is>
          <t>THU, October 15, 2026 at 8:48 AM</t>
        </is>
      </c>
      <c r="Q9" s="20" t="inlineStr">
        <is>
          <t>2026-10-16 14:56</t>
        </is>
      </c>
    </row>
    <row r="10">
      <c r="A10" s="20" t="inlineStr">
        <is>
          <t>South EC HS</t>
        </is>
      </c>
      <c r="B10" s="20" t="inlineStr">
        <is>
          <t>South Early Community</t>
        </is>
      </c>
      <c r="C10" s="20" t="inlineStr">
        <is>
          <t>2223725</t>
        </is>
      </c>
      <c r="D10" s="20" t="inlineStr">
        <is>
          <t>Inactive</t>
        </is>
      </c>
      <c r="F10" s="20" t="inlineStr">
        <is>
          <t>Yes</t>
        </is>
      </c>
      <c r="G10" s="20" t="inlineStr">
        <is>
          <t>No</t>
        </is>
      </c>
      <c r="H10" s="20" t="inlineStr">
        <is>
          <t>Yes</t>
        </is>
      </c>
      <c r="I10" s="20" t="inlineStr">
        <is>
          <t>Yes</t>
        </is>
      </c>
      <c r="J10" s="20" t="inlineStr">
        <is>
          <t>No</t>
        </is>
      </c>
      <c r="K10" s="20" t="inlineStr">
        <is>
          <t>0</t>
        </is>
      </c>
      <c r="L10" s="20" t="inlineStr">
        <is>
          <t>71</t>
        </is>
      </c>
      <c r="N10" s="20" t="inlineStr">
        <is>
          <t>9/11/2024</t>
        </is>
      </c>
      <c r="P10" s="20" t="inlineStr">
        <is>
          <t>THU, October 15, 2026 at 8:48 AM</t>
        </is>
      </c>
      <c r="Q10" s="20" t="inlineStr">
        <is>
          <t>2026-10-16 14:56</t>
        </is>
      </c>
    </row>
    <row r="11">
      <c r="A11" s="20" t="inlineStr">
        <is>
          <t>Tijerina ES</t>
        </is>
      </c>
      <c r="B11" s="20" t="inlineStr">
        <is>
          <t>Tijerina Elementary</t>
        </is>
      </c>
      <c r="C11" s="20" t="inlineStr">
        <is>
          <t>5328</t>
        </is>
      </c>
      <c r="D11" s="20" t="inlineStr">
        <is>
          <t>Inactive</t>
        </is>
      </c>
      <c r="F11" s="20" t="inlineStr">
        <is>
          <t>No</t>
        </is>
      </c>
      <c r="G11" s="20" t="inlineStr">
        <is>
          <t>No</t>
        </is>
      </c>
      <c r="H11" s="20" t="inlineStr">
        <is>
          <t>Yes</t>
        </is>
      </c>
      <c r="I11" s="20" t="inlineStr">
        <is>
          <t>Yes</t>
        </is>
      </c>
      <c r="J11" s="20" t="inlineStr">
        <is>
          <t>No</t>
        </is>
      </c>
      <c r="K11" s="20" t="inlineStr">
        <is>
          <t>0</t>
        </is>
      </c>
      <c r="L11" s="20" t="inlineStr">
        <is>
          <t>29</t>
        </is>
      </c>
      <c r="N11" s="20" t="inlineStr">
        <is>
          <t>3/7/2024</t>
        </is>
      </c>
      <c r="P11" s="20" t="inlineStr">
        <is>
          <t>THU, October 15, 2026 at 8:48 AM</t>
        </is>
      </c>
      <c r="Q11" s="20" t="inlineStr">
        <is>
          <t>2026-10-16 14:56</t>
        </is>
      </c>
    </row>
    <row r="12">
      <c r="A12" s="20" t="inlineStr">
        <is>
          <t>Travis ES</t>
        </is>
      </c>
      <c r="B12" s="20" t="inlineStr">
        <is>
          <t>William B. Travis Elementary</t>
        </is>
      </c>
      <c r="C12" s="20" t="inlineStr">
        <is>
          <t>5332</t>
        </is>
      </c>
      <c r="D12" s="20" t="inlineStr">
        <is>
          <t>Good Standing</t>
        </is>
      </c>
      <c r="E12" s="20" t="inlineStr">
        <is>
          <t>9/9/2026</t>
        </is>
      </c>
      <c r="F12" s="20" t="inlineStr">
        <is>
          <t>Yes</t>
        </is>
      </c>
      <c r="G12" s="20" t="inlineStr">
        <is>
          <t>Yes</t>
        </is>
      </c>
      <c r="H12" s="20" t="inlineStr">
        <is>
          <t>Yes</t>
        </is>
      </c>
      <c r="I12" s="20" t="inlineStr">
        <is>
          <t>Yes</t>
        </is>
      </c>
      <c r="J12" s="20" t="inlineStr">
        <is>
          <t>Yes</t>
        </is>
      </c>
      <c r="K12" s="20" t="inlineStr">
        <is>
          <t>412</t>
        </is>
      </c>
      <c r="L12" s="20" t="inlineStr">
        <is>
          <t>368</t>
        </is>
      </c>
      <c r="M12" s="20" t="inlineStr">
        <is>
          <t>8/1/2026</t>
        </is>
      </c>
      <c r="N12" s="20" t="inlineStr">
        <is>
          <t>8/11/2025</t>
        </is>
      </c>
      <c r="O12" s="20" t="inlineStr">
        <is>
          <t>Matched by a shorter name. Check the campus.</t>
        </is>
      </c>
      <c r="P12" s="20" t="inlineStr">
        <is>
          <t>THU, October 15, 2026 at 8:48 AM</t>
        </is>
      </c>
      <c r="Q12" s="20" t="inlineStr">
        <is>
          <t>2026-10-16 14:56</t>
        </is>
      </c>
    </row>
  </sheetData>
  <pageMargins left="0.75" right="0.75" top="1" bottom="1" header="0.5" footer="0.5"/>
</worksheet>
</file>

<file path=xl/worksheets/sheet13.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2026-10-16T21:20:47Z</dcterms:modified>
  <cp:revision>0</cp:revision>
</cp:coreProperties>
</file>