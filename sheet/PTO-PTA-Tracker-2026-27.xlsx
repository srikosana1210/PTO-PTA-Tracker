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Roster Match Notes" sheetId="11" state="visible" r:id="rId11"/>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7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Received.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Articles of incorporation and liability and property insurance are tracked when a PTO/PTA sends them, but are not needed. A reviewer can mark any document Not Needed for a PTO/PTA (for example a PTA that Texas PTA covers); it then counts as done.</t>
        </is>
      </c>
    </row>
    <row r="9" ht="27.75" customHeight="1" s="21">
      <c r="A9" s="26" t="inlineStr">
        <is>
          <t>Item status: Not Received, Received (waiting for review), Accepted, Needs Correction, or Not Needed. Accepted and Not Needed count. The form sets Received; a reviewer checks each document off on the dashboard (or in the Campus Register tab).</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seven lines below, with exactly this wording. For each one allow PDF, Document and Image, maximum 5 files, 100 MB, and leave Required off. The Insurance question must still start with the word Insurance; "Optional" in its title tells the person filling in the form that it can be skipped.</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inlineStr">
        <is>
          <t xml:space="preserve">      Articles of Incorporation</t>
        </is>
      </c>
    </row>
    <row r="22" ht="15" customHeight="1" s="21">
      <c r="A22" s="26" t="inlineStr">
        <is>
          <t xml:space="preserve">      Insurance (liability and property). Optional</t>
        </is>
      </c>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is renamed to school year - item - campus (for example 2026-27 - Bylaws - Campus Name.pdf), filed in the campus folder and logged. If a file with that name already exists it is kept and the new one gets the date added.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15" customHeight="1" s="21">
      <c r="A39" s="25" t="inlineStr">
        <is>
          <t>Reviewing (staff, in this sheet)</t>
        </is>
      </c>
    </row>
    <row r="40" ht="27.75" customHeight="1" s="21">
      <c r="A40" s="26" t="inlineStr">
        <is>
          <t>C1 Coordinators review their own campuses on the dashboard (see C1 review, below). Staff can also review here, and can change anything a C1 did.</t>
        </is>
      </c>
    </row>
    <row r="41" ht="27.75" customHeight="1" s="21">
      <c r="A41" s="26" t="inlineStr">
        <is>
          <t>1. In Campus Register, filter Items Awaiting Review to greater than 0. Open each file from its link in Submission Log and check it against the list below.</t>
        </is>
      </c>
    </row>
    <row r="42" ht="27.75" customHeight="1" s="21">
      <c r="A42" s="26" t="inlineStr">
        <is>
          <t>2. Change the item to Accepted, or to Needs Correction (put the reason in Notes on that document's Submission Log row). Only Accepted counts toward Registered and Legalized.</t>
        </is>
      </c>
    </row>
    <row r="43" ht="42" customHeight="1" s="21">
      <c r="A43"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44" ht="15" customHeight="1" s="21">
      <c r="A44" s="26" t="inlineStr">
        <is>
          <t>4. Filter Has PTO or PTA to Not Yet Confirmed and ask each campus's coordinator to confirm Yes or No.</t>
        </is>
      </c>
    </row>
    <row r="45" ht="15" customHeight="1" s="21">
      <c r="A45" s="25" t="inlineStr">
        <is>
          <t>C1 review and sign-ins: C1 Coordinators and FACE staff approve documents on the dashboard</t>
        </is>
      </c>
    </row>
    <row r="46" ht="42" customHeight="1" s="21">
      <c r="A46"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47" ht="69.75" customHeight="1" s="21">
      <c r="A47"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48" ht="55.5" customHeight="1" s="21">
      <c r="A48"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49" ht="97.5" customHeight="1" s="21">
      <c r="A49"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0" ht="42" customHeight="1" s="21">
      <c r="A50"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1" ht="55.5" customHeight="1" s="21">
      <c r="A51"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2" ht="42" customHeight="1" s="21">
      <c r="A52"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53" ht="15" customHeight="1" s="21">
      <c r="A53" s="25" t="inlineStr">
        <is>
          <t>Accepted means</t>
        </is>
      </c>
    </row>
    <row r="54" ht="15" customHeight="1" s="21">
      <c r="A54" s="26" t="inlineStr">
        <is>
          <t>Bylaws (Registered and Legalized): The organization's bylaws are on file.</t>
        </is>
      </c>
    </row>
    <row r="55" ht="27.75" customHeight="1" s="21">
      <c r="A55" s="26" t="inlineStr">
        <is>
          <t>Officer Information (Registered and Legalized): The organization has submitted the HISD Parent Organization Officer Update Form listing its officers. It is filled in again at the start of each school year and whenever officers change.</t>
        </is>
      </c>
    </row>
    <row r="56" ht="27.75" customHeight="1" s="21">
      <c r="A56" s="26" t="inlineStr">
        <is>
          <t>Training Certificate (Registered and Legalized): The completion certificate from the annual online training (President or designee) is on file.</t>
        </is>
      </c>
    </row>
    <row r="57" ht="15" customHeight="1" s="21">
      <c r="A57" s="26" t="inlineStr">
        <is>
          <t>Budget or Financial Report (Legalized): An annual budget report, or meeting minutes showing the budget was approved.</t>
        </is>
      </c>
    </row>
    <row r="58" ht="15" customHeight="1" s="21">
      <c r="A58" s="26" t="inlineStr">
        <is>
          <t>Proof of 501c Status (Legalized): Proof of 501(c) status is on file.</t>
        </is>
      </c>
    </row>
    <row r="59" ht="27.75" customHeight="1" s="21">
      <c r="A59" s="26" t="inlineStr">
        <is>
          <t>Bank Verification Letter (Legalized): Bank account verification letter from financial institution listing two authorized account signers. The Tax ID (EIN) letter is no longer needed.</t>
        </is>
      </c>
    </row>
    <row r="60" ht="15" customHeight="1" s="21">
      <c r="A60" s="26" t="inlineStr">
        <is>
          <t>Articles of Incorporation (not needed): Filed Articles of Incorporation are on file. Tracked when a PTO/PTA sends them; not needed to be Registered or Legalized. One-time: carried into next year.</t>
        </is>
      </c>
    </row>
    <row r="61" ht="27.75" customHeight="1" s="21">
      <c r="A61" s="26" t="inlineStr">
        <is>
          <t>Insurance (Optional): Liability and property insurance is on file. Not needed to be Legalized: PTOs and PTAs that do not have it can leave it out.</t>
        </is>
      </c>
    </row>
    <row r="62" ht="15" customHeight="1" s="21">
      <c r="A62" s="25" t="inlineStr">
        <is>
          <t>The dashboard</t>
        </is>
      </c>
    </row>
    <row r="63" ht="84" customHeight="1" s="21">
      <c r="A63"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64" ht="111.75" customHeight="1" s="21">
      <c r="A64"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65" ht="15" customHeight="1" s="21">
      <c r="A65" s="25" t="inlineStr">
        <is>
          <t>Who can see officer details</t>
        </is>
      </c>
    </row>
    <row r="66" ht="42" customHeight="1" s="21">
      <c r="A66" s="26" t="inlineStr">
        <is>
          <t>Leadership, meaning anyone who opens the address without signing in, sees campus status, the eight-item checklist, document dates and how many documents are waiting. Officer names, emails and phone numbers, file names and links, notes and who reviewed what are not hidden on the page: they are not sent to the browser at all until someone signs in.</t>
        </is>
      </c>
    </row>
    <row r="67" ht="55.5" customHeight="1" s="21">
      <c r="A67"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68" ht="27.75" customHeight="1" s="21">
      <c r="A68" s="26" t="inlineStr">
        <is>
          <t>This has not been tried on a real Google account yet. After setup, open the address in a private window and confirm that no officer details show, then sign in as a C1 and as FACE staff and confirm what each can see.</t>
        </is>
      </c>
    </row>
    <row r="69" ht="15" customHeight="1" s="21">
      <c r="A69" s="25" t="inlineStr">
        <is>
          <t>Each school year</t>
        </is>
      </c>
    </row>
    <row r="70" ht="42" customHeight="1" s="21">
      <c r="A70" s="26" t="inlineStr">
        <is>
          <t>In July choose PTO/PTA Tracker &gt; Start a new school year. It copies every campus into the new year, keeps Articles of Incorporation, and resets the other seven items to Not Received. Check Area Office if campus assignments changed. The dashboard switches to the new year by itself.</t>
        </is>
      </c>
    </row>
    <row r="71" ht="15" customHeight="1" s="21">
      <c r="A71" s="25" t="inlineStr">
        <is>
          <t>Rules for the sheet</t>
        </is>
      </c>
    </row>
    <row r="72" ht="97.5" customHeight="1" s="21">
      <c r="A72"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73" ht="15" customHeight="1" s="21">
      <c r="A73" s="25" t="inlineStr">
        <is>
          <t>What is deliberately not in these files</t>
        </is>
      </c>
    </row>
    <row r="74" ht="42" customHeight="1" s="21">
      <c r="A74"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75" ht="15" customHeight="1" s="21">
      <c r="A75" s="25" t="inlineStr">
        <is>
          <t>Accounts</t>
        </is>
      </c>
    </row>
    <row r="76" ht="55.5" customHeight="1" s="21">
      <c r="A76"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77" ht="15" customHeight="1" s="21">
      <c r="A77" s="25" t="inlineStr">
        <is>
          <t>Decisions and assumptions</t>
        </is>
      </c>
    </row>
    <row r="78" ht="279.75" customHeight="1" s="21">
      <c r="A78"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Confirmed",IF($Q2&gt;=Settings!$C$13,"Legalized",IF($P2&gt;=Settings!$C$12,"Registered",IF($O2&gt;0,"In Progress","Not Started"))))))</f>
        <v/>
      </c>
      <c r="S2" s="32">
        <f>IF($B2="","",COUNTIF(G2:N2,"Received"))</f>
        <v/>
      </c>
      <c r="T2" s="32">
        <f>IF($B2="","",COUNTIF(G2:N2,"Needs Correction"))</f>
        <v/>
      </c>
      <c r="U2" s="33">
        <f>IF($B2="","",IF($D2&lt;&gt;"Yes","",IF($Q2&gt;=Settings!$C$13,"None",MID(IF(AND(G2&lt;&gt;"Accepted",G2&lt;&gt;"Not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Confirmed",IF($Q3&gt;=Settings!$C$13,"Legalized",IF($P3&gt;=Settings!$C$12,"Registered",IF($O3&gt;0,"In Progress","Not Started"))))))</f>
        <v/>
      </c>
      <c r="S3" s="32">
        <f>IF($B3="","",COUNTIF(G3:N3,"Received"))</f>
        <v/>
      </c>
      <c r="T3" s="32">
        <f>IF($B3="","",COUNTIF(G3:N3,"Needs Correction"))</f>
        <v/>
      </c>
      <c r="U3" s="33">
        <f>IF($B3="","",IF($D3&lt;&gt;"Yes","",IF($Q3&gt;=Settings!$C$13,"None",MID(IF(AND(G3&lt;&gt;"Accepted",G3&lt;&gt;"Not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Confirmed",IF($Q4&gt;=Settings!$C$13,"Legalized",IF($P4&gt;=Settings!$C$12,"Registered",IF($O4&gt;0,"In Progress","Not Started"))))))</f>
        <v/>
      </c>
      <c r="S4" s="32">
        <f>IF($B4="","",COUNTIF(G4:N4,"Received"))</f>
        <v/>
      </c>
      <c r="T4" s="32">
        <f>IF($B4="","",COUNTIF(G4:N4,"Needs Correction"))</f>
        <v/>
      </c>
      <c r="U4" s="33">
        <f>IF($B4="","",IF($D4&lt;&gt;"Yes","",IF($Q4&gt;=Settings!$C$13,"None",MID(IF(AND(G4&lt;&gt;"Accepted",G4&lt;&gt;"Not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Confirmed",IF($Q5&gt;=Settings!$C$13,"Legalized",IF($P5&gt;=Settings!$C$12,"Registered",IF($O5&gt;0,"In Progress","Not Started"))))))</f>
        <v/>
      </c>
      <c r="S5" s="32">
        <f>IF($B5="","",COUNTIF(G5:N5,"Received"))</f>
        <v/>
      </c>
      <c r="T5" s="32">
        <f>IF($B5="","",COUNTIF(G5:N5,"Needs Correction"))</f>
        <v/>
      </c>
      <c r="U5" s="33">
        <f>IF($B5="","",IF($D5&lt;&gt;"Yes","",IF($Q5&gt;=Settings!$C$13,"None",MID(IF(AND(G5&lt;&gt;"Accepted",G5&lt;&gt;"Not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Confirmed",IF($Q6&gt;=Settings!$C$13,"Legalized",IF($P6&gt;=Settings!$C$12,"Registered",IF($O6&gt;0,"In Progress","Not Started"))))))</f>
        <v/>
      </c>
      <c r="S6" s="32">
        <f>IF($B6="","",COUNTIF(G6:N6,"Received"))</f>
        <v/>
      </c>
      <c r="T6" s="32">
        <f>IF($B6="","",COUNTIF(G6:N6,"Needs Correction"))</f>
        <v/>
      </c>
      <c r="U6" s="33">
        <f>IF($B6="","",IF($D6&lt;&gt;"Yes","",IF($Q6&gt;=Settings!$C$13,"None",MID(IF(AND(G6&lt;&gt;"Accepted",G6&lt;&gt;"Not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Yet Confirmed</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Confirmed",IF($Q7&gt;=Settings!$C$13,"Legalized",IF($P7&gt;=Settings!$C$12,"Registered",IF($O7&gt;0,"In Progress","Not Started"))))))</f>
        <v/>
      </c>
      <c r="S7" s="32">
        <f>IF($B7="","",COUNTIF(G7:N7,"Received"))</f>
        <v/>
      </c>
      <c r="T7" s="32">
        <f>IF($B7="","",COUNTIF(G7:N7,"Needs Correction"))</f>
        <v/>
      </c>
      <c r="U7" s="33">
        <f>IF($B7="","",IF($D7&lt;&gt;"Yes","",IF($Q7&gt;=Settings!$C$13,"None",MID(IF(AND(G7&lt;&gt;"Accepted",G7&lt;&gt;"Not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Yet Confirmed</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Confirmed",IF($Q8&gt;=Settings!$C$13,"Legalized",IF($P8&gt;=Settings!$C$12,"Registered",IF($O8&gt;0,"In Progress","Not Started"))))))</f>
        <v/>
      </c>
      <c r="S8" s="32">
        <f>IF($B8="","",COUNTIF(G8:N8,"Received"))</f>
        <v/>
      </c>
      <c r="T8" s="32">
        <f>IF($B8="","",COUNTIF(G8:N8,"Needs Correction"))</f>
        <v/>
      </c>
      <c r="U8" s="33">
        <f>IF($B8="","",IF($D8&lt;&gt;"Yes","",IF($Q8&gt;=Settings!$C$13,"None",MID(IF(AND(G8&lt;&gt;"Accepted",G8&lt;&gt;"Not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Confirmed",IF($Q9&gt;=Settings!$C$13,"Legalized",IF($P9&gt;=Settings!$C$12,"Registered",IF($O9&gt;0,"In Progress","Not Started"))))))</f>
        <v/>
      </c>
      <c r="S9" s="32">
        <f>IF($B9="","",COUNTIF(G9:N9,"Received"))</f>
        <v/>
      </c>
      <c r="T9" s="32">
        <f>IF($B9="","",COUNTIF(G9:N9,"Needs Correction"))</f>
        <v/>
      </c>
      <c r="U9" s="33">
        <f>IF($B9="","",IF($D9&lt;&gt;"Yes","",IF($Q9&gt;=Settings!$C$13,"None",MID(IF(AND(G9&lt;&gt;"Accepted",G9&lt;&gt;"Not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Confirmed",IF($Q10&gt;=Settings!$C$13,"Legalized",IF($P10&gt;=Settings!$C$12,"Registered",IF($O10&gt;0,"In Progress","Not Started"))))))</f>
        <v/>
      </c>
      <c r="S10" s="32">
        <f>IF($B10="","",COUNTIF(G10:N10,"Received"))</f>
        <v/>
      </c>
      <c r="T10" s="32">
        <f>IF($B10="","",COUNTIF(G10:N10,"Needs Correction"))</f>
        <v/>
      </c>
      <c r="U10" s="33">
        <f>IF($B10="","",IF($D10&lt;&gt;"Yes","",IF($Q10&gt;=Settings!$C$13,"None",MID(IF(AND(G10&lt;&gt;"Accepted",G10&lt;&gt;"Not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Confirmed",IF($Q11&gt;=Settings!$C$13,"Legalized",IF($P11&gt;=Settings!$C$12,"Registered",IF($O11&gt;0,"In Progress","Not Started"))))))</f>
        <v/>
      </c>
      <c r="S11" s="32">
        <f>IF($B11="","",COUNTIF(G11:N11,"Received"))</f>
        <v/>
      </c>
      <c r="T11" s="32">
        <f>IF($B11="","",COUNTIF(G11:N11,"Needs Correction"))</f>
        <v/>
      </c>
      <c r="U11" s="33">
        <f>IF($B11="","",IF($D11&lt;&gt;"Yes","",IF($Q11&gt;=Settings!$C$13,"None",MID(IF(AND(G11&lt;&gt;"Accepted",G11&lt;&gt;"Not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Confirmed",IF($Q12&gt;=Settings!$C$13,"Legalized",IF($P12&gt;=Settings!$C$12,"Registered",IF($O12&gt;0,"In Progress","Not Started"))))))</f>
        <v/>
      </c>
      <c r="S12" s="32">
        <f>IF($B12="","",COUNTIF(G12:N12,"Received"))</f>
        <v/>
      </c>
      <c r="T12" s="32">
        <f>IF($B12="","",COUNTIF(G12:N12,"Needs Correction"))</f>
        <v/>
      </c>
      <c r="U12" s="33">
        <f>IF($B12="","",IF($D12&lt;&gt;"Yes","",IF($Q12&gt;=Settings!$C$13,"None",MID(IF(AND(G12&lt;&gt;"Accepted",G12&lt;&gt;"Not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Confirmed",IF($Q13&gt;=Settings!$C$13,"Legalized",IF($P13&gt;=Settings!$C$12,"Registered",IF($O13&gt;0,"In Progress","Not Started"))))))</f>
        <v/>
      </c>
      <c r="S13" s="32">
        <f>IF($B13="","",COUNTIF(G13:N13,"Received"))</f>
        <v/>
      </c>
      <c r="T13" s="32">
        <f>IF($B13="","",COUNTIF(G13:N13,"Needs Correction"))</f>
        <v/>
      </c>
      <c r="U13" s="33">
        <f>IF($B13="","",IF($D13&lt;&gt;"Yes","",IF($Q13&gt;=Settings!$C$13,"None",MID(IF(AND(G13&lt;&gt;"Accepted",G13&lt;&gt;"Not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Yet Confirmed</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Confirmed",IF($Q14&gt;=Settings!$C$13,"Legalized",IF($P14&gt;=Settings!$C$12,"Registered",IF($O14&gt;0,"In Progress","Not Started"))))))</f>
        <v/>
      </c>
      <c r="S14" s="32">
        <f>IF($B14="","",COUNTIF(G14:N14,"Received"))</f>
        <v/>
      </c>
      <c r="T14" s="32">
        <f>IF($B14="","",COUNTIF(G14:N14,"Needs Correction"))</f>
        <v/>
      </c>
      <c r="U14" s="33">
        <f>IF($B14="","",IF($D14&lt;&gt;"Yes","",IF($Q14&gt;=Settings!$C$13,"None",MID(IF(AND(G14&lt;&gt;"Accepted",G14&lt;&gt;"Not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Confirmed",IF($Q15&gt;=Settings!$C$13,"Legalized",IF($P15&gt;=Settings!$C$12,"Registered",IF($O15&gt;0,"In Progress","Not Started"))))))</f>
        <v/>
      </c>
      <c r="S15" s="32">
        <f>IF($B15="","",COUNTIF(G15:N15,"Received"))</f>
        <v/>
      </c>
      <c r="T15" s="32">
        <f>IF($B15="","",COUNTIF(G15:N15,"Needs Correction"))</f>
        <v/>
      </c>
      <c r="U15" s="33">
        <f>IF($B15="","",IF($D15&lt;&gt;"Yes","",IF($Q15&gt;=Settings!$C$13,"None",MID(IF(AND(G15&lt;&gt;"Accepted",G15&lt;&gt;"Not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Confirmed",IF($Q16&gt;=Settings!$C$13,"Legalized",IF($P16&gt;=Settings!$C$12,"Registered",IF($O16&gt;0,"In Progress","Not Started"))))))</f>
        <v/>
      </c>
      <c r="S16" s="32">
        <f>IF($B16="","",COUNTIF(G16:N16,"Received"))</f>
        <v/>
      </c>
      <c r="T16" s="32">
        <f>IF($B16="","",COUNTIF(G16:N16,"Needs Correction"))</f>
        <v/>
      </c>
      <c r="U16" s="33">
        <f>IF($B16="","",IF($D16&lt;&gt;"Yes","",IF($Q16&gt;=Settings!$C$13,"None",MID(IF(AND(G16&lt;&gt;"Accepted",G16&lt;&gt;"Not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Confirmed",IF($Q17&gt;=Settings!$C$13,"Legalized",IF($P17&gt;=Settings!$C$12,"Registered",IF($O17&gt;0,"In Progress","Not Started"))))))</f>
        <v/>
      </c>
      <c r="S17" s="32">
        <f>IF($B17="","",COUNTIF(G17:N17,"Received"))</f>
        <v/>
      </c>
      <c r="T17" s="32">
        <f>IF($B17="","",COUNTIF(G17:N17,"Needs Correction"))</f>
        <v/>
      </c>
      <c r="U17" s="33">
        <f>IF($B17="","",IF($D17&lt;&gt;"Yes","",IF($Q17&gt;=Settings!$C$13,"None",MID(IF(AND(G17&lt;&gt;"Accepted",G17&lt;&gt;"Not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Confirmed",IF($Q18&gt;=Settings!$C$13,"Legalized",IF($P18&gt;=Settings!$C$12,"Registered",IF($O18&gt;0,"In Progress","Not Started"))))))</f>
        <v/>
      </c>
      <c r="S18" s="32">
        <f>IF($B18="","",COUNTIF(G18:N18,"Received"))</f>
        <v/>
      </c>
      <c r="T18" s="32">
        <f>IF($B18="","",COUNTIF(G18:N18,"Needs Correction"))</f>
        <v/>
      </c>
      <c r="U18" s="33">
        <f>IF($B18="","",IF($D18&lt;&gt;"Yes","",IF($Q18&gt;=Settings!$C$13,"None",MID(IF(AND(G18&lt;&gt;"Accepted",G18&lt;&gt;"Not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Confirmed",IF($Q19&gt;=Settings!$C$13,"Legalized",IF($P19&gt;=Settings!$C$12,"Registered",IF($O19&gt;0,"In Progress","Not Started"))))))</f>
        <v/>
      </c>
      <c r="S19" s="32">
        <f>IF($B19="","",COUNTIF(G19:N19,"Received"))</f>
        <v/>
      </c>
      <c r="T19" s="32">
        <f>IF($B19="","",COUNTIF(G19:N19,"Needs Correction"))</f>
        <v/>
      </c>
      <c r="U19" s="33">
        <f>IF($B19="","",IF($D19&lt;&gt;"Yes","",IF($Q19&gt;=Settings!$C$13,"None",MID(IF(AND(G19&lt;&gt;"Accepted",G19&lt;&gt;"Not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Confirmed",IF($Q20&gt;=Settings!$C$13,"Legalized",IF($P20&gt;=Settings!$C$12,"Registered",IF($O20&gt;0,"In Progress","Not Started"))))))</f>
        <v/>
      </c>
      <c r="S20" s="32">
        <f>IF($B20="","",COUNTIF(G20:N20,"Received"))</f>
        <v/>
      </c>
      <c r="T20" s="32">
        <f>IF($B20="","",COUNTIF(G20:N20,"Needs Correction"))</f>
        <v/>
      </c>
      <c r="U20" s="33">
        <f>IF($B20="","",IF($D20&lt;&gt;"Yes","",IF($Q20&gt;=Settings!$C$13,"None",MID(IF(AND(G20&lt;&gt;"Accepted",G20&lt;&gt;"Not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Confirmed",IF($Q21&gt;=Settings!$C$13,"Legalized",IF($P21&gt;=Settings!$C$12,"Registered",IF($O21&gt;0,"In Progress","Not Started"))))))</f>
        <v/>
      </c>
      <c r="S21" s="32">
        <f>IF($B21="","",COUNTIF(G21:N21,"Received"))</f>
        <v/>
      </c>
      <c r="T21" s="32">
        <f>IF($B21="","",COUNTIF(G21:N21,"Needs Correction"))</f>
        <v/>
      </c>
      <c r="U21" s="33">
        <f>IF($B21="","",IF($D21&lt;&gt;"Yes","",IF($Q21&gt;=Settings!$C$13,"None",MID(IF(AND(G21&lt;&gt;"Accepted",G21&lt;&gt;"Not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Confirmed",IF($Q22&gt;=Settings!$C$13,"Legalized",IF($P22&gt;=Settings!$C$12,"Registered",IF($O22&gt;0,"In Progress","Not Started"))))))</f>
        <v/>
      </c>
      <c r="S22" s="32">
        <f>IF($B22="","",COUNTIF(G22:N22,"Received"))</f>
        <v/>
      </c>
      <c r="T22" s="32">
        <f>IF($B22="","",COUNTIF(G22:N22,"Needs Correction"))</f>
        <v/>
      </c>
      <c r="U22" s="33">
        <f>IF($B22="","",IF($D22&lt;&gt;"Yes","",IF($Q22&gt;=Settings!$C$13,"None",MID(IF(AND(G22&lt;&gt;"Accepted",G22&lt;&gt;"Not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Yet Confirmed</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Confirmed",IF($Q23&gt;=Settings!$C$13,"Legalized",IF($P23&gt;=Settings!$C$12,"Registered",IF($O23&gt;0,"In Progress","Not Started"))))))</f>
        <v/>
      </c>
      <c r="S23" s="32">
        <f>IF($B23="","",COUNTIF(G23:N23,"Received"))</f>
        <v/>
      </c>
      <c r="T23" s="32">
        <f>IF($B23="","",COUNTIF(G23:N23,"Needs Correction"))</f>
        <v/>
      </c>
      <c r="U23" s="33">
        <f>IF($B23="","",IF($D23&lt;&gt;"Yes","",IF($Q23&gt;=Settings!$C$13,"None",MID(IF(AND(G23&lt;&gt;"Accepted",G23&lt;&gt;"Not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Confirmed",IF($Q24&gt;=Settings!$C$13,"Legalized",IF($P24&gt;=Settings!$C$12,"Registered",IF($O24&gt;0,"In Progress","Not Started"))))))</f>
        <v/>
      </c>
      <c r="S24" s="32">
        <f>IF($B24="","",COUNTIF(G24:N24,"Received"))</f>
        <v/>
      </c>
      <c r="T24" s="32">
        <f>IF($B24="","",COUNTIF(G24:N24,"Needs Correction"))</f>
        <v/>
      </c>
      <c r="U24" s="33">
        <f>IF($B24="","",IF($D24&lt;&gt;"Yes","",IF($Q24&gt;=Settings!$C$13,"None",MID(IF(AND(G24&lt;&gt;"Accepted",G24&lt;&gt;"Not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Confirmed",IF($Q25&gt;=Settings!$C$13,"Legalized",IF($P25&gt;=Settings!$C$12,"Registered",IF($O25&gt;0,"In Progress","Not Started"))))))</f>
        <v/>
      </c>
      <c r="S25" s="32">
        <f>IF($B25="","",COUNTIF(G25:N25,"Received"))</f>
        <v/>
      </c>
      <c r="T25" s="32">
        <f>IF($B25="","",COUNTIF(G25:N25,"Needs Correction"))</f>
        <v/>
      </c>
      <c r="U25" s="33">
        <f>IF($B25="","",IF($D25&lt;&gt;"Yes","",IF($Q25&gt;=Settings!$C$13,"None",MID(IF(AND(G25&lt;&gt;"Accepted",G25&lt;&gt;"Not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Confirmed",IF($Q26&gt;=Settings!$C$13,"Legalized",IF($P26&gt;=Settings!$C$12,"Registered",IF($O26&gt;0,"In Progress","Not Started"))))))</f>
        <v/>
      </c>
      <c r="S26" s="32">
        <f>IF($B26="","",COUNTIF(G26:N26,"Received"))</f>
        <v/>
      </c>
      <c r="T26" s="32">
        <f>IF($B26="","",COUNTIF(G26:N26,"Needs Correction"))</f>
        <v/>
      </c>
      <c r="U26" s="33">
        <f>IF($B26="","",IF($D26&lt;&gt;"Yes","",IF($Q26&gt;=Settings!$C$13,"None",MID(IF(AND(G26&lt;&gt;"Accepted",G26&lt;&gt;"Not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Confirmed",IF($Q27&gt;=Settings!$C$13,"Legalized",IF($P27&gt;=Settings!$C$12,"Registered",IF($O27&gt;0,"In Progress","Not Started"))))))</f>
        <v/>
      </c>
      <c r="S27" s="32">
        <f>IF($B27="","",COUNTIF(G27:N27,"Received"))</f>
        <v/>
      </c>
      <c r="T27" s="32">
        <f>IF($B27="","",COUNTIF(G27:N27,"Needs Correction"))</f>
        <v/>
      </c>
      <c r="U27" s="33">
        <f>IF($B27="","",IF($D27&lt;&gt;"Yes","",IF($Q27&gt;=Settings!$C$13,"None",MID(IF(AND(G27&lt;&gt;"Accepted",G27&lt;&gt;"Not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Yet Confirmed</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Confirmed",IF($Q28&gt;=Settings!$C$13,"Legalized",IF($P28&gt;=Settings!$C$12,"Registered",IF($O28&gt;0,"In Progress","Not Started"))))))</f>
        <v/>
      </c>
      <c r="S28" s="32">
        <f>IF($B28="","",COUNTIF(G28:N28,"Received"))</f>
        <v/>
      </c>
      <c r="T28" s="32">
        <f>IF($B28="","",COUNTIF(G28:N28,"Needs Correction"))</f>
        <v/>
      </c>
      <c r="U28" s="33">
        <f>IF($B28="","",IF($D28&lt;&gt;"Yes","",IF($Q28&gt;=Settings!$C$13,"None",MID(IF(AND(G28&lt;&gt;"Accepted",G28&lt;&gt;"Not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Confirmed",IF($Q29&gt;=Settings!$C$13,"Legalized",IF($P29&gt;=Settings!$C$12,"Registered",IF($O29&gt;0,"In Progress","Not Started"))))))</f>
        <v/>
      </c>
      <c r="S29" s="32">
        <f>IF($B29="","",COUNTIF(G29:N29,"Received"))</f>
        <v/>
      </c>
      <c r="T29" s="32">
        <f>IF($B29="","",COUNTIF(G29:N29,"Needs Correction"))</f>
        <v/>
      </c>
      <c r="U29" s="33">
        <f>IF($B29="","",IF($D29&lt;&gt;"Yes","",IF($Q29&gt;=Settings!$C$13,"None",MID(IF(AND(G29&lt;&gt;"Accepted",G29&lt;&gt;"Not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Confirmed",IF($Q30&gt;=Settings!$C$13,"Legalized",IF($P30&gt;=Settings!$C$12,"Registered",IF($O30&gt;0,"In Progress","Not Started"))))))</f>
        <v/>
      </c>
      <c r="S30" s="32">
        <f>IF($B30="","",COUNTIF(G30:N30,"Received"))</f>
        <v/>
      </c>
      <c r="T30" s="32">
        <f>IF($B30="","",COUNTIF(G30:N30,"Needs Correction"))</f>
        <v/>
      </c>
      <c r="U30" s="33">
        <f>IF($B30="","",IF($D30&lt;&gt;"Yes","",IF($Q30&gt;=Settings!$C$13,"None",MID(IF(AND(G30&lt;&gt;"Accepted",G30&lt;&gt;"Not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Confirmed",IF($Q31&gt;=Settings!$C$13,"Legalized",IF($P31&gt;=Settings!$C$12,"Registered",IF($O31&gt;0,"In Progress","Not Started"))))))</f>
        <v/>
      </c>
      <c r="S31" s="32">
        <f>IF($B31="","",COUNTIF(G31:N31,"Received"))</f>
        <v/>
      </c>
      <c r="T31" s="32">
        <f>IF($B31="","",COUNTIF(G31:N31,"Needs Correction"))</f>
        <v/>
      </c>
      <c r="U31" s="33">
        <f>IF($B31="","",IF($D31&lt;&gt;"Yes","",IF($Q31&gt;=Settings!$C$13,"None",MID(IF(AND(G31&lt;&gt;"Accepted",G31&lt;&gt;"Not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Confirmed",IF($Q32&gt;=Settings!$C$13,"Legalized",IF($P32&gt;=Settings!$C$12,"Registered",IF($O32&gt;0,"In Progress","Not Started"))))))</f>
        <v/>
      </c>
      <c r="S32" s="32">
        <f>IF($B32="","",COUNTIF(G32:N32,"Received"))</f>
        <v/>
      </c>
      <c r="T32" s="32">
        <f>IF($B32="","",COUNTIF(G32:N32,"Needs Correction"))</f>
        <v/>
      </c>
      <c r="U32" s="33">
        <f>IF($B32="","",IF($D32&lt;&gt;"Yes","",IF($Q32&gt;=Settings!$C$13,"None",MID(IF(AND(G32&lt;&gt;"Accepted",G32&lt;&gt;"Not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Confirmed",IF($Q33&gt;=Settings!$C$13,"Legalized",IF($P33&gt;=Settings!$C$12,"Registered",IF($O33&gt;0,"In Progress","Not Started"))))))</f>
        <v/>
      </c>
      <c r="S33" s="32">
        <f>IF($B33="","",COUNTIF(G33:N33,"Received"))</f>
        <v/>
      </c>
      <c r="T33" s="32">
        <f>IF($B33="","",COUNTIF(G33:N33,"Needs Correction"))</f>
        <v/>
      </c>
      <c r="U33" s="33">
        <f>IF($B33="","",IF($D33&lt;&gt;"Yes","",IF($Q33&gt;=Settings!$C$13,"None",MID(IF(AND(G33&lt;&gt;"Accepted",G33&lt;&gt;"Not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Confirmed",IF($Q34&gt;=Settings!$C$13,"Legalized",IF($P34&gt;=Settings!$C$12,"Registered",IF($O34&gt;0,"In Progress","Not Started"))))))</f>
        <v/>
      </c>
      <c r="S34" s="32">
        <f>IF($B34="","",COUNTIF(G34:N34,"Received"))</f>
        <v/>
      </c>
      <c r="T34" s="32">
        <f>IF($B34="","",COUNTIF(G34:N34,"Needs Correction"))</f>
        <v/>
      </c>
      <c r="U34" s="33">
        <f>IF($B34="","",IF($D34&lt;&gt;"Yes","",IF($Q34&gt;=Settings!$C$13,"None",MID(IF(AND(G34&lt;&gt;"Accepted",G34&lt;&gt;"Not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Yet Confirmed</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Confirmed",IF($Q35&gt;=Settings!$C$13,"Legalized",IF($P35&gt;=Settings!$C$12,"Registered",IF($O35&gt;0,"In Progress","Not Started"))))))</f>
        <v/>
      </c>
      <c r="S35" s="32">
        <f>IF($B35="","",COUNTIF(G35:N35,"Received"))</f>
        <v/>
      </c>
      <c r="T35" s="32">
        <f>IF($B35="","",COUNTIF(G35:N35,"Needs Correction"))</f>
        <v/>
      </c>
      <c r="U35" s="33">
        <f>IF($B35="","",IF($D35&lt;&gt;"Yes","",IF($Q35&gt;=Settings!$C$13,"None",MID(IF(AND(G35&lt;&gt;"Accepted",G35&lt;&gt;"Not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Confirmed",IF($Q36&gt;=Settings!$C$13,"Legalized",IF($P36&gt;=Settings!$C$12,"Registered",IF($O36&gt;0,"In Progress","Not Started"))))))</f>
        <v/>
      </c>
      <c r="S36" s="32">
        <f>IF($B36="","",COUNTIF(G36:N36,"Received"))</f>
        <v/>
      </c>
      <c r="T36" s="32">
        <f>IF($B36="","",COUNTIF(G36:N36,"Needs Correction"))</f>
        <v/>
      </c>
      <c r="U36" s="33">
        <f>IF($B36="","",IF($D36&lt;&gt;"Yes","",IF($Q36&gt;=Settings!$C$13,"None",MID(IF(AND(G36&lt;&gt;"Accepted",G36&lt;&gt;"Not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Confirmed",IF($Q37&gt;=Settings!$C$13,"Legalized",IF($P37&gt;=Settings!$C$12,"Registered",IF($O37&gt;0,"In Progress","Not Started"))))))</f>
        <v/>
      </c>
      <c r="S37" s="32">
        <f>IF($B37="","",COUNTIF(G37:N37,"Received"))</f>
        <v/>
      </c>
      <c r="T37" s="32">
        <f>IF($B37="","",COUNTIF(G37:N37,"Needs Correction"))</f>
        <v/>
      </c>
      <c r="U37" s="33">
        <f>IF($B37="","",IF($D37&lt;&gt;"Yes","",IF($Q37&gt;=Settings!$C$13,"None",MID(IF(AND(G37&lt;&gt;"Accepted",G37&lt;&gt;"Not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Confirmed",IF($Q38&gt;=Settings!$C$13,"Legalized",IF($P38&gt;=Settings!$C$12,"Registered",IF($O38&gt;0,"In Progress","Not Started"))))))</f>
        <v/>
      </c>
      <c r="S38" s="32">
        <f>IF($B38="","",COUNTIF(G38:N38,"Received"))</f>
        <v/>
      </c>
      <c r="T38" s="32">
        <f>IF($B38="","",COUNTIF(G38:N38,"Needs Correction"))</f>
        <v/>
      </c>
      <c r="U38" s="33">
        <f>IF($B38="","",IF($D38&lt;&gt;"Yes","",IF($Q38&gt;=Settings!$C$13,"None",MID(IF(AND(G38&lt;&gt;"Accepted",G38&lt;&gt;"Not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Confirmed",IF($Q39&gt;=Settings!$C$13,"Legalized",IF($P39&gt;=Settings!$C$12,"Registered",IF($O39&gt;0,"In Progress","Not Started"))))))</f>
        <v/>
      </c>
      <c r="S39" s="32">
        <f>IF($B39="","",COUNTIF(G39:N39,"Received"))</f>
        <v/>
      </c>
      <c r="T39" s="32">
        <f>IF($B39="","",COUNTIF(G39:N39,"Needs Correction"))</f>
        <v/>
      </c>
      <c r="U39" s="33">
        <f>IF($B39="","",IF($D39&lt;&gt;"Yes","",IF($Q39&gt;=Settings!$C$13,"None",MID(IF(AND(G39&lt;&gt;"Accepted",G39&lt;&gt;"Not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Confirmed",IF($Q40&gt;=Settings!$C$13,"Legalized",IF($P40&gt;=Settings!$C$12,"Registered",IF($O40&gt;0,"In Progress","Not Started"))))))</f>
        <v/>
      </c>
      <c r="S40" s="32">
        <f>IF($B40="","",COUNTIF(G40:N40,"Received"))</f>
        <v/>
      </c>
      <c r="T40" s="32">
        <f>IF($B40="","",COUNTIF(G40:N40,"Needs Correction"))</f>
        <v/>
      </c>
      <c r="U40" s="33">
        <f>IF($B40="","",IF($D40&lt;&gt;"Yes","",IF($Q40&gt;=Settings!$C$13,"None",MID(IF(AND(G40&lt;&gt;"Accepted",G40&lt;&gt;"Not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Confirmed",IF($Q41&gt;=Settings!$C$13,"Legalized",IF($P41&gt;=Settings!$C$12,"Registered",IF($O41&gt;0,"In Progress","Not Started"))))))</f>
        <v/>
      </c>
      <c r="S41" s="32">
        <f>IF($B41="","",COUNTIF(G41:N41,"Received"))</f>
        <v/>
      </c>
      <c r="T41" s="32">
        <f>IF($B41="","",COUNTIF(G41:N41,"Needs Correction"))</f>
        <v/>
      </c>
      <c r="U41" s="33">
        <f>IF($B41="","",IF($D41&lt;&gt;"Yes","",IF($Q41&gt;=Settings!$C$13,"None",MID(IF(AND(G41&lt;&gt;"Accepted",G41&lt;&gt;"Not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Confirmed",IF($Q42&gt;=Settings!$C$13,"Legalized",IF($P42&gt;=Settings!$C$12,"Registered",IF($O42&gt;0,"In Progress","Not Started"))))))</f>
        <v/>
      </c>
      <c r="S42" s="32">
        <f>IF($B42="","",COUNTIF(G42:N42,"Received"))</f>
        <v/>
      </c>
      <c r="T42" s="32">
        <f>IF($B42="","",COUNTIF(G42:N42,"Needs Correction"))</f>
        <v/>
      </c>
      <c r="U42" s="33">
        <f>IF($B42="","",IF($D42&lt;&gt;"Yes","",IF($Q42&gt;=Settings!$C$13,"None",MID(IF(AND(G42&lt;&gt;"Accepted",G42&lt;&gt;"Not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Yet Confirmed</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Confirmed",IF($Q43&gt;=Settings!$C$13,"Legalized",IF($P43&gt;=Settings!$C$12,"Registered",IF($O43&gt;0,"In Progress","Not Started"))))))</f>
        <v/>
      </c>
      <c r="S43" s="32">
        <f>IF($B43="","",COUNTIF(G43:N43,"Received"))</f>
        <v/>
      </c>
      <c r="T43" s="32">
        <f>IF($B43="","",COUNTIF(G43:N43,"Needs Correction"))</f>
        <v/>
      </c>
      <c r="U43" s="33">
        <f>IF($B43="","",IF($D43&lt;&gt;"Yes","",IF($Q43&gt;=Settings!$C$13,"None",MID(IF(AND(G43&lt;&gt;"Accepted",G43&lt;&gt;"Not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Yet Confirmed</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Confirmed",IF($Q44&gt;=Settings!$C$13,"Legalized",IF($P44&gt;=Settings!$C$12,"Registered",IF($O44&gt;0,"In Progress","Not Started"))))))</f>
        <v/>
      </c>
      <c r="S44" s="32">
        <f>IF($B44="","",COUNTIF(G44:N44,"Received"))</f>
        <v/>
      </c>
      <c r="T44" s="32">
        <f>IF($B44="","",COUNTIF(G44:N44,"Needs Correction"))</f>
        <v/>
      </c>
      <c r="U44" s="33">
        <f>IF($B44="","",IF($D44&lt;&gt;"Yes","",IF($Q44&gt;=Settings!$C$13,"None",MID(IF(AND(G44&lt;&gt;"Accepted",G44&lt;&gt;"Not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Confirmed",IF($Q45&gt;=Settings!$C$13,"Legalized",IF($P45&gt;=Settings!$C$12,"Registered",IF($O45&gt;0,"In Progress","Not Started"))))))</f>
        <v/>
      </c>
      <c r="S45" s="32">
        <f>IF($B45="","",COUNTIF(G45:N45,"Received"))</f>
        <v/>
      </c>
      <c r="T45" s="32">
        <f>IF($B45="","",COUNTIF(G45:N45,"Needs Correction"))</f>
        <v/>
      </c>
      <c r="U45" s="33">
        <f>IF($B45="","",IF($D45&lt;&gt;"Yes","",IF($Q45&gt;=Settings!$C$13,"None",MID(IF(AND(G45&lt;&gt;"Accepted",G45&lt;&gt;"Not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Confirmed",IF($Q46&gt;=Settings!$C$13,"Legalized",IF($P46&gt;=Settings!$C$12,"Registered",IF($O46&gt;0,"In Progress","Not Started"))))))</f>
        <v/>
      </c>
      <c r="S46" s="32">
        <f>IF($B46="","",COUNTIF(G46:N46,"Received"))</f>
        <v/>
      </c>
      <c r="T46" s="32">
        <f>IF($B46="","",COUNTIF(G46:N46,"Needs Correction"))</f>
        <v/>
      </c>
      <c r="U46" s="33">
        <f>IF($B46="","",IF($D46&lt;&gt;"Yes","",IF($Q46&gt;=Settings!$C$13,"None",MID(IF(AND(G46&lt;&gt;"Accepted",G46&lt;&gt;"Not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Confirmed",IF($Q47&gt;=Settings!$C$13,"Legalized",IF($P47&gt;=Settings!$C$12,"Registered",IF($O47&gt;0,"In Progress","Not Started"))))))</f>
        <v/>
      </c>
      <c r="S47" s="32">
        <f>IF($B47="","",COUNTIF(G47:N47,"Received"))</f>
        <v/>
      </c>
      <c r="T47" s="32">
        <f>IF($B47="","",COUNTIF(G47:N47,"Needs Correction"))</f>
        <v/>
      </c>
      <c r="U47" s="33">
        <f>IF($B47="","",IF($D47&lt;&gt;"Yes","",IF($Q47&gt;=Settings!$C$13,"None",MID(IF(AND(G47&lt;&gt;"Accepted",G47&lt;&gt;"Not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Confirmed",IF($Q48&gt;=Settings!$C$13,"Legalized",IF($P48&gt;=Settings!$C$12,"Registered",IF($O48&gt;0,"In Progress","Not Started"))))))</f>
        <v/>
      </c>
      <c r="S48" s="32">
        <f>IF($B48="","",COUNTIF(G48:N48,"Received"))</f>
        <v/>
      </c>
      <c r="T48" s="32">
        <f>IF($B48="","",COUNTIF(G48:N48,"Needs Correction"))</f>
        <v/>
      </c>
      <c r="U48" s="33">
        <f>IF($B48="","",IF($D48&lt;&gt;"Yes","",IF($Q48&gt;=Settings!$C$13,"None",MID(IF(AND(G48&lt;&gt;"Accepted",G48&lt;&gt;"Not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Confirmed",IF($Q49&gt;=Settings!$C$13,"Legalized",IF($P49&gt;=Settings!$C$12,"Registered",IF($O49&gt;0,"In Progress","Not Started"))))))</f>
        <v/>
      </c>
      <c r="S49" s="32">
        <f>IF($B49="","",COUNTIF(G49:N49,"Received"))</f>
        <v/>
      </c>
      <c r="T49" s="32">
        <f>IF($B49="","",COUNTIF(G49:N49,"Needs Correction"))</f>
        <v/>
      </c>
      <c r="U49" s="33">
        <f>IF($B49="","",IF($D49&lt;&gt;"Yes","",IF($Q49&gt;=Settings!$C$13,"None",MID(IF(AND(G49&lt;&gt;"Accepted",G49&lt;&gt;"Not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Yet Confirmed</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Confirmed",IF($Q50&gt;=Settings!$C$13,"Legalized",IF($P50&gt;=Settings!$C$12,"Registered",IF($O50&gt;0,"In Progress","Not Started"))))))</f>
        <v/>
      </c>
      <c r="S50" s="32">
        <f>IF($B50="","",COUNTIF(G50:N50,"Received"))</f>
        <v/>
      </c>
      <c r="T50" s="32">
        <f>IF($B50="","",COUNTIF(G50:N50,"Needs Correction"))</f>
        <v/>
      </c>
      <c r="U50" s="33">
        <f>IF($B50="","",IF($D50&lt;&gt;"Yes","",IF($Q50&gt;=Settings!$C$13,"None",MID(IF(AND(G50&lt;&gt;"Accepted",G50&lt;&gt;"Not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Yet Confirmed</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Confirmed",IF($Q51&gt;=Settings!$C$13,"Legalized",IF($P51&gt;=Settings!$C$12,"Registered",IF($O51&gt;0,"In Progress","Not Started"))))))</f>
        <v/>
      </c>
      <c r="S51" s="32">
        <f>IF($B51="","",COUNTIF(G51:N51,"Received"))</f>
        <v/>
      </c>
      <c r="T51" s="32">
        <f>IF($B51="","",COUNTIF(G51:N51,"Needs Correction"))</f>
        <v/>
      </c>
      <c r="U51" s="33">
        <f>IF($B51="","",IF($D51&lt;&gt;"Yes","",IF($Q51&gt;=Settings!$C$13,"None",MID(IF(AND(G51&lt;&gt;"Accepted",G51&lt;&gt;"Not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Confirmed",IF($Q52&gt;=Settings!$C$13,"Legalized",IF($P52&gt;=Settings!$C$12,"Registered",IF($O52&gt;0,"In Progress","Not Started"))))))</f>
        <v/>
      </c>
      <c r="S52" s="32">
        <f>IF($B52="","",COUNTIF(G52:N52,"Received"))</f>
        <v/>
      </c>
      <c r="T52" s="32">
        <f>IF($B52="","",COUNTIF(G52:N52,"Needs Correction"))</f>
        <v/>
      </c>
      <c r="U52" s="33">
        <f>IF($B52="","",IF($D52&lt;&gt;"Yes","",IF($Q52&gt;=Settings!$C$13,"None",MID(IF(AND(G52&lt;&gt;"Accepted",G52&lt;&gt;"Not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Confirmed",IF($Q53&gt;=Settings!$C$13,"Legalized",IF($P53&gt;=Settings!$C$12,"Registered",IF($O53&gt;0,"In Progress","Not Started"))))))</f>
        <v/>
      </c>
      <c r="S53" s="32">
        <f>IF($B53="","",COUNTIF(G53:N53,"Received"))</f>
        <v/>
      </c>
      <c r="T53" s="32">
        <f>IF($B53="","",COUNTIF(G53:N53,"Needs Correction"))</f>
        <v/>
      </c>
      <c r="U53" s="33">
        <f>IF($B53="","",IF($D53&lt;&gt;"Yes","",IF($Q53&gt;=Settings!$C$13,"None",MID(IF(AND(G53&lt;&gt;"Accepted",G53&lt;&gt;"Not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Confirmed",IF($Q54&gt;=Settings!$C$13,"Legalized",IF($P54&gt;=Settings!$C$12,"Registered",IF($O54&gt;0,"In Progress","Not Started"))))))</f>
        <v/>
      </c>
      <c r="S54" s="32">
        <f>IF($B54="","",COUNTIF(G54:N54,"Received"))</f>
        <v/>
      </c>
      <c r="T54" s="32">
        <f>IF($B54="","",COUNTIF(G54:N54,"Needs Correction"))</f>
        <v/>
      </c>
      <c r="U54" s="33">
        <f>IF($B54="","",IF($D54&lt;&gt;"Yes","",IF($Q54&gt;=Settings!$C$13,"None",MID(IF(AND(G54&lt;&gt;"Accepted",G54&lt;&gt;"Not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Confirmed",IF($Q55&gt;=Settings!$C$13,"Legalized",IF($P55&gt;=Settings!$C$12,"Registered",IF($O55&gt;0,"In Progress","Not Started"))))))</f>
        <v/>
      </c>
      <c r="S55" s="32">
        <f>IF($B55="","",COUNTIF(G55:N55,"Received"))</f>
        <v/>
      </c>
      <c r="T55" s="32">
        <f>IF($B55="","",COUNTIF(G55:N55,"Needs Correction"))</f>
        <v/>
      </c>
      <c r="U55" s="33">
        <f>IF($B55="","",IF($D55&lt;&gt;"Yes","",IF($Q55&gt;=Settings!$C$13,"None",MID(IF(AND(G55&lt;&gt;"Accepted",G55&lt;&gt;"Not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Confirmed",IF($Q56&gt;=Settings!$C$13,"Legalized",IF($P56&gt;=Settings!$C$12,"Registered",IF($O56&gt;0,"In Progress","Not Started"))))))</f>
        <v/>
      </c>
      <c r="S56" s="32">
        <f>IF($B56="","",COUNTIF(G56:N56,"Received"))</f>
        <v/>
      </c>
      <c r="T56" s="32">
        <f>IF($B56="","",COUNTIF(G56:N56,"Needs Correction"))</f>
        <v/>
      </c>
      <c r="U56" s="33">
        <f>IF($B56="","",IF($D56&lt;&gt;"Yes","",IF($Q56&gt;=Settings!$C$13,"None",MID(IF(AND(G56&lt;&gt;"Accepted",G56&lt;&gt;"Not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Confirmed",IF($Q57&gt;=Settings!$C$13,"Legalized",IF($P57&gt;=Settings!$C$12,"Registered",IF($O57&gt;0,"In Progress","Not Started"))))))</f>
        <v/>
      </c>
      <c r="S57" s="32">
        <f>IF($B57="","",COUNTIF(G57:N57,"Received"))</f>
        <v/>
      </c>
      <c r="T57" s="32">
        <f>IF($B57="","",COUNTIF(G57:N57,"Needs Correction"))</f>
        <v/>
      </c>
      <c r="U57" s="33">
        <f>IF($B57="","",IF($D57&lt;&gt;"Yes","",IF($Q57&gt;=Settings!$C$13,"None",MID(IF(AND(G57&lt;&gt;"Accepted",G57&lt;&gt;"Not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Confirmed",IF($Q58&gt;=Settings!$C$13,"Legalized",IF($P58&gt;=Settings!$C$12,"Registered",IF($O58&gt;0,"In Progress","Not Started"))))))</f>
        <v/>
      </c>
      <c r="S58" s="32">
        <f>IF($B58="","",COUNTIF(G58:N58,"Received"))</f>
        <v/>
      </c>
      <c r="T58" s="32">
        <f>IF($B58="","",COUNTIF(G58:N58,"Needs Correction"))</f>
        <v/>
      </c>
      <c r="U58" s="33">
        <f>IF($B58="","",IF($D58&lt;&gt;"Yes","",IF($Q58&gt;=Settings!$C$13,"None",MID(IF(AND(G58&lt;&gt;"Accepted",G58&lt;&gt;"Not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Confirmed",IF($Q59&gt;=Settings!$C$13,"Legalized",IF($P59&gt;=Settings!$C$12,"Registered",IF($O59&gt;0,"In Progress","Not Started"))))))</f>
        <v/>
      </c>
      <c r="S59" s="32">
        <f>IF($B59="","",COUNTIF(G59:N59,"Received"))</f>
        <v/>
      </c>
      <c r="T59" s="32">
        <f>IF($B59="","",COUNTIF(G59:N59,"Needs Correction"))</f>
        <v/>
      </c>
      <c r="U59" s="33">
        <f>IF($B59="","",IF($D59&lt;&gt;"Yes","",IF($Q59&gt;=Settings!$C$13,"None",MID(IF(AND(G59&lt;&gt;"Accepted",G59&lt;&gt;"Not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Confirmed",IF($Q60&gt;=Settings!$C$13,"Legalized",IF($P60&gt;=Settings!$C$12,"Registered",IF($O60&gt;0,"In Progress","Not Started"))))))</f>
        <v/>
      </c>
      <c r="S60" s="32">
        <f>IF($B60="","",COUNTIF(G60:N60,"Received"))</f>
        <v/>
      </c>
      <c r="T60" s="32">
        <f>IF($B60="","",COUNTIF(G60:N60,"Needs Correction"))</f>
        <v/>
      </c>
      <c r="U60" s="33">
        <f>IF($B60="","",IF($D60&lt;&gt;"Yes","",IF($Q60&gt;=Settings!$C$13,"None",MID(IF(AND(G60&lt;&gt;"Accepted",G60&lt;&gt;"Not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Confirmed",IF($Q61&gt;=Settings!$C$13,"Legalized",IF($P61&gt;=Settings!$C$12,"Registered",IF($O61&gt;0,"In Progress","Not Started"))))))</f>
        <v/>
      </c>
      <c r="S61" s="32">
        <f>IF($B61="","",COUNTIF(G61:N61,"Received"))</f>
        <v/>
      </c>
      <c r="T61" s="32">
        <f>IF($B61="","",COUNTIF(G61:N61,"Needs Correction"))</f>
        <v/>
      </c>
      <c r="U61" s="33">
        <f>IF($B61="","",IF($D61&lt;&gt;"Yes","",IF($Q61&gt;=Settings!$C$13,"None",MID(IF(AND(G61&lt;&gt;"Accepted",G61&lt;&gt;"Not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Confirmed",IF($Q62&gt;=Settings!$C$13,"Legalized",IF($P62&gt;=Settings!$C$12,"Registered",IF($O62&gt;0,"In Progress","Not Started"))))))</f>
        <v/>
      </c>
      <c r="S62" s="32">
        <f>IF($B62="","",COUNTIF(G62:N62,"Received"))</f>
        <v/>
      </c>
      <c r="T62" s="32">
        <f>IF($B62="","",COUNTIF(G62:N62,"Needs Correction"))</f>
        <v/>
      </c>
      <c r="U62" s="33">
        <f>IF($B62="","",IF($D62&lt;&gt;"Yes","",IF($Q62&gt;=Settings!$C$13,"None",MID(IF(AND(G62&lt;&gt;"Accepted",G62&lt;&gt;"Not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Confirmed",IF($Q63&gt;=Settings!$C$13,"Legalized",IF($P63&gt;=Settings!$C$12,"Registered",IF($O63&gt;0,"In Progress","Not Started"))))))</f>
        <v/>
      </c>
      <c r="S63" s="32">
        <f>IF($B63="","",COUNTIF(G63:N63,"Received"))</f>
        <v/>
      </c>
      <c r="T63" s="32">
        <f>IF($B63="","",COUNTIF(G63:N63,"Needs Correction"))</f>
        <v/>
      </c>
      <c r="U63" s="33">
        <f>IF($B63="","",IF($D63&lt;&gt;"Yes","",IF($Q63&gt;=Settings!$C$13,"None",MID(IF(AND(G63&lt;&gt;"Accepted",G63&lt;&gt;"Not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Confirmed",IF($Q64&gt;=Settings!$C$13,"Legalized",IF($P64&gt;=Settings!$C$12,"Registered",IF($O64&gt;0,"In Progress","Not Started"))))))</f>
        <v/>
      </c>
      <c r="S64" s="32">
        <f>IF($B64="","",COUNTIF(G64:N64,"Received"))</f>
        <v/>
      </c>
      <c r="T64" s="32">
        <f>IF($B64="","",COUNTIF(G64:N64,"Needs Correction"))</f>
        <v/>
      </c>
      <c r="U64" s="33">
        <f>IF($B64="","",IF($D64&lt;&gt;"Yes","",IF($Q64&gt;=Settings!$C$13,"None",MID(IF(AND(G64&lt;&gt;"Accepted",G64&lt;&gt;"Not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Confirmed",IF($Q65&gt;=Settings!$C$13,"Legalized",IF($P65&gt;=Settings!$C$12,"Registered",IF($O65&gt;0,"In Progress","Not Started"))))))</f>
        <v/>
      </c>
      <c r="S65" s="32">
        <f>IF($B65="","",COUNTIF(G65:N65,"Received"))</f>
        <v/>
      </c>
      <c r="T65" s="32">
        <f>IF($B65="","",COUNTIF(G65:N65,"Needs Correction"))</f>
        <v/>
      </c>
      <c r="U65" s="33">
        <f>IF($B65="","",IF($D65&lt;&gt;"Yes","",IF($Q65&gt;=Settings!$C$13,"None",MID(IF(AND(G65&lt;&gt;"Accepted",G65&lt;&gt;"Not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Confirmed",IF($Q66&gt;=Settings!$C$13,"Legalized",IF($P66&gt;=Settings!$C$12,"Registered",IF($O66&gt;0,"In Progress","Not Started"))))))</f>
        <v/>
      </c>
      <c r="S66" s="32">
        <f>IF($B66="","",COUNTIF(G66:N66,"Received"))</f>
        <v/>
      </c>
      <c r="T66" s="32">
        <f>IF($B66="","",COUNTIF(G66:N66,"Needs Correction"))</f>
        <v/>
      </c>
      <c r="U66" s="33">
        <f>IF($B66="","",IF($D66&lt;&gt;"Yes","",IF($Q66&gt;=Settings!$C$13,"None",MID(IF(AND(G66&lt;&gt;"Accepted",G66&lt;&gt;"Not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Confirmed",IF($Q67&gt;=Settings!$C$13,"Legalized",IF($P67&gt;=Settings!$C$12,"Registered",IF($O67&gt;0,"In Progress","Not Started"))))))</f>
        <v/>
      </c>
      <c r="S67" s="32">
        <f>IF($B67="","",COUNTIF(G67:N67,"Received"))</f>
        <v/>
      </c>
      <c r="T67" s="32">
        <f>IF($B67="","",COUNTIF(G67:N67,"Needs Correction"))</f>
        <v/>
      </c>
      <c r="U67" s="33">
        <f>IF($B67="","",IF($D67&lt;&gt;"Yes","",IF($Q67&gt;=Settings!$C$13,"None",MID(IF(AND(G67&lt;&gt;"Accepted",G67&lt;&gt;"Not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Confirmed",IF($Q68&gt;=Settings!$C$13,"Legalized",IF($P68&gt;=Settings!$C$12,"Registered",IF($O68&gt;0,"In Progress","Not Started"))))))</f>
        <v/>
      </c>
      <c r="S68" s="32">
        <f>IF($B68="","",COUNTIF(G68:N68,"Received"))</f>
        <v/>
      </c>
      <c r="T68" s="32">
        <f>IF($B68="","",COUNTIF(G68:N68,"Needs Correction"))</f>
        <v/>
      </c>
      <c r="U68" s="33">
        <f>IF($B68="","",IF($D68&lt;&gt;"Yes","",IF($Q68&gt;=Settings!$C$13,"None",MID(IF(AND(G68&lt;&gt;"Accepted",G68&lt;&gt;"Not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Confirmed",IF($Q69&gt;=Settings!$C$13,"Legalized",IF($P69&gt;=Settings!$C$12,"Registered",IF($O69&gt;0,"In Progress","Not Started"))))))</f>
        <v/>
      </c>
      <c r="S69" s="32">
        <f>IF($B69="","",COUNTIF(G69:N69,"Received"))</f>
        <v/>
      </c>
      <c r="T69" s="32">
        <f>IF($B69="","",COUNTIF(G69:N69,"Needs Correction"))</f>
        <v/>
      </c>
      <c r="U69" s="33">
        <f>IF($B69="","",IF($D69&lt;&gt;"Yes","",IF($Q69&gt;=Settings!$C$13,"None",MID(IF(AND(G69&lt;&gt;"Accepted",G69&lt;&gt;"Not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Confirmed",IF($Q70&gt;=Settings!$C$13,"Legalized",IF($P70&gt;=Settings!$C$12,"Registered",IF($O70&gt;0,"In Progress","Not Started"))))))</f>
        <v/>
      </c>
      <c r="S70" s="32">
        <f>IF($B70="","",COUNTIF(G70:N70,"Received"))</f>
        <v/>
      </c>
      <c r="T70" s="32">
        <f>IF($B70="","",COUNTIF(G70:N70,"Needs Correction"))</f>
        <v/>
      </c>
      <c r="U70" s="33">
        <f>IF($B70="","",IF($D70&lt;&gt;"Yes","",IF($Q70&gt;=Settings!$C$13,"None",MID(IF(AND(G70&lt;&gt;"Accepted",G70&lt;&gt;"Not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Confirmed",IF($Q71&gt;=Settings!$C$13,"Legalized",IF($P71&gt;=Settings!$C$12,"Registered",IF($O71&gt;0,"In Progress","Not Started"))))))</f>
        <v/>
      </c>
      <c r="S71" s="32">
        <f>IF($B71="","",COUNTIF(G71:N71,"Received"))</f>
        <v/>
      </c>
      <c r="T71" s="32">
        <f>IF($B71="","",COUNTIF(G71:N71,"Needs Correction"))</f>
        <v/>
      </c>
      <c r="U71" s="33">
        <f>IF($B71="","",IF($D71&lt;&gt;"Yes","",IF($Q71&gt;=Settings!$C$13,"None",MID(IF(AND(G71&lt;&gt;"Accepted",G71&lt;&gt;"Not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Confirmed",IF($Q72&gt;=Settings!$C$13,"Legalized",IF($P72&gt;=Settings!$C$12,"Registered",IF($O72&gt;0,"In Progress","Not Started"))))))</f>
        <v/>
      </c>
      <c r="S72" s="32">
        <f>IF($B72="","",COUNTIF(G72:N72,"Received"))</f>
        <v/>
      </c>
      <c r="T72" s="32">
        <f>IF($B72="","",COUNTIF(G72:N72,"Needs Correction"))</f>
        <v/>
      </c>
      <c r="U72" s="33">
        <f>IF($B72="","",IF($D72&lt;&gt;"Yes","",IF($Q72&gt;=Settings!$C$13,"None",MID(IF(AND(G72&lt;&gt;"Accepted",G72&lt;&gt;"Not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Confirmed",IF($Q73&gt;=Settings!$C$13,"Legalized",IF($P73&gt;=Settings!$C$12,"Registered",IF($O73&gt;0,"In Progress","Not Started"))))))</f>
        <v/>
      </c>
      <c r="S73" s="32">
        <f>IF($B73="","",COUNTIF(G73:N73,"Received"))</f>
        <v/>
      </c>
      <c r="T73" s="32">
        <f>IF($B73="","",COUNTIF(G73:N73,"Needs Correction"))</f>
        <v/>
      </c>
      <c r="U73" s="33">
        <f>IF($B73="","",IF($D73&lt;&gt;"Yes","",IF($Q73&gt;=Settings!$C$13,"None",MID(IF(AND(G73&lt;&gt;"Accepted",G73&lt;&gt;"Not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Confirmed",IF($Q74&gt;=Settings!$C$13,"Legalized",IF($P74&gt;=Settings!$C$12,"Registered",IF($O74&gt;0,"In Progress","Not Started"))))))</f>
        <v/>
      </c>
      <c r="S74" s="32">
        <f>IF($B74="","",COUNTIF(G74:N74,"Received"))</f>
        <v/>
      </c>
      <c r="T74" s="32">
        <f>IF($B74="","",COUNTIF(G74:N74,"Needs Correction"))</f>
        <v/>
      </c>
      <c r="U74" s="33">
        <f>IF($B74="","",IF($D74&lt;&gt;"Yes","",IF($Q74&gt;=Settings!$C$13,"None",MID(IF(AND(G74&lt;&gt;"Accepted",G74&lt;&gt;"Not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Confirmed",IF($Q75&gt;=Settings!$C$13,"Legalized",IF($P75&gt;=Settings!$C$12,"Registered",IF($O75&gt;0,"In Progress","Not Started"))))))</f>
        <v/>
      </c>
      <c r="S75" s="32">
        <f>IF($B75="","",COUNTIF(G75:N75,"Received"))</f>
        <v/>
      </c>
      <c r="T75" s="32">
        <f>IF($B75="","",COUNTIF(G75:N75,"Needs Correction"))</f>
        <v/>
      </c>
      <c r="U75" s="33">
        <f>IF($B75="","",IF($D75&lt;&gt;"Yes","",IF($Q75&gt;=Settings!$C$13,"None",MID(IF(AND(G75&lt;&gt;"Accepted",G75&lt;&gt;"Not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Confirmed",IF($Q76&gt;=Settings!$C$13,"Legalized",IF($P76&gt;=Settings!$C$12,"Registered",IF($O76&gt;0,"In Progress","Not Started"))))))</f>
        <v/>
      </c>
      <c r="S76" s="32">
        <f>IF($B76="","",COUNTIF(G76:N76,"Received"))</f>
        <v/>
      </c>
      <c r="T76" s="32">
        <f>IF($B76="","",COUNTIF(G76:N76,"Needs Correction"))</f>
        <v/>
      </c>
      <c r="U76" s="33">
        <f>IF($B76="","",IF($D76&lt;&gt;"Yes","",IF($Q76&gt;=Settings!$C$13,"None",MID(IF(AND(G76&lt;&gt;"Accepted",G76&lt;&gt;"Not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Confirmed",IF($Q77&gt;=Settings!$C$13,"Legalized",IF($P77&gt;=Settings!$C$12,"Registered",IF($O77&gt;0,"In Progress","Not Started"))))))</f>
        <v/>
      </c>
      <c r="S77" s="32">
        <f>IF($B77="","",COUNTIF(G77:N77,"Received"))</f>
        <v/>
      </c>
      <c r="T77" s="32">
        <f>IF($B77="","",COUNTIF(G77:N77,"Needs Correction"))</f>
        <v/>
      </c>
      <c r="U77" s="33">
        <f>IF($B77="","",IF($D77&lt;&gt;"Yes","",IF($Q77&gt;=Settings!$C$13,"None",MID(IF(AND(G77&lt;&gt;"Accepted",G77&lt;&gt;"Not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Confirmed",IF($Q78&gt;=Settings!$C$13,"Legalized",IF($P78&gt;=Settings!$C$12,"Registered",IF($O78&gt;0,"In Progress","Not Started"))))))</f>
        <v/>
      </c>
      <c r="S78" s="32">
        <f>IF($B78="","",COUNTIF(G78:N78,"Received"))</f>
        <v/>
      </c>
      <c r="T78" s="32">
        <f>IF($B78="","",COUNTIF(G78:N78,"Needs Correction"))</f>
        <v/>
      </c>
      <c r="U78" s="33">
        <f>IF($B78="","",IF($D78&lt;&gt;"Yes","",IF($Q78&gt;=Settings!$C$13,"None",MID(IF(AND(G78&lt;&gt;"Accepted",G78&lt;&gt;"Not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Confirmed",IF($Q79&gt;=Settings!$C$13,"Legalized",IF($P79&gt;=Settings!$C$12,"Registered",IF($O79&gt;0,"In Progress","Not Started"))))))</f>
        <v/>
      </c>
      <c r="S79" s="32">
        <f>IF($B79="","",COUNTIF(G79:N79,"Received"))</f>
        <v/>
      </c>
      <c r="T79" s="32">
        <f>IF($B79="","",COUNTIF(G79:N79,"Needs Correction"))</f>
        <v/>
      </c>
      <c r="U79" s="33">
        <f>IF($B79="","",IF($D79&lt;&gt;"Yes","",IF($Q79&gt;=Settings!$C$13,"None",MID(IF(AND(G79&lt;&gt;"Accepted",G79&lt;&gt;"Not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Confirmed",IF($Q80&gt;=Settings!$C$13,"Legalized",IF($P80&gt;=Settings!$C$12,"Registered",IF($O80&gt;0,"In Progress","Not Started"))))))</f>
        <v/>
      </c>
      <c r="S80" s="32">
        <f>IF($B80="","",COUNTIF(G80:N80,"Received"))</f>
        <v/>
      </c>
      <c r="T80" s="32">
        <f>IF($B80="","",COUNTIF(G80:N80,"Needs Correction"))</f>
        <v/>
      </c>
      <c r="U80" s="33">
        <f>IF($B80="","",IF($D80&lt;&gt;"Yes","",IF($Q80&gt;=Settings!$C$13,"None",MID(IF(AND(G80&lt;&gt;"Accepted",G80&lt;&gt;"Not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Confirmed",IF($Q81&gt;=Settings!$C$13,"Legalized",IF($P81&gt;=Settings!$C$12,"Registered",IF($O81&gt;0,"In Progress","Not Started"))))))</f>
        <v/>
      </c>
      <c r="S81" s="32">
        <f>IF($B81="","",COUNTIF(G81:N81,"Received"))</f>
        <v/>
      </c>
      <c r="T81" s="32">
        <f>IF($B81="","",COUNTIF(G81:N81,"Needs Correction"))</f>
        <v/>
      </c>
      <c r="U81" s="33">
        <f>IF($B81="","",IF($D81&lt;&gt;"Yes","",IF($Q81&gt;=Settings!$C$13,"None",MID(IF(AND(G81&lt;&gt;"Accepted",G81&lt;&gt;"Not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Confirmed",IF($Q82&gt;=Settings!$C$13,"Legalized",IF($P82&gt;=Settings!$C$12,"Registered",IF($O82&gt;0,"In Progress","Not Started"))))))</f>
        <v/>
      </c>
      <c r="S82" s="32">
        <f>IF($B82="","",COUNTIF(G82:N82,"Received"))</f>
        <v/>
      </c>
      <c r="T82" s="32">
        <f>IF($B82="","",COUNTIF(G82:N82,"Needs Correction"))</f>
        <v/>
      </c>
      <c r="U82" s="33">
        <f>IF($B82="","",IF($D82&lt;&gt;"Yes","",IF($Q82&gt;=Settings!$C$13,"None",MID(IF(AND(G82&lt;&gt;"Accepted",G82&lt;&gt;"Not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Confirmed",IF($Q83&gt;=Settings!$C$13,"Legalized",IF($P83&gt;=Settings!$C$12,"Registered",IF($O83&gt;0,"In Progress","Not Started"))))))</f>
        <v/>
      </c>
      <c r="S83" s="32">
        <f>IF($B83="","",COUNTIF(G83:N83,"Received"))</f>
        <v/>
      </c>
      <c r="T83" s="32">
        <f>IF($B83="","",COUNTIF(G83:N83,"Needs Correction"))</f>
        <v/>
      </c>
      <c r="U83" s="33">
        <f>IF($B83="","",IF($D83&lt;&gt;"Yes","",IF($Q83&gt;=Settings!$C$13,"None",MID(IF(AND(G83&lt;&gt;"Accepted",G83&lt;&gt;"Not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Confirmed",IF($Q84&gt;=Settings!$C$13,"Legalized",IF($P84&gt;=Settings!$C$12,"Registered",IF($O84&gt;0,"In Progress","Not Started"))))))</f>
        <v/>
      </c>
      <c r="S84" s="32">
        <f>IF($B84="","",COUNTIF(G84:N84,"Received"))</f>
        <v/>
      </c>
      <c r="T84" s="32">
        <f>IF($B84="","",COUNTIF(G84:N84,"Needs Correction"))</f>
        <v/>
      </c>
      <c r="U84" s="33">
        <f>IF($B84="","",IF($D84&lt;&gt;"Yes","",IF($Q84&gt;=Settings!$C$13,"None",MID(IF(AND(G84&lt;&gt;"Accepted",G84&lt;&gt;"Not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Confirmed",IF($Q85&gt;=Settings!$C$13,"Legalized",IF($P85&gt;=Settings!$C$12,"Registered",IF($O85&gt;0,"In Progress","Not Started"))))))</f>
        <v/>
      </c>
      <c r="S85" s="32">
        <f>IF($B85="","",COUNTIF(G85:N85,"Received"))</f>
        <v/>
      </c>
      <c r="T85" s="32">
        <f>IF($B85="","",COUNTIF(G85:N85,"Needs Correction"))</f>
        <v/>
      </c>
      <c r="U85" s="33">
        <f>IF($B85="","",IF($D85&lt;&gt;"Yes","",IF($Q85&gt;=Settings!$C$13,"None",MID(IF(AND(G85&lt;&gt;"Accepted",G85&lt;&gt;"Not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Confirmed",IF($Q86&gt;=Settings!$C$13,"Legalized",IF($P86&gt;=Settings!$C$12,"Registered",IF($O86&gt;0,"In Progress","Not Started"))))))</f>
        <v/>
      </c>
      <c r="S86" s="32">
        <f>IF($B86="","",COUNTIF(G86:N86,"Received"))</f>
        <v/>
      </c>
      <c r="T86" s="32">
        <f>IF($B86="","",COUNTIF(G86:N86,"Needs Correction"))</f>
        <v/>
      </c>
      <c r="U86" s="33">
        <f>IF($B86="","",IF($D86&lt;&gt;"Yes","",IF($Q86&gt;=Settings!$C$13,"None",MID(IF(AND(G86&lt;&gt;"Accepted",G86&lt;&gt;"Not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Confirmed",IF($Q87&gt;=Settings!$C$13,"Legalized",IF($P87&gt;=Settings!$C$12,"Registered",IF($O87&gt;0,"In Progress","Not Started"))))))</f>
        <v/>
      </c>
      <c r="S87" s="32">
        <f>IF($B87="","",COUNTIF(G87:N87,"Received"))</f>
        <v/>
      </c>
      <c r="T87" s="32">
        <f>IF($B87="","",COUNTIF(G87:N87,"Needs Correction"))</f>
        <v/>
      </c>
      <c r="U87" s="33">
        <f>IF($B87="","",IF($D87&lt;&gt;"Yes","",IF($Q87&gt;=Settings!$C$13,"None",MID(IF(AND(G87&lt;&gt;"Accepted",G87&lt;&gt;"Not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Confirmed",IF($Q88&gt;=Settings!$C$13,"Legalized",IF($P88&gt;=Settings!$C$12,"Registered",IF($O88&gt;0,"In Progress","Not Started"))))))</f>
        <v/>
      </c>
      <c r="S88" s="32">
        <f>IF($B88="","",COUNTIF(G88:N88,"Received"))</f>
        <v/>
      </c>
      <c r="T88" s="32">
        <f>IF($B88="","",COUNTIF(G88:N88,"Needs Correction"))</f>
        <v/>
      </c>
      <c r="U88" s="33">
        <f>IF($B88="","",IF($D88&lt;&gt;"Yes","",IF($Q88&gt;=Settings!$C$13,"None",MID(IF(AND(G88&lt;&gt;"Accepted",G88&lt;&gt;"Not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Confirmed",IF($Q89&gt;=Settings!$C$13,"Legalized",IF($P89&gt;=Settings!$C$12,"Registered",IF($O89&gt;0,"In Progress","Not Started"))))))</f>
        <v/>
      </c>
      <c r="S89" s="32">
        <f>IF($B89="","",COUNTIF(G89:N89,"Received"))</f>
        <v/>
      </c>
      <c r="T89" s="32">
        <f>IF($B89="","",COUNTIF(G89:N89,"Needs Correction"))</f>
        <v/>
      </c>
      <c r="U89" s="33">
        <f>IF($B89="","",IF($D89&lt;&gt;"Yes","",IF($Q89&gt;=Settings!$C$13,"None",MID(IF(AND(G89&lt;&gt;"Accepted",G89&lt;&gt;"Not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Confirmed",IF($Q90&gt;=Settings!$C$13,"Legalized",IF($P90&gt;=Settings!$C$12,"Registered",IF($O90&gt;0,"In Progress","Not Started"))))))</f>
        <v/>
      </c>
      <c r="S90" s="32">
        <f>IF($B90="","",COUNTIF(G90:N90,"Received"))</f>
        <v/>
      </c>
      <c r="T90" s="32">
        <f>IF($B90="","",COUNTIF(G90:N90,"Needs Correction"))</f>
        <v/>
      </c>
      <c r="U90" s="33">
        <f>IF($B90="","",IF($D90&lt;&gt;"Yes","",IF($Q90&gt;=Settings!$C$13,"None",MID(IF(AND(G90&lt;&gt;"Accepted",G90&lt;&gt;"Not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Confirmed",IF($Q91&gt;=Settings!$C$13,"Legalized",IF($P91&gt;=Settings!$C$12,"Registered",IF($O91&gt;0,"In Progress","Not Started"))))))</f>
        <v/>
      </c>
      <c r="S91" s="32">
        <f>IF($B91="","",COUNTIF(G91:N91,"Received"))</f>
        <v/>
      </c>
      <c r="T91" s="32">
        <f>IF($B91="","",COUNTIF(G91:N91,"Needs Correction"))</f>
        <v/>
      </c>
      <c r="U91" s="33">
        <f>IF($B91="","",IF($D91&lt;&gt;"Yes","",IF($Q91&gt;=Settings!$C$13,"None",MID(IF(AND(G91&lt;&gt;"Accepted",G91&lt;&gt;"Not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Confirmed",IF($Q92&gt;=Settings!$C$13,"Legalized",IF($P92&gt;=Settings!$C$12,"Registered",IF($O92&gt;0,"In Progress","Not Started"))))))</f>
        <v/>
      </c>
      <c r="S92" s="32">
        <f>IF($B92="","",COUNTIF(G92:N92,"Received"))</f>
        <v/>
      </c>
      <c r="T92" s="32">
        <f>IF($B92="","",COUNTIF(G92:N92,"Needs Correction"))</f>
        <v/>
      </c>
      <c r="U92" s="33">
        <f>IF($B92="","",IF($D92&lt;&gt;"Yes","",IF($Q92&gt;=Settings!$C$13,"None",MID(IF(AND(G92&lt;&gt;"Accepted",G92&lt;&gt;"Not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Confirmed",IF($Q93&gt;=Settings!$C$13,"Legalized",IF($P93&gt;=Settings!$C$12,"Registered",IF($O93&gt;0,"In Progress","Not Started"))))))</f>
        <v/>
      </c>
      <c r="S93" s="32">
        <f>IF($B93="","",COUNTIF(G93:N93,"Received"))</f>
        <v/>
      </c>
      <c r="T93" s="32">
        <f>IF($B93="","",COUNTIF(G93:N93,"Needs Correction"))</f>
        <v/>
      </c>
      <c r="U93" s="33">
        <f>IF($B93="","",IF($D93&lt;&gt;"Yes","",IF($Q93&gt;=Settings!$C$13,"None",MID(IF(AND(G93&lt;&gt;"Accepted",G93&lt;&gt;"Not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Confirmed",IF($Q94&gt;=Settings!$C$13,"Legalized",IF($P94&gt;=Settings!$C$12,"Registered",IF($O94&gt;0,"In Progress","Not Started"))))))</f>
        <v/>
      </c>
      <c r="S94" s="32">
        <f>IF($B94="","",COUNTIF(G94:N94,"Received"))</f>
        <v/>
      </c>
      <c r="T94" s="32">
        <f>IF($B94="","",COUNTIF(G94:N94,"Needs Correction"))</f>
        <v/>
      </c>
      <c r="U94" s="33">
        <f>IF($B94="","",IF($D94&lt;&gt;"Yes","",IF($Q94&gt;=Settings!$C$13,"None",MID(IF(AND(G94&lt;&gt;"Accepted",G94&lt;&gt;"Not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Confirmed",IF($Q95&gt;=Settings!$C$13,"Legalized",IF($P95&gt;=Settings!$C$12,"Registered",IF($O95&gt;0,"In Progress","Not Started"))))))</f>
        <v/>
      </c>
      <c r="S95" s="32">
        <f>IF($B95="","",COUNTIF(G95:N95,"Received"))</f>
        <v/>
      </c>
      <c r="T95" s="32">
        <f>IF($B95="","",COUNTIF(G95:N95,"Needs Correction"))</f>
        <v/>
      </c>
      <c r="U95" s="33">
        <f>IF($B95="","",IF($D95&lt;&gt;"Yes","",IF($Q95&gt;=Settings!$C$13,"None",MID(IF(AND(G95&lt;&gt;"Accepted",G95&lt;&gt;"Not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Confirmed",IF($Q96&gt;=Settings!$C$13,"Legalized",IF($P96&gt;=Settings!$C$12,"Registered",IF($O96&gt;0,"In Progress","Not Started"))))))</f>
        <v/>
      </c>
      <c r="S96" s="32">
        <f>IF($B96="","",COUNTIF(G96:N96,"Received"))</f>
        <v/>
      </c>
      <c r="T96" s="32">
        <f>IF($B96="","",COUNTIF(G96:N96,"Needs Correction"))</f>
        <v/>
      </c>
      <c r="U96" s="33">
        <f>IF($B96="","",IF($D96&lt;&gt;"Yes","",IF($Q96&gt;=Settings!$C$13,"None",MID(IF(AND(G96&lt;&gt;"Accepted",G96&lt;&gt;"Not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Confirmed",IF($Q97&gt;=Settings!$C$13,"Legalized",IF($P97&gt;=Settings!$C$12,"Registered",IF($O97&gt;0,"In Progress","Not Started"))))))</f>
        <v/>
      </c>
      <c r="S97" s="32">
        <f>IF($B97="","",COUNTIF(G97:N97,"Received"))</f>
        <v/>
      </c>
      <c r="T97" s="32">
        <f>IF($B97="","",COUNTIF(G97:N97,"Needs Correction"))</f>
        <v/>
      </c>
      <c r="U97" s="33">
        <f>IF($B97="","",IF($D97&lt;&gt;"Yes","",IF($Q97&gt;=Settings!$C$13,"None",MID(IF(AND(G97&lt;&gt;"Accepted",G97&lt;&gt;"Not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Confirmed",IF($Q98&gt;=Settings!$C$13,"Legalized",IF($P98&gt;=Settings!$C$12,"Registered",IF($O98&gt;0,"In Progress","Not Started"))))))</f>
        <v/>
      </c>
      <c r="S98" s="32">
        <f>IF($B98="","",COUNTIF(G98:N98,"Received"))</f>
        <v/>
      </c>
      <c r="T98" s="32">
        <f>IF($B98="","",COUNTIF(G98:N98,"Needs Correction"))</f>
        <v/>
      </c>
      <c r="U98" s="33">
        <f>IF($B98="","",IF($D98&lt;&gt;"Yes","",IF($Q98&gt;=Settings!$C$13,"None",MID(IF(AND(G98&lt;&gt;"Accepted",G98&lt;&gt;"Not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Confirmed",IF($Q99&gt;=Settings!$C$13,"Legalized",IF($P99&gt;=Settings!$C$12,"Registered",IF($O99&gt;0,"In Progress","Not Started"))))))</f>
        <v/>
      </c>
      <c r="S99" s="32">
        <f>IF($B99="","",COUNTIF(G99:N99,"Received"))</f>
        <v/>
      </c>
      <c r="T99" s="32">
        <f>IF($B99="","",COUNTIF(G99:N99,"Needs Correction"))</f>
        <v/>
      </c>
      <c r="U99" s="33">
        <f>IF($B99="","",IF($D99&lt;&gt;"Yes","",IF($Q99&gt;=Settings!$C$13,"None",MID(IF(AND(G99&lt;&gt;"Accepted",G99&lt;&gt;"Not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Confirmed",IF($Q100&gt;=Settings!$C$13,"Legalized",IF($P100&gt;=Settings!$C$12,"Registered",IF($O100&gt;0,"In Progress","Not Started"))))))</f>
        <v/>
      </c>
      <c r="S100" s="32">
        <f>IF($B100="","",COUNTIF(G100:N100,"Received"))</f>
        <v/>
      </c>
      <c r="T100" s="32">
        <f>IF($B100="","",COUNTIF(G100:N100,"Needs Correction"))</f>
        <v/>
      </c>
      <c r="U100" s="33">
        <f>IF($B100="","",IF($D100&lt;&gt;"Yes","",IF($Q100&gt;=Settings!$C$13,"None",MID(IF(AND(G100&lt;&gt;"Accepted",G100&lt;&gt;"Not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Confirmed",IF($Q101&gt;=Settings!$C$13,"Legalized",IF($P101&gt;=Settings!$C$12,"Registered",IF($O101&gt;0,"In Progress","Not Started"))))))</f>
        <v/>
      </c>
      <c r="S101" s="32">
        <f>IF($B101="","",COUNTIF(G101:N101,"Received"))</f>
        <v/>
      </c>
      <c r="T101" s="32">
        <f>IF($B101="","",COUNTIF(G101:N101,"Needs Correction"))</f>
        <v/>
      </c>
      <c r="U101" s="33">
        <f>IF($B101="","",IF($D101&lt;&gt;"Yes","",IF($Q101&gt;=Settings!$C$13,"None",MID(IF(AND(G101&lt;&gt;"Accepted",G101&lt;&gt;"Not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Confirmed",IF($Q102&gt;=Settings!$C$13,"Legalized",IF($P102&gt;=Settings!$C$12,"Registered",IF($O102&gt;0,"In Progress","Not Started"))))))</f>
        <v/>
      </c>
      <c r="S102" s="32">
        <f>IF($B102="","",COUNTIF(G102:N102,"Received"))</f>
        <v/>
      </c>
      <c r="T102" s="32">
        <f>IF($B102="","",COUNTIF(G102:N102,"Needs Correction"))</f>
        <v/>
      </c>
      <c r="U102" s="33">
        <f>IF($B102="","",IF($D102&lt;&gt;"Yes","",IF($Q102&gt;=Settings!$C$13,"None",MID(IF(AND(G102&lt;&gt;"Accepted",G102&lt;&gt;"Not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Confirmed",IF($Q103&gt;=Settings!$C$13,"Legalized",IF($P103&gt;=Settings!$C$12,"Registered",IF($O103&gt;0,"In Progress","Not Started"))))))</f>
        <v/>
      </c>
      <c r="S103" s="32">
        <f>IF($B103="","",COUNTIF(G103:N103,"Received"))</f>
        <v/>
      </c>
      <c r="T103" s="32">
        <f>IF($B103="","",COUNTIF(G103:N103,"Needs Correction"))</f>
        <v/>
      </c>
      <c r="U103" s="33">
        <f>IF($B103="","",IF($D103&lt;&gt;"Yes","",IF($Q103&gt;=Settings!$C$13,"None",MID(IF(AND(G103&lt;&gt;"Accepted",G103&lt;&gt;"Not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Confirmed",IF($Q104&gt;=Settings!$C$13,"Legalized",IF($P104&gt;=Settings!$C$12,"Registered",IF($O104&gt;0,"In Progress","Not Started"))))))</f>
        <v/>
      </c>
      <c r="S104" s="32">
        <f>IF($B104="","",COUNTIF(G104:N104,"Received"))</f>
        <v/>
      </c>
      <c r="T104" s="32">
        <f>IF($B104="","",COUNTIF(G104:N104,"Needs Correction"))</f>
        <v/>
      </c>
      <c r="U104" s="33">
        <f>IF($B104="","",IF($D104&lt;&gt;"Yes","",IF($Q104&gt;=Settings!$C$13,"None",MID(IF(AND(G104&lt;&gt;"Accepted",G104&lt;&gt;"Not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Confirmed",IF($Q105&gt;=Settings!$C$13,"Legalized",IF($P105&gt;=Settings!$C$12,"Registered",IF($O105&gt;0,"In Progress","Not Started"))))))</f>
        <v/>
      </c>
      <c r="S105" s="32">
        <f>IF($B105="","",COUNTIF(G105:N105,"Received"))</f>
        <v/>
      </c>
      <c r="T105" s="32">
        <f>IF($B105="","",COUNTIF(G105:N105,"Needs Correction"))</f>
        <v/>
      </c>
      <c r="U105" s="33">
        <f>IF($B105="","",IF($D105&lt;&gt;"Yes","",IF($Q105&gt;=Settings!$C$13,"None",MID(IF(AND(G105&lt;&gt;"Accepted",G105&lt;&gt;"Not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Confirmed",IF($Q106&gt;=Settings!$C$13,"Legalized",IF($P106&gt;=Settings!$C$12,"Registered",IF($O106&gt;0,"In Progress","Not Started"))))))</f>
        <v/>
      </c>
      <c r="S106" s="32">
        <f>IF($B106="","",COUNTIF(G106:N106,"Received"))</f>
        <v/>
      </c>
      <c r="T106" s="32">
        <f>IF($B106="","",COUNTIF(G106:N106,"Needs Correction"))</f>
        <v/>
      </c>
      <c r="U106" s="33">
        <f>IF($B106="","",IF($D106&lt;&gt;"Yes","",IF($Q106&gt;=Settings!$C$13,"None",MID(IF(AND(G106&lt;&gt;"Accepted",G106&lt;&gt;"Not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Confirmed",IF($Q107&gt;=Settings!$C$13,"Legalized",IF($P107&gt;=Settings!$C$12,"Registered",IF($O107&gt;0,"In Progress","Not Started"))))))</f>
        <v/>
      </c>
      <c r="S107" s="32">
        <f>IF($B107="","",COUNTIF(G107:N107,"Received"))</f>
        <v/>
      </c>
      <c r="T107" s="32">
        <f>IF($B107="","",COUNTIF(G107:N107,"Needs Correction"))</f>
        <v/>
      </c>
      <c r="U107" s="33">
        <f>IF($B107="","",IF($D107&lt;&gt;"Yes","",IF($Q107&gt;=Settings!$C$13,"None",MID(IF(AND(G107&lt;&gt;"Accepted",G107&lt;&gt;"Not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Confirmed",IF($Q108&gt;=Settings!$C$13,"Legalized",IF($P108&gt;=Settings!$C$12,"Registered",IF($O108&gt;0,"In Progress","Not Started"))))))</f>
        <v/>
      </c>
      <c r="S108" s="32">
        <f>IF($B108="","",COUNTIF(G108:N108,"Received"))</f>
        <v/>
      </c>
      <c r="T108" s="32">
        <f>IF($B108="","",COUNTIF(G108:N108,"Needs Correction"))</f>
        <v/>
      </c>
      <c r="U108" s="33">
        <f>IF($B108="","",IF($D108&lt;&gt;"Yes","",IF($Q108&gt;=Settings!$C$13,"None",MID(IF(AND(G108&lt;&gt;"Accepted",G108&lt;&gt;"Not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Confirmed",IF($Q109&gt;=Settings!$C$13,"Legalized",IF($P109&gt;=Settings!$C$12,"Registered",IF($O109&gt;0,"In Progress","Not Started"))))))</f>
        <v/>
      </c>
      <c r="S109" s="32">
        <f>IF($B109="","",COUNTIF(G109:N109,"Received"))</f>
        <v/>
      </c>
      <c r="T109" s="32">
        <f>IF($B109="","",COUNTIF(G109:N109,"Needs Correction"))</f>
        <v/>
      </c>
      <c r="U109" s="33">
        <f>IF($B109="","",IF($D109&lt;&gt;"Yes","",IF($Q109&gt;=Settings!$C$13,"None",MID(IF(AND(G109&lt;&gt;"Accepted",G109&lt;&gt;"Not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Confirmed",IF($Q110&gt;=Settings!$C$13,"Legalized",IF($P110&gt;=Settings!$C$12,"Registered",IF($O110&gt;0,"In Progress","Not Started"))))))</f>
        <v/>
      </c>
      <c r="S110" s="32">
        <f>IF($B110="","",COUNTIF(G110:N110,"Received"))</f>
        <v/>
      </c>
      <c r="T110" s="32">
        <f>IF($B110="","",COUNTIF(G110:N110,"Needs Correction"))</f>
        <v/>
      </c>
      <c r="U110" s="33">
        <f>IF($B110="","",IF($D110&lt;&gt;"Yes","",IF($Q110&gt;=Settings!$C$13,"None",MID(IF(AND(G110&lt;&gt;"Accepted",G110&lt;&gt;"Not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Confirmed",IF($Q111&gt;=Settings!$C$13,"Legalized",IF($P111&gt;=Settings!$C$12,"Registered",IF($O111&gt;0,"In Progress","Not Started"))))))</f>
        <v/>
      </c>
      <c r="S111" s="32">
        <f>IF($B111="","",COUNTIF(G111:N111,"Received"))</f>
        <v/>
      </c>
      <c r="T111" s="32">
        <f>IF($B111="","",COUNTIF(G111:N111,"Needs Correction"))</f>
        <v/>
      </c>
      <c r="U111" s="33">
        <f>IF($B111="","",IF($D111&lt;&gt;"Yes","",IF($Q111&gt;=Settings!$C$13,"None",MID(IF(AND(G111&lt;&gt;"Accepted",G111&lt;&gt;"Not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Yet Confirmed</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Confirmed",IF($Q112&gt;=Settings!$C$13,"Legalized",IF($P112&gt;=Settings!$C$12,"Registered",IF($O112&gt;0,"In Progress","Not Started"))))))</f>
        <v/>
      </c>
      <c r="S112" s="32">
        <f>IF($B112="","",COUNTIF(G112:N112,"Received"))</f>
        <v/>
      </c>
      <c r="T112" s="32">
        <f>IF($B112="","",COUNTIF(G112:N112,"Needs Correction"))</f>
        <v/>
      </c>
      <c r="U112" s="33">
        <f>IF($B112="","",IF($D112&lt;&gt;"Yes","",IF($Q112&gt;=Settings!$C$13,"None",MID(IF(AND(G112&lt;&gt;"Accepted",G112&lt;&gt;"Not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Confirmed",IF($Q113&gt;=Settings!$C$13,"Legalized",IF($P113&gt;=Settings!$C$12,"Registered",IF($O113&gt;0,"In Progress","Not Started"))))))</f>
        <v/>
      </c>
      <c r="S113" s="32">
        <f>IF($B113="","",COUNTIF(G113:N113,"Received"))</f>
        <v/>
      </c>
      <c r="T113" s="32">
        <f>IF($B113="","",COUNTIF(G113:N113,"Needs Correction"))</f>
        <v/>
      </c>
      <c r="U113" s="33">
        <f>IF($B113="","",IF($D113&lt;&gt;"Yes","",IF($Q113&gt;=Settings!$C$13,"None",MID(IF(AND(G113&lt;&gt;"Accepted",G113&lt;&gt;"Not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Confirmed",IF($Q114&gt;=Settings!$C$13,"Legalized",IF($P114&gt;=Settings!$C$12,"Registered",IF($O114&gt;0,"In Progress","Not Started"))))))</f>
        <v/>
      </c>
      <c r="S114" s="32">
        <f>IF($B114="","",COUNTIF(G114:N114,"Received"))</f>
        <v/>
      </c>
      <c r="T114" s="32">
        <f>IF($B114="","",COUNTIF(G114:N114,"Needs Correction"))</f>
        <v/>
      </c>
      <c r="U114" s="33">
        <f>IF($B114="","",IF($D114&lt;&gt;"Yes","",IF($Q114&gt;=Settings!$C$13,"None",MID(IF(AND(G114&lt;&gt;"Accepted",G114&lt;&gt;"Not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Confirmed",IF($Q115&gt;=Settings!$C$13,"Legalized",IF($P115&gt;=Settings!$C$12,"Registered",IF($O115&gt;0,"In Progress","Not Started"))))))</f>
        <v/>
      </c>
      <c r="S115" s="32">
        <f>IF($B115="","",COUNTIF(G115:N115,"Received"))</f>
        <v/>
      </c>
      <c r="T115" s="32">
        <f>IF($B115="","",COUNTIF(G115:N115,"Needs Correction"))</f>
        <v/>
      </c>
      <c r="U115" s="33">
        <f>IF($B115="","",IF($D115&lt;&gt;"Yes","",IF($Q115&gt;=Settings!$C$13,"None",MID(IF(AND(G115&lt;&gt;"Accepted",G115&lt;&gt;"Not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Confirmed",IF($Q116&gt;=Settings!$C$13,"Legalized",IF($P116&gt;=Settings!$C$12,"Registered",IF($O116&gt;0,"In Progress","Not Started"))))))</f>
        <v/>
      </c>
      <c r="S116" s="32">
        <f>IF($B116="","",COUNTIF(G116:N116,"Received"))</f>
        <v/>
      </c>
      <c r="T116" s="32">
        <f>IF($B116="","",COUNTIF(G116:N116,"Needs Correction"))</f>
        <v/>
      </c>
      <c r="U116" s="33">
        <f>IF($B116="","",IF($D116&lt;&gt;"Yes","",IF($Q116&gt;=Settings!$C$13,"None",MID(IF(AND(G116&lt;&gt;"Accepted",G116&lt;&gt;"Not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Confirmed",IF($Q117&gt;=Settings!$C$13,"Legalized",IF($P117&gt;=Settings!$C$12,"Registered",IF($O117&gt;0,"In Progress","Not Started"))))))</f>
        <v/>
      </c>
      <c r="S117" s="32">
        <f>IF($B117="","",COUNTIF(G117:N117,"Received"))</f>
        <v/>
      </c>
      <c r="T117" s="32">
        <f>IF($B117="","",COUNTIF(G117:N117,"Needs Correction"))</f>
        <v/>
      </c>
      <c r="U117" s="33">
        <f>IF($B117="","",IF($D117&lt;&gt;"Yes","",IF($Q117&gt;=Settings!$C$13,"None",MID(IF(AND(G117&lt;&gt;"Accepted",G117&lt;&gt;"Not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Confirmed",IF($Q118&gt;=Settings!$C$13,"Legalized",IF($P118&gt;=Settings!$C$12,"Registered",IF($O118&gt;0,"In Progress","Not Started"))))))</f>
        <v/>
      </c>
      <c r="S118" s="32">
        <f>IF($B118="","",COUNTIF(G118:N118,"Received"))</f>
        <v/>
      </c>
      <c r="T118" s="32">
        <f>IF($B118="","",COUNTIF(G118:N118,"Needs Correction"))</f>
        <v/>
      </c>
      <c r="U118" s="33">
        <f>IF($B118="","",IF($D118&lt;&gt;"Yes","",IF($Q118&gt;=Settings!$C$13,"None",MID(IF(AND(G118&lt;&gt;"Accepted",G118&lt;&gt;"Not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Confirmed",IF($Q119&gt;=Settings!$C$13,"Legalized",IF($P119&gt;=Settings!$C$12,"Registered",IF($O119&gt;0,"In Progress","Not Started"))))))</f>
        <v/>
      </c>
      <c r="S119" s="32">
        <f>IF($B119="","",COUNTIF(G119:N119,"Received"))</f>
        <v/>
      </c>
      <c r="T119" s="32">
        <f>IF($B119="","",COUNTIF(G119:N119,"Needs Correction"))</f>
        <v/>
      </c>
      <c r="U119" s="33">
        <f>IF($B119="","",IF($D119&lt;&gt;"Yes","",IF($Q119&gt;=Settings!$C$13,"None",MID(IF(AND(G119&lt;&gt;"Accepted",G119&lt;&gt;"Not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Confirmed",IF($Q120&gt;=Settings!$C$13,"Legalized",IF($P120&gt;=Settings!$C$12,"Registered",IF($O120&gt;0,"In Progress","Not Started"))))))</f>
        <v/>
      </c>
      <c r="S120" s="32">
        <f>IF($B120="","",COUNTIF(G120:N120,"Received"))</f>
        <v/>
      </c>
      <c r="T120" s="32">
        <f>IF($B120="","",COUNTIF(G120:N120,"Needs Correction"))</f>
        <v/>
      </c>
      <c r="U120" s="33">
        <f>IF($B120="","",IF($D120&lt;&gt;"Yes","",IF($Q120&gt;=Settings!$C$13,"None",MID(IF(AND(G120&lt;&gt;"Accepted",G120&lt;&gt;"Not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Confirmed",IF($Q121&gt;=Settings!$C$13,"Legalized",IF($P121&gt;=Settings!$C$12,"Registered",IF($O121&gt;0,"In Progress","Not Started"))))))</f>
        <v/>
      </c>
      <c r="S121" s="32">
        <f>IF($B121="","",COUNTIF(G121:N121,"Received"))</f>
        <v/>
      </c>
      <c r="T121" s="32">
        <f>IF($B121="","",COUNTIF(G121:N121,"Needs Correction"))</f>
        <v/>
      </c>
      <c r="U121" s="33">
        <f>IF($B121="","",IF($D121&lt;&gt;"Yes","",IF($Q121&gt;=Settings!$C$13,"None",MID(IF(AND(G121&lt;&gt;"Accepted",G121&lt;&gt;"Not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Confirmed",IF($Q122&gt;=Settings!$C$13,"Legalized",IF($P122&gt;=Settings!$C$12,"Registered",IF($O122&gt;0,"In Progress","Not Started"))))))</f>
        <v/>
      </c>
      <c r="S122" s="32">
        <f>IF($B122="","",COUNTIF(G122:N122,"Received"))</f>
        <v/>
      </c>
      <c r="T122" s="32">
        <f>IF($B122="","",COUNTIF(G122:N122,"Needs Correction"))</f>
        <v/>
      </c>
      <c r="U122" s="33">
        <f>IF($B122="","",IF($D122&lt;&gt;"Yes","",IF($Q122&gt;=Settings!$C$13,"None",MID(IF(AND(G122&lt;&gt;"Accepted",G122&lt;&gt;"Not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Confirmed",IF($Q123&gt;=Settings!$C$13,"Legalized",IF($P123&gt;=Settings!$C$12,"Registered",IF($O123&gt;0,"In Progress","Not Started"))))))</f>
        <v/>
      </c>
      <c r="S123" s="32">
        <f>IF($B123="","",COUNTIF(G123:N123,"Received"))</f>
        <v/>
      </c>
      <c r="T123" s="32">
        <f>IF($B123="","",COUNTIF(G123:N123,"Needs Correction"))</f>
        <v/>
      </c>
      <c r="U123" s="33">
        <f>IF($B123="","",IF($D123&lt;&gt;"Yes","",IF($Q123&gt;=Settings!$C$13,"None",MID(IF(AND(G123&lt;&gt;"Accepted",G123&lt;&gt;"Not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Confirmed",IF($Q124&gt;=Settings!$C$13,"Legalized",IF($P124&gt;=Settings!$C$12,"Registered",IF($O124&gt;0,"In Progress","Not Started"))))))</f>
        <v/>
      </c>
      <c r="S124" s="32">
        <f>IF($B124="","",COUNTIF(G124:N124,"Received"))</f>
        <v/>
      </c>
      <c r="T124" s="32">
        <f>IF($B124="","",COUNTIF(G124:N124,"Needs Correction"))</f>
        <v/>
      </c>
      <c r="U124" s="33">
        <f>IF($B124="","",IF($D124&lt;&gt;"Yes","",IF($Q124&gt;=Settings!$C$13,"None",MID(IF(AND(G124&lt;&gt;"Accepted",G124&lt;&gt;"Not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Confirmed",IF($Q125&gt;=Settings!$C$13,"Legalized",IF($P125&gt;=Settings!$C$12,"Registered",IF($O125&gt;0,"In Progress","Not Started"))))))</f>
        <v/>
      </c>
      <c r="S125" s="32">
        <f>IF($B125="","",COUNTIF(G125:N125,"Received"))</f>
        <v/>
      </c>
      <c r="T125" s="32">
        <f>IF($B125="","",COUNTIF(G125:N125,"Needs Correction"))</f>
        <v/>
      </c>
      <c r="U125" s="33">
        <f>IF($B125="","",IF($D125&lt;&gt;"Yes","",IF($Q125&gt;=Settings!$C$13,"None",MID(IF(AND(G125&lt;&gt;"Accepted",G125&lt;&gt;"Not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Confirmed",IF($Q126&gt;=Settings!$C$13,"Legalized",IF($P126&gt;=Settings!$C$12,"Registered",IF($O126&gt;0,"In Progress","Not Started"))))))</f>
        <v/>
      </c>
      <c r="S126" s="32">
        <f>IF($B126="","",COUNTIF(G126:N126,"Received"))</f>
        <v/>
      </c>
      <c r="T126" s="32">
        <f>IF($B126="","",COUNTIF(G126:N126,"Needs Correction"))</f>
        <v/>
      </c>
      <c r="U126" s="33">
        <f>IF($B126="","",IF($D126&lt;&gt;"Yes","",IF($Q126&gt;=Settings!$C$13,"None",MID(IF(AND(G126&lt;&gt;"Accepted",G126&lt;&gt;"Not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Confirmed",IF($Q127&gt;=Settings!$C$13,"Legalized",IF($P127&gt;=Settings!$C$12,"Registered",IF($O127&gt;0,"In Progress","Not Started"))))))</f>
        <v/>
      </c>
      <c r="S127" s="32">
        <f>IF($B127="","",COUNTIF(G127:N127,"Received"))</f>
        <v/>
      </c>
      <c r="T127" s="32">
        <f>IF($B127="","",COUNTIF(G127:N127,"Needs Correction"))</f>
        <v/>
      </c>
      <c r="U127" s="33">
        <f>IF($B127="","",IF($D127&lt;&gt;"Yes","",IF($Q127&gt;=Settings!$C$13,"None",MID(IF(AND(G127&lt;&gt;"Accepted",G127&lt;&gt;"Not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Confirmed",IF($Q128&gt;=Settings!$C$13,"Legalized",IF($P128&gt;=Settings!$C$12,"Registered",IF($O128&gt;0,"In Progress","Not Started"))))))</f>
        <v/>
      </c>
      <c r="S128" s="32">
        <f>IF($B128="","",COUNTIF(G128:N128,"Received"))</f>
        <v/>
      </c>
      <c r="T128" s="32">
        <f>IF($B128="","",COUNTIF(G128:N128,"Needs Correction"))</f>
        <v/>
      </c>
      <c r="U128" s="33">
        <f>IF($B128="","",IF($D128&lt;&gt;"Yes","",IF($Q128&gt;=Settings!$C$13,"None",MID(IF(AND(G128&lt;&gt;"Accepted",G128&lt;&gt;"Not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Yet Confirmed</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Confirmed",IF($Q129&gt;=Settings!$C$13,"Legalized",IF($P129&gt;=Settings!$C$12,"Registered",IF($O129&gt;0,"In Progress","Not Started"))))))</f>
        <v/>
      </c>
      <c r="S129" s="32">
        <f>IF($B129="","",COUNTIF(G129:N129,"Received"))</f>
        <v/>
      </c>
      <c r="T129" s="32">
        <f>IF($B129="","",COUNTIF(G129:N129,"Needs Correction"))</f>
        <v/>
      </c>
      <c r="U129" s="33">
        <f>IF($B129="","",IF($D129&lt;&gt;"Yes","",IF($Q129&gt;=Settings!$C$13,"None",MID(IF(AND(G129&lt;&gt;"Accepted",G129&lt;&gt;"Not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Confirmed",IF($Q130&gt;=Settings!$C$13,"Legalized",IF($P130&gt;=Settings!$C$12,"Registered",IF($O130&gt;0,"In Progress","Not Started"))))))</f>
        <v/>
      </c>
      <c r="S130" s="32">
        <f>IF($B130="","",COUNTIF(G130:N130,"Received"))</f>
        <v/>
      </c>
      <c r="T130" s="32">
        <f>IF($B130="","",COUNTIF(G130:N130,"Needs Correction"))</f>
        <v/>
      </c>
      <c r="U130" s="33">
        <f>IF($B130="","",IF($D130&lt;&gt;"Yes","",IF($Q130&gt;=Settings!$C$13,"None",MID(IF(AND(G130&lt;&gt;"Accepted",G130&lt;&gt;"Not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Confirmed",IF($Q131&gt;=Settings!$C$13,"Legalized",IF($P131&gt;=Settings!$C$12,"Registered",IF($O131&gt;0,"In Progress","Not Started"))))))</f>
        <v/>
      </c>
      <c r="S131" s="32">
        <f>IF($B131="","",COUNTIF(G131:N131,"Received"))</f>
        <v/>
      </c>
      <c r="T131" s="32">
        <f>IF($B131="","",COUNTIF(G131:N131,"Needs Correction"))</f>
        <v/>
      </c>
      <c r="U131" s="33">
        <f>IF($B131="","",IF($D131&lt;&gt;"Yes","",IF($Q131&gt;=Settings!$C$13,"None",MID(IF(AND(G131&lt;&gt;"Accepted",G131&lt;&gt;"Not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Confirmed",IF($Q132&gt;=Settings!$C$13,"Legalized",IF($P132&gt;=Settings!$C$12,"Registered",IF($O132&gt;0,"In Progress","Not Started"))))))</f>
        <v/>
      </c>
      <c r="S132" s="32">
        <f>IF($B132="","",COUNTIF(G132:N132,"Received"))</f>
        <v/>
      </c>
      <c r="T132" s="32">
        <f>IF($B132="","",COUNTIF(G132:N132,"Needs Correction"))</f>
        <v/>
      </c>
      <c r="U132" s="33">
        <f>IF($B132="","",IF($D132&lt;&gt;"Yes","",IF($Q132&gt;=Settings!$C$13,"None",MID(IF(AND(G132&lt;&gt;"Accepted",G132&lt;&gt;"Not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Yet Confirmed</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Confirmed",IF($Q133&gt;=Settings!$C$13,"Legalized",IF($P133&gt;=Settings!$C$12,"Registered",IF($O133&gt;0,"In Progress","Not Started"))))))</f>
        <v/>
      </c>
      <c r="S133" s="32">
        <f>IF($B133="","",COUNTIF(G133:N133,"Received"))</f>
        <v/>
      </c>
      <c r="T133" s="32">
        <f>IF($B133="","",COUNTIF(G133:N133,"Needs Correction"))</f>
        <v/>
      </c>
      <c r="U133" s="33">
        <f>IF($B133="","",IF($D133&lt;&gt;"Yes","",IF($Q133&gt;=Settings!$C$13,"None",MID(IF(AND(G133&lt;&gt;"Accepted",G133&lt;&gt;"Not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Confirmed",IF($Q134&gt;=Settings!$C$13,"Legalized",IF($P134&gt;=Settings!$C$12,"Registered",IF($O134&gt;0,"In Progress","Not Started"))))))</f>
        <v/>
      </c>
      <c r="S134" s="32">
        <f>IF($B134="","",COUNTIF(G134:N134,"Received"))</f>
        <v/>
      </c>
      <c r="T134" s="32">
        <f>IF($B134="","",COUNTIF(G134:N134,"Needs Correction"))</f>
        <v/>
      </c>
      <c r="U134" s="33">
        <f>IF($B134="","",IF($D134&lt;&gt;"Yes","",IF($Q134&gt;=Settings!$C$13,"None",MID(IF(AND(G134&lt;&gt;"Accepted",G134&lt;&gt;"Not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Confirmed",IF($Q135&gt;=Settings!$C$13,"Legalized",IF($P135&gt;=Settings!$C$12,"Registered",IF($O135&gt;0,"In Progress","Not Started"))))))</f>
        <v/>
      </c>
      <c r="S135" s="32">
        <f>IF($B135="","",COUNTIF(G135:N135,"Received"))</f>
        <v/>
      </c>
      <c r="T135" s="32">
        <f>IF($B135="","",COUNTIF(G135:N135,"Needs Correction"))</f>
        <v/>
      </c>
      <c r="U135" s="33">
        <f>IF($B135="","",IF($D135&lt;&gt;"Yes","",IF($Q135&gt;=Settings!$C$13,"None",MID(IF(AND(G135&lt;&gt;"Accepted",G135&lt;&gt;"Not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Confirmed",IF($Q136&gt;=Settings!$C$13,"Legalized",IF($P136&gt;=Settings!$C$12,"Registered",IF($O136&gt;0,"In Progress","Not Started"))))))</f>
        <v/>
      </c>
      <c r="S136" s="32">
        <f>IF($B136="","",COUNTIF(G136:N136,"Received"))</f>
        <v/>
      </c>
      <c r="T136" s="32">
        <f>IF($B136="","",COUNTIF(G136:N136,"Needs Correction"))</f>
        <v/>
      </c>
      <c r="U136" s="33">
        <f>IF($B136="","",IF($D136&lt;&gt;"Yes","",IF($Q136&gt;=Settings!$C$13,"None",MID(IF(AND(G136&lt;&gt;"Accepted",G136&lt;&gt;"Not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Confirmed",IF($Q137&gt;=Settings!$C$13,"Legalized",IF($P137&gt;=Settings!$C$12,"Registered",IF($O137&gt;0,"In Progress","Not Started"))))))</f>
        <v/>
      </c>
      <c r="S137" s="32">
        <f>IF($B137="","",COUNTIF(G137:N137,"Received"))</f>
        <v/>
      </c>
      <c r="T137" s="32">
        <f>IF($B137="","",COUNTIF(G137:N137,"Needs Correction"))</f>
        <v/>
      </c>
      <c r="U137" s="33">
        <f>IF($B137="","",IF($D137&lt;&gt;"Yes","",IF($Q137&gt;=Settings!$C$13,"None",MID(IF(AND(G137&lt;&gt;"Accepted",G137&lt;&gt;"Not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Yet Confirmed</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Confirmed",IF($Q138&gt;=Settings!$C$13,"Legalized",IF($P138&gt;=Settings!$C$12,"Registered",IF($O138&gt;0,"In Progress","Not Started"))))))</f>
        <v/>
      </c>
      <c r="S138" s="32">
        <f>IF($B138="","",COUNTIF(G138:N138,"Received"))</f>
        <v/>
      </c>
      <c r="T138" s="32">
        <f>IF($B138="","",COUNTIF(G138:N138,"Needs Correction"))</f>
        <v/>
      </c>
      <c r="U138" s="33">
        <f>IF($B138="","",IF($D138&lt;&gt;"Yes","",IF($Q138&gt;=Settings!$C$13,"None",MID(IF(AND(G138&lt;&gt;"Accepted",G138&lt;&gt;"Not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Confirmed",IF($Q139&gt;=Settings!$C$13,"Legalized",IF($P139&gt;=Settings!$C$12,"Registered",IF($O139&gt;0,"In Progress","Not Started"))))))</f>
        <v/>
      </c>
      <c r="S139" s="32">
        <f>IF($B139="","",COUNTIF(G139:N139,"Received"))</f>
        <v/>
      </c>
      <c r="T139" s="32">
        <f>IF($B139="","",COUNTIF(G139:N139,"Needs Correction"))</f>
        <v/>
      </c>
      <c r="U139" s="33">
        <f>IF($B139="","",IF($D139&lt;&gt;"Yes","",IF($Q139&gt;=Settings!$C$13,"None",MID(IF(AND(G139&lt;&gt;"Accepted",G139&lt;&gt;"Not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Confirmed",IF($Q140&gt;=Settings!$C$13,"Legalized",IF($P140&gt;=Settings!$C$12,"Registered",IF($O140&gt;0,"In Progress","Not Started"))))))</f>
        <v/>
      </c>
      <c r="S140" s="32">
        <f>IF($B140="","",COUNTIF(G140:N140,"Received"))</f>
        <v/>
      </c>
      <c r="T140" s="32">
        <f>IF($B140="","",COUNTIF(G140:N140,"Needs Correction"))</f>
        <v/>
      </c>
      <c r="U140" s="33">
        <f>IF($B140="","",IF($D140&lt;&gt;"Yes","",IF($Q140&gt;=Settings!$C$13,"None",MID(IF(AND(G140&lt;&gt;"Accepted",G140&lt;&gt;"Not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Confirmed",IF($Q141&gt;=Settings!$C$13,"Legalized",IF($P141&gt;=Settings!$C$12,"Registered",IF($O141&gt;0,"In Progress","Not Started"))))))</f>
        <v/>
      </c>
      <c r="S141" s="32">
        <f>IF($B141="","",COUNTIF(G141:N141,"Received"))</f>
        <v/>
      </c>
      <c r="T141" s="32">
        <f>IF($B141="","",COUNTIF(G141:N141,"Needs Correction"))</f>
        <v/>
      </c>
      <c r="U141" s="33">
        <f>IF($B141="","",IF($D141&lt;&gt;"Yes","",IF($Q141&gt;=Settings!$C$13,"None",MID(IF(AND(G141&lt;&gt;"Accepted",G141&lt;&gt;"Not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Confirmed",IF($Q142&gt;=Settings!$C$13,"Legalized",IF($P142&gt;=Settings!$C$12,"Registered",IF($O142&gt;0,"In Progress","Not Started"))))))</f>
        <v/>
      </c>
      <c r="S142" s="32">
        <f>IF($B142="","",COUNTIF(G142:N142,"Received"))</f>
        <v/>
      </c>
      <c r="T142" s="32">
        <f>IF($B142="","",COUNTIF(G142:N142,"Needs Correction"))</f>
        <v/>
      </c>
      <c r="U142" s="33">
        <f>IF($B142="","",IF($D142&lt;&gt;"Yes","",IF($Q142&gt;=Settings!$C$13,"None",MID(IF(AND(G142&lt;&gt;"Accepted",G142&lt;&gt;"Not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Confirmed",IF($Q143&gt;=Settings!$C$13,"Legalized",IF($P143&gt;=Settings!$C$12,"Registered",IF($O143&gt;0,"In Progress","Not Started"))))))</f>
        <v/>
      </c>
      <c r="S143" s="32">
        <f>IF($B143="","",COUNTIF(G143:N143,"Received"))</f>
        <v/>
      </c>
      <c r="T143" s="32">
        <f>IF($B143="","",COUNTIF(G143:N143,"Needs Correction"))</f>
        <v/>
      </c>
      <c r="U143" s="33">
        <f>IF($B143="","",IF($D143&lt;&gt;"Yes","",IF($Q143&gt;=Settings!$C$13,"None",MID(IF(AND(G143&lt;&gt;"Accepted",G143&lt;&gt;"Not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Confirmed",IF($Q144&gt;=Settings!$C$13,"Legalized",IF($P144&gt;=Settings!$C$12,"Registered",IF($O144&gt;0,"In Progress","Not Started"))))))</f>
        <v/>
      </c>
      <c r="S144" s="32">
        <f>IF($B144="","",COUNTIF(G144:N144,"Received"))</f>
        <v/>
      </c>
      <c r="T144" s="32">
        <f>IF($B144="","",COUNTIF(G144:N144,"Needs Correction"))</f>
        <v/>
      </c>
      <c r="U144" s="33">
        <f>IF($B144="","",IF($D144&lt;&gt;"Yes","",IF($Q144&gt;=Settings!$C$13,"None",MID(IF(AND(G144&lt;&gt;"Accepted",G144&lt;&gt;"Not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Confirmed",IF($Q145&gt;=Settings!$C$13,"Legalized",IF($P145&gt;=Settings!$C$12,"Registered",IF($O145&gt;0,"In Progress","Not Started"))))))</f>
        <v/>
      </c>
      <c r="S145" s="32">
        <f>IF($B145="","",COUNTIF(G145:N145,"Received"))</f>
        <v/>
      </c>
      <c r="T145" s="32">
        <f>IF($B145="","",COUNTIF(G145:N145,"Needs Correction"))</f>
        <v/>
      </c>
      <c r="U145" s="33">
        <f>IF($B145="","",IF($D145&lt;&gt;"Yes","",IF($Q145&gt;=Settings!$C$13,"None",MID(IF(AND(G145&lt;&gt;"Accepted",G145&lt;&gt;"Not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Confirmed",IF($Q146&gt;=Settings!$C$13,"Legalized",IF($P146&gt;=Settings!$C$12,"Registered",IF($O146&gt;0,"In Progress","Not Started"))))))</f>
        <v/>
      </c>
      <c r="S146" s="32">
        <f>IF($B146="","",COUNTIF(G146:N146,"Received"))</f>
        <v/>
      </c>
      <c r="T146" s="32">
        <f>IF($B146="","",COUNTIF(G146:N146,"Needs Correction"))</f>
        <v/>
      </c>
      <c r="U146" s="33">
        <f>IF($B146="","",IF($D146&lt;&gt;"Yes","",IF($Q146&gt;=Settings!$C$13,"None",MID(IF(AND(G146&lt;&gt;"Accepted",G146&lt;&gt;"Not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Confirmed",IF($Q147&gt;=Settings!$C$13,"Legalized",IF($P147&gt;=Settings!$C$12,"Registered",IF($O147&gt;0,"In Progress","Not Started"))))))</f>
        <v/>
      </c>
      <c r="S147" s="32">
        <f>IF($B147="","",COUNTIF(G147:N147,"Received"))</f>
        <v/>
      </c>
      <c r="T147" s="32">
        <f>IF($B147="","",COUNTIF(G147:N147,"Needs Correction"))</f>
        <v/>
      </c>
      <c r="U147" s="33">
        <f>IF($B147="","",IF($D147&lt;&gt;"Yes","",IF($Q147&gt;=Settings!$C$13,"None",MID(IF(AND(G147&lt;&gt;"Accepted",G147&lt;&gt;"Not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Confirmed",IF($Q148&gt;=Settings!$C$13,"Legalized",IF($P148&gt;=Settings!$C$12,"Registered",IF($O148&gt;0,"In Progress","Not Started"))))))</f>
        <v/>
      </c>
      <c r="S148" s="32">
        <f>IF($B148="","",COUNTIF(G148:N148,"Received"))</f>
        <v/>
      </c>
      <c r="T148" s="32">
        <f>IF($B148="","",COUNTIF(G148:N148,"Needs Correction"))</f>
        <v/>
      </c>
      <c r="U148" s="33">
        <f>IF($B148="","",IF($D148&lt;&gt;"Yes","",IF($Q148&gt;=Settings!$C$13,"None",MID(IF(AND(G148&lt;&gt;"Accepted",G148&lt;&gt;"Not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Confirmed",IF($Q149&gt;=Settings!$C$13,"Legalized",IF($P149&gt;=Settings!$C$12,"Registered",IF($O149&gt;0,"In Progress","Not Started"))))))</f>
        <v/>
      </c>
      <c r="S149" s="32">
        <f>IF($B149="","",COUNTIF(G149:N149,"Received"))</f>
        <v/>
      </c>
      <c r="T149" s="32">
        <f>IF($B149="","",COUNTIF(G149:N149,"Needs Correction"))</f>
        <v/>
      </c>
      <c r="U149" s="33">
        <f>IF($B149="","",IF($D149&lt;&gt;"Yes","",IF($Q149&gt;=Settings!$C$13,"None",MID(IF(AND(G149&lt;&gt;"Accepted",G149&lt;&gt;"Not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Confirmed",IF($Q150&gt;=Settings!$C$13,"Legalized",IF($P150&gt;=Settings!$C$12,"Registered",IF($O150&gt;0,"In Progress","Not Started"))))))</f>
        <v/>
      </c>
      <c r="S150" s="32">
        <f>IF($B150="","",COUNTIF(G150:N150,"Received"))</f>
        <v/>
      </c>
      <c r="T150" s="32">
        <f>IF($B150="","",COUNTIF(G150:N150,"Needs Correction"))</f>
        <v/>
      </c>
      <c r="U150" s="33">
        <f>IF($B150="","",IF($D150&lt;&gt;"Yes","",IF($Q150&gt;=Settings!$C$13,"None",MID(IF(AND(G150&lt;&gt;"Accepted",G150&lt;&gt;"Not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Confirmed",IF($Q151&gt;=Settings!$C$13,"Legalized",IF($P151&gt;=Settings!$C$12,"Registered",IF($O151&gt;0,"In Progress","Not Started"))))))</f>
        <v/>
      </c>
      <c r="S151" s="32">
        <f>IF($B151="","",COUNTIF(G151:N151,"Received"))</f>
        <v/>
      </c>
      <c r="T151" s="32">
        <f>IF($B151="","",COUNTIF(G151:N151,"Needs Correction"))</f>
        <v/>
      </c>
      <c r="U151" s="33">
        <f>IF($B151="","",IF($D151&lt;&gt;"Yes","",IF($Q151&gt;=Settings!$C$13,"None",MID(IF(AND(G151&lt;&gt;"Accepted",G151&lt;&gt;"Not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Confirmed",IF($Q152&gt;=Settings!$C$13,"Legalized",IF($P152&gt;=Settings!$C$12,"Registered",IF($O152&gt;0,"In Progress","Not Started"))))))</f>
        <v/>
      </c>
      <c r="S152" s="32">
        <f>IF($B152="","",COUNTIF(G152:N152,"Received"))</f>
        <v/>
      </c>
      <c r="T152" s="32">
        <f>IF($B152="","",COUNTIF(G152:N152,"Needs Correction"))</f>
        <v/>
      </c>
      <c r="U152" s="33">
        <f>IF($B152="","",IF($D152&lt;&gt;"Yes","",IF($Q152&gt;=Settings!$C$13,"None",MID(IF(AND(G152&lt;&gt;"Accepted",G152&lt;&gt;"Not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Confirmed",IF($Q153&gt;=Settings!$C$13,"Legalized",IF($P153&gt;=Settings!$C$12,"Registered",IF($O153&gt;0,"In Progress","Not Started"))))))</f>
        <v/>
      </c>
      <c r="S153" s="32">
        <f>IF($B153="","",COUNTIF(G153:N153,"Received"))</f>
        <v/>
      </c>
      <c r="T153" s="32">
        <f>IF($B153="","",COUNTIF(G153:N153,"Needs Correction"))</f>
        <v/>
      </c>
      <c r="U153" s="33">
        <f>IF($B153="","",IF($D153&lt;&gt;"Yes","",IF($Q153&gt;=Settings!$C$13,"None",MID(IF(AND(G153&lt;&gt;"Accepted",G153&lt;&gt;"Not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Confirmed",IF($Q154&gt;=Settings!$C$13,"Legalized",IF($P154&gt;=Settings!$C$12,"Registered",IF($O154&gt;0,"In Progress","Not Started"))))))</f>
        <v/>
      </c>
      <c r="S154" s="32">
        <f>IF($B154="","",COUNTIF(G154:N154,"Received"))</f>
        <v/>
      </c>
      <c r="T154" s="32">
        <f>IF($B154="","",COUNTIF(G154:N154,"Needs Correction"))</f>
        <v/>
      </c>
      <c r="U154" s="33">
        <f>IF($B154="","",IF($D154&lt;&gt;"Yes","",IF($Q154&gt;=Settings!$C$13,"None",MID(IF(AND(G154&lt;&gt;"Accepted",G154&lt;&gt;"Not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Confirmed",IF($Q155&gt;=Settings!$C$13,"Legalized",IF($P155&gt;=Settings!$C$12,"Registered",IF($O155&gt;0,"In Progress","Not Started"))))))</f>
        <v/>
      </c>
      <c r="S155" s="32">
        <f>IF($B155="","",COUNTIF(G155:N155,"Received"))</f>
        <v/>
      </c>
      <c r="T155" s="32">
        <f>IF($B155="","",COUNTIF(G155:N155,"Needs Correction"))</f>
        <v/>
      </c>
      <c r="U155" s="33">
        <f>IF($B155="","",IF($D155&lt;&gt;"Yes","",IF($Q155&gt;=Settings!$C$13,"None",MID(IF(AND(G155&lt;&gt;"Accepted",G155&lt;&gt;"Not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Yet Confirmed</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Confirmed",IF($Q156&gt;=Settings!$C$13,"Legalized",IF($P156&gt;=Settings!$C$12,"Registered",IF($O156&gt;0,"In Progress","Not Started"))))))</f>
        <v/>
      </c>
      <c r="S156" s="32">
        <f>IF($B156="","",COUNTIF(G156:N156,"Received"))</f>
        <v/>
      </c>
      <c r="T156" s="32">
        <f>IF($B156="","",COUNTIF(G156:N156,"Needs Correction"))</f>
        <v/>
      </c>
      <c r="U156" s="33">
        <f>IF($B156="","",IF($D156&lt;&gt;"Yes","",IF($Q156&gt;=Settings!$C$13,"None",MID(IF(AND(G156&lt;&gt;"Accepted",G156&lt;&gt;"Not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Yet Confirmed</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Confirmed",IF($Q157&gt;=Settings!$C$13,"Legalized",IF($P157&gt;=Settings!$C$12,"Registered",IF($O157&gt;0,"In Progress","Not Started"))))))</f>
        <v/>
      </c>
      <c r="S157" s="32">
        <f>IF($B157="","",COUNTIF(G157:N157,"Received"))</f>
        <v/>
      </c>
      <c r="T157" s="32">
        <f>IF($B157="","",COUNTIF(G157:N157,"Needs Correction"))</f>
        <v/>
      </c>
      <c r="U157" s="33">
        <f>IF($B157="","",IF($D157&lt;&gt;"Yes","",IF($Q157&gt;=Settings!$C$13,"None",MID(IF(AND(G157&lt;&gt;"Accepted",G157&lt;&gt;"Not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Yet Confirmed</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Confirmed",IF($Q158&gt;=Settings!$C$13,"Legalized",IF($P158&gt;=Settings!$C$12,"Registered",IF($O158&gt;0,"In Progress","Not Started"))))))</f>
        <v/>
      </c>
      <c r="S158" s="32">
        <f>IF($B158="","",COUNTIF(G158:N158,"Received"))</f>
        <v/>
      </c>
      <c r="T158" s="32">
        <f>IF($B158="","",COUNTIF(G158:N158,"Needs Correction"))</f>
        <v/>
      </c>
      <c r="U158" s="33">
        <f>IF($B158="","",IF($D158&lt;&gt;"Yes","",IF($Q158&gt;=Settings!$C$13,"None",MID(IF(AND(G158&lt;&gt;"Accepted",G158&lt;&gt;"Not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Confirmed",IF($Q159&gt;=Settings!$C$13,"Legalized",IF($P159&gt;=Settings!$C$12,"Registered",IF($O159&gt;0,"In Progress","Not Started"))))))</f>
        <v/>
      </c>
      <c r="S159" s="32">
        <f>IF($B159="","",COUNTIF(G159:N159,"Received"))</f>
        <v/>
      </c>
      <c r="T159" s="32">
        <f>IF($B159="","",COUNTIF(G159:N159,"Needs Correction"))</f>
        <v/>
      </c>
      <c r="U159" s="33">
        <f>IF($B159="","",IF($D159&lt;&gt;"Yes","",IF($Q159&gt;=Settings!$C$13,"None",MID(IF(AND(G159&lt;&gt;"Accepted",G159&lt;&gt;"Not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Yet Confirmed</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Confirmed",IF($Q160&gt;=Settings!$C$13,"Legalized",IF($P160&gt;=Settings!$C$12,"Registered",IF($O160&gt;0,"In Progress","Not Started"))))))</f>
        <v/>
      </c>
      <c r="S160" s="32">
        <f>IF($B160="","",COUNTIF(G160:N160,"Received"))</f>
        <v/>
      </c>
      <c r="T160" s="32">
        <f>IF($B160="","",COUNTIF(G160:N160,"Needs Correction"))</f>
        <v/>
      </c>
      <c r="U160" s="33">
        <f>IF($B160="","",IF($D160&lt;&gt;"Yes","",IF($Q160&gt;=Settings!$C$13,"None",MID(IF(AND(G160&lt;&gt;"Accepted",G160&lt;&gt;"Not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Yet Confirmed</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Confirmed",IF($Q161&gt;=Settings!$C$13,"Legalized",IF($P161&gt;=Settings!$C$12,"Registered",IF($O161&gt;0,"In Progress","Not Started"))))))</f>
        <v/>
      </c>
      <c r="S161" s="32">
        <f>IF($B161="","",COUNTIF(G161:N161,"Received"))</f>
        <v/>
      </c>
      <c r="T161" s="32">
        <f>IF($B161="","",COUNTIF(G161:N161,"Needs Correction"))</f>
        <v/>
      </c>
      <c r="U161" s="33">
        <f>IF($B161="","",IF($D161&lt;&gt;"Yes","",IF($Q161&gt;=Settings!$C$13,"None",MID(IF(AND(G161&lt;&gt;"Accepted",G161&lt;&gt;"Not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Yet Confirmed</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Confirmed",IF($Q162&gt;=Settings!$C$13,"Legalized",IF($P162&gt;=Settings!$C$12,"Registered",IF($O162&gt;0,"In Progress","Not Started"))))))</f>
        <v/>
      </c>
      <c r="S162" s="32">
        <f>IF($B162="","",COUNTIF(G162:N162,"Received"))</f>
        <v/>
      </c>
      <c r="T162" s="32">
        <f>IF($B162="","",COUNTIF(G162:N162,"Needs Correction"))</f>
        <v/>
      </c>
      <c r="U162" s="33">
        <f>IF($B162="","",IF($D162&lt;&gt;"Yes","",IF($Q162&gt;=Settings!$C$13,"None",MID(IF(AND(G162&lt;&gt;"Accepted",G162&lt;&gt;"Not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Yet Confirmed</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Confirmed",IF($Q163&gt;=Settings!$C$13,"Legalized",IF($P163&gt;=Settings!$C$12,"Registered",IF($O163&gt;0,"In Progress","Not Started"))))))</f>
        <v/>
      </c>
      <c r="S163" s="32">
        <f>IF($B163="","",COUNTIF(G163:N163,"Received"))</f>
        <v/>
      </c>
      <c r="T163" s="32">
        <f>IF($B163="","",COUNTIF(G163:N163,"Needs Correction"))</f>
        <v/>
      </c>
      <c r="U163" s="33">
        <f>IF($B163="","",IF($D163&lt;&gt;"Yes","",IF($Q163&gt;=Settings!$C$13,"None",MID(IF(AND(G163&lt;&gt;"Accepted",G163&lt;&gt;"Not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Yet Confirmed</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Confirmed",IF($Q164&gt;=Settings!$C$13,"Legalized",IF($P164&gt;=Settings!$C$12,"Registered",IF($O164&gt;0,"In Progress","Not Started"))))))</f>
        <v/>
      </c>
      <c r="S164" s="32">
        <f>IF($B164="","",COUNTIF(G164:N164,"Received"))</f>
        <v/>
      </c>
      <c r="T164" s="32">
        <f>IF($B164="","",COUNTIF(G164:N164,"Needs Correction"))</f>
        <v/>
      </c>
      <c r="U164" s="33">
        <f>IF($B164="","",IF($D164&lt;&gt;"Yes","",IF($Q164&gt;=Settings!$C$13,"None",MID(IF(AND(G164&lt;&gt;"Accepted",G164&lt;&gt;"Not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Yet Confirmed</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Confirmed",IF($Q165&gt;=Settings!$C$13,"Legalized",IF($P165&gt;=Settings!$C$12,"Registered",IF($O165&gt;0,"In Progress","Not Started"))))))</f>
        <v/>
      </c>
      <c r="S165" s="32">
        <f>IF($B165="","",COUNTIF(G165:N165,"Received"))</f>
        <v/>
      </c>
      <c r="T165" s="32">
        <f>IF($B165="","",COUNTIF(G165:N165,"Needs Correction"))</f>
        <v/>
      </c>
      <c r="U165" s="33">
        <f>IF($B165="","",IF($D165&lt;&gt;"Yes","",IF($Q165&gt;=Settings!$C$13,"None",MID(IF(AND(G165&lt;&gt;"Accepted",G165&lt;&gt;"Not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Yet Confirmed</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Confirmed",IF($Q166&gt;=Settings!$C$13,"Legalized",IF($P166&gt;=Settings!$C$12,"Registered",IF($O166&gt;0,"In Progress","Not Started"))))))</f>
        <v/>
      </c>
      <c r="S166" s="32">
        <f>IF($B166="","",COUNTIF(G166:N166,"Received"))</f>
        <v/>
      </c>
      <c r="T166" s="32">
        <f>IF($B166="","",COUNTIF(G166:N166,"Needs Correction"))</f>
        <v/>
      </c>
      <c r="U166" s="33">
        <f>IF($B166="","",IF($D166&lt;&gt;"Yes","",IF($Q166&gt;=Settings!$C$13,"None",MID(IF(AND(G166&lt;&gt;"Accepted",G166&lt;&gt;"Not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Yet Confirmed</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Confirmed",IF($Q167&gt;=Settings!$C$13,"Legalized",IF($P167&gt;=Settings!$C$12,"Registered",IF($O167&gt;0,"In Progress","Not Started"))))))</f>
        <v/>
      </c>
      <c r="S167" s="32">
        <f>IF($B167="","",COUNTIF(G167:N167,"Received"))</f>
        <v/>
      </c>
      <c r="T167" s="32">
        <f>IF($B167="","",COUNTIF(G167:N167,"Needs Correction"))</f>
        <v/>
      </c>
      <c r="U167" s="33">
        <f>IF($B167="","",IF($D167&lt;&gt;"Yes","",IF($Q167&gt;=Settings!$C$13,"None",MID(IF(AND(G167&lt;&gt;"Accepted",G167&lt;&gt;"Not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Yet Confirmed</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Confirmed",IF($Q168&gt;=Settings!$C$13,"Legalized",IF($P168&gt;=Settings!$C$12,"Registered",IF($O168&gt;0,"In Progress","Not Started"))))))</f>
        <v/>
      </c>
      <c r="S168" s="32">
        <f>IF($B168="","",COUNTIF(G168:N168,"Received"))</f>
        <v/>
      </c>
      <c r="T168" s="32">
        <f>IF($B168="","",COUNTIF(G168:N168,"Needs Correction"))</f>
        <v/>
      </c>
      <c r="U168" s="33">
        <f>IF($B168="","",IF($D168&lt;&gt;"Yes","",IF($Q168&gt;=Settings!$C$13,"None",MID(IF(AND(G168&lt;&gt;"Accepted",G168&lt;&gt;"Not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Yet Confirmed</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Confirmed",IF($Q169&gt;=Settings!$C$13,"Legalized",IF($P169&gt;=Settings!$C$12,"Registered",IF($O169&gt;0,"In Progress","Not Started"))))))</f>
        <v/>
      </c>
      <c r="S169" s="32">
        <f>IF($B169="","",COUNTIF(G169:N169,"Received"))</f>
        <v/>
      </c>
      <c r="T169" s="32">
        <f>IF($B169="","",COUNTIF(G169:N169,"Needs Correction"))</f>
        <v/>
      </c>
      <c r="U169" s="33">
        <f>IF($B169="","",IF($D169&lt;&gt;"Yes","",IF($Q169&gt;=Settings!$C$13,"None",MID(IF(AND(G169&lt;&gt;"Accepted",G169&lt;&gt;"Not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Yet Confirmed</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Confirmed",IF($Q170&gt;=Settings!$C$13,"Legalized",IF($P170&gt;=Settings!$C$12,"Registered",IF($O170&gt;0,"In Progress","Not Started"))))))</f>
        <v/>
      </c>
      <c r="S170" s="32">
        <f>IF($B170="","",COUNTIF(G170:N170,"Received"))</f>
        <v/>
      </c>
      <c r="T170" s="32">
        <f>IF($B170="","",COUNTIF(G170:N170,"Needs Correction"))</f>
        <v/>
      </c>
      <c r="U170" s="33">
        <f>IF($B170="","",IF($D170&lt;&gt;"Yes","",IF($Q170&gt;=Settings!$C$13,"None",MID(IF(AND(G170&lt;&gt;"Accepted",G170&lt;&gt;"Not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Yet Confirmed</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Confirmed",IF($Q171&gt;=Settings!$C$13,"Legalized",IF($P171&gt;=Settings!$C$12,"Registered",IF($O171&gt;0,"In Progress","Not Started"))))))</f>
        <v/>
      </c>
      <c r="S171" s="32">
        <f>IF($B171="","",COUNTIF(G171:N171,"Received"))</f>
        <v/>
      </c>
      <c r="T171" s="32">
        <f>IF($B171="","",COUNTIF(G171:N171,"Needs Correction"))</f>
        <v/>
      </c>
      <c r="U171" s="33">
        <f>IF($B171="","",IF($D171&lt;&gt;"Yes","",IF($Q171&gt;=Settings!$C$13,"None",MID(IF(AND(G171&lt;&gt;"Accepted",G171&lt;&gt;"Not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Yet Confirmed</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Confirmed",IF($Q172&gt;=Settings!$C$13,"Legalized",IF($P172&gt;=Settings!$C$12,"Registered",IF($O172&gt;0,"In Progress","Not Started"))))))</f>
        <v/>
      </c>
      <c r="S172" s="32">
        <f>IF($B172="","",COUNTIF(G172:N172,"Received"))</f>
        <v/>
      </c>
      <c r="T172" s="32">
        <f>IF($B172="","",COUNTIF(G172:N172,"Needs Correction"))</f>
        <v/>
      </c>
      <c r="U172" s="33">
        <f>IF($B172="","",IF($D172&lt;&gt;"Yes","",IF($Q172&gt;=Settings!$C$13,"None",MID(IF(AND(G172&lt;&gt;"Accepted",G172&lt;&gt;"Not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Yet Confirmed</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Confirmed",IF($Q173&gt;=Settings!$C$13,"Legalized",IF($P173&gt;=Settings!$C$12,"Registered",IF($O173&gt;0,"In Progress","Not Started"))))))</f>
        <v/>
      </c>
      <c r="S173" s="32">
        <f>IF($B173="","",COUNTIF(G173:N173,"Received"))</f>
        <v/>
      </c>
      <c r="T173" s="32">
        <f>IF($B173="","",COUNTIF(G173:N173,"Needs Correction"))</f>
        <v/>
      </c>
      <c r="U173" s="33">
        <f>IF($B173="","",IF($D173&lt;&gt;"Yes","",IF($Q173&gt;=Settings!$C$13,"None",MID(IF(AND(G173&lt;&gt;"Accepted",G173&lt;&gt;"Not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Yet Confirmed</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Confirmed",IF($Q174&gt;=Settings!$C$13,"Legalized",IF($P174&gt;=Settings!$C$12,"Registered",IF($O174&gt;0,"In Progress","Not Started"))))))</f>
        <v/>
      </c>
      <c r="S174" s="32">
        <f>IF($B174="","",COUNTIF(G174:N174,"Received"))</f>
        <v/>
      </c>
      <c r="T174" s="32">
        <f>IF($B174="","",COUNTIF(G174:N174,"Needs Correction"))</f>
        <v/>
      </c>
      <c r="U174" s="33">
        <f>IF($B174="","",IF($D174&lt;&gt;"Yes","",IF($Q174&gt;=Settings!$C$13,"None",MID(IF(AND(G174&lt;&gt;"Accepted",G174&lt;&gt;"Not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Yet Confirmed</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Confirmed",IF($Q175&gt;=Settings!$C$13,"Legalized",IF($P175&gt;=Settings!$C$12,"Registered",IF($O175&gt;0,"In Progress","Not Started"))))))</f>
        <v/>
      </c>
      <c r="S175" s="32">
        <f>IF($B175="","",COUNTIF(G175:N175,"Received"))</f>
        <v/>
      </c>
      <c r="T175" s="32">
        <f>IF($B175="","",COUNTIF(G175:N175,"Needs Correction"))</f>
        <v/>
      </c>
      <c r="U175" s="33">
        <f>IF($B175="","",IF($D175&lt;&gt;"Yes","",IF($Q175&gt;=Settings!$C$13,"None",MID(IF(AND(G175&lt;&gt;"Accepted",G175&lt;&gt;"Not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Yet Confirmed</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Confirmed",IF($Q176&gt;=Settings!$C$13,"Legalized",IF($P176&gt;=Settings!$C$12,"Registered",IF($O176&gt;0,"In Progress","Not Started"))))))</f>
        <v/>
      </c>
      <c r="S176" s="32">
        <f>IF($B176="","",COUNTIF(G176:N176,"Received"))</f>
        <v/>
      </c>
      <c r="T176" s="32">
        <f>IF($B176="","",COUNTIF(G176:N176,"Needs Correction"))</f>
        <v/>
      </c>
      <c r="U176" s="33">
        <f>IF($B176="","",IF($D176&lt;&gt;"Yes","",IF($Q176&gt;=Settings!$C$13,"None",MID(IF(AND(G176&lt;&gt;"Accepted",G176&lt;&gt;"Not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Yet Confirmed</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Confirmed",IF($Q177&gt;=Settings!$C$13,"Legalized",IF($P177&gt;=Settings!$C$12,"Registered",IF($O177&gt;0,"In Progress","Not Started"))))))</f>
        <v/>
      </c>
      <c r="S177" s="32">
        <f>IF($B177="","",COUNTIF(G177:N177,"Received"))</f>
        <v/>
      </c>
      <c r="T177" s="32">
        <f>IF($B177="","",COUNTIF(G177:N177,"Needs Correction"))</f>
        <v/>
      </c>
      <c r="U177" s="33">
        <f>IF($B177="","",IF($D177&lt;&gt;"Yes","",IF($Q177&gt;=Settings!$C$13,"None",MID(IF(AND(G177&lt;&gt;"Accepted",G177&lt;&gt;"Not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Yet Confirmed</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Confirmed",IF($Q178&gt;=Settings!$C$13,"Legalized",IF($P178&gt;=Settings!$C$12,"Registered",IF($O178&gt;0,"In Progress","Not Started"))))))</f>
        <v/>
      </c>
      <c r="S178" s="32">
        <f>IF($B178="","",COUNTIF(G178:N178,"Received"))</f>
        <v/>
      </c>
      <c r="T178" s="32">
        <f>IF($B178="","",COUNTIF(G178:N178,"Needs Correction"))</f>
        <v/>
      </c>
      <c r="U178" s="33">
        <f>IF($B178="","",IF($D178&lt;&gt;"Yes","",IF($Q178&gt;=Settings!$C$13,"None",MID(IF(AND(G178&lt;&gt;"Accepted",G178&lt;&gt;"Not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Yet Confirmed</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Confirmed",IF($Q179&gt;=Settings!$C$13,"Legalized",IF($P179&gt;=Settings!$C$12,"Registered",IF($O179&gt;0,"In Progress","Not Started"))))))</f>
        <v/>
      </c>
      <c r="S179" s="32">
        <f>IF($B179="","",COUNTIF(G179:N179,"Received"))</f>
        <v/>
      </c>
      <c r="T179" s="32">
        <f>IF($B179="","",COUNTIF(G179:N179,"Needs Correction"))</f>
        <v/>
      </c>
      <c r="U179" s="33">
        <f>IF($B179="","",IF($D179&lt;&gt;"Yes","",IF($Q179&gt;=Settings!$C$13,"None",MID(IF(AND(G179&lt;&gt;"Accepted",G179&lt;&gt;"Not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Yet Confirmed</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Confirmed",IF($Q180&gt;=Settings!$C$13,"Legalized",IF($P180&gt;=Settings!$C$12,"Registered",IF($O180&gt;0,"In Progress","Not Started"))))))</f>
        <v/>
      </c>
      <c r="S180" s="32">
        <f>IF($B180="","",COUNTIF(G180:N180,"Received"))</f>
        <v/>
      </c>
      <c r="T180" s="32">
        <f>IF($B180="","",COUNTIF(G180:N180,"Needs Correction"))</f>
        <v/>
      </c>
      <c r="U180" s="33">
        <f>IF($B180="","",IF($D180&lt;&gt;"Yes","",IF($Q180&gt;=Settings!$C$13,"None",MID(IF(AND(G180&lt;&gt;"Accepted",G180&lt;&gt;"Not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Yet Confirmed</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Confirmed",IF($Q181&gt;=Settings!$C$13,"Legalized",IF($P181&gt;=Settings!$C$12,"Registered",IF($O181&gt;0,"In Progress","Not Started"))))))</f>
        <v/>
      </c>
      <c r="S181" s="32">
        <f>IF($B181="","",COUNTIF(G181:N181,"Received"))</f>
        <v/>
      </c>
      <c r="T181" s="32">
        <f>IF($B181="","",COUNTIF(G181:N181,"Needs Correction"))</f>
        <v/>
      </c>
      <c r="U181" s="33">
        <f>IF($B181="","",IF($D181&lt;&gt;"Yes","",IF($Q181&gt;=Settings!$C$13,"None",MID(IF(AND(G181&lt;&gt;"Accepted",G181&lt;&gt;"Not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Yet Confirmed</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Confirmed",IF($Q182&gt;=Settings!$C$13,"Legalized",IF($P182&gt;=Settings!$C$12,"Registered",IF($O182&gt;0,"In Progress","Not Started"))))))</f>
        <v/>
      </c>
      <c r="S182" s="32">
        <f>IF($B182="","",COUNTIF(G182:N182,"Received"))</f>
        <v/>
      </c>
      <c r="T182" s="32">
        <f>IF($B182="","",COUNTIF(G182:N182,"Needs Correction"))</f>
        <v/>
      </c>
      <c r="U182" s="33">
        <f>IF($B182="","",IF($D182&lt;&gt;"Yes","",IF($Q182&gt;=Settings!$C$13,"None",MID(IF(AND(G182&lt;&gt;"Accepted",G182&lt;&gt;"Not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Yet Confirmed</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Confirmed",IF($Q183&gt;=Settings!$C$13,"Legalized",IF($P183&gt;=Settings!$C$12,"Registered",IF($O183&gt;0,"In Progress","Not Started"))))))</f>
        <v/>
      </c>
      <c r="S183" s="32">
        <f>IF($B183="","",COUNTIF(G183:N183,"Received"))</f>
        <v/>
      </c>
      <c r="T183" s="32">
        <f>IF($B183="","",COUNTIF(G183:N183,"Needs Correction"))</f>
        <v/>
      </c>
      <c r="U183" s="33">
        <f>IF($B183="","",IF($D183&lt;&gt;"Yes","",IF($Q183&gt;=Settings!$C$13,"None",MID(IF(AND(G183&lt;&gt;"Accepted",G183&lt;&gt;"Not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Yet Confirmed</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Confirmed",IF($Q184&gt;=Settings!$C$13,"Legalized",IF($P184&gt;=Settings!$C$12,"Registered",IF($O184&gt;0,"In Progress","Not Started"))))))</f>
        <v/>
      </c>
      <c r="S184" s="32">
        <f>IF($B184="","",COUNTIF(G184:N184,"Received"))</f>
        <v/>
      </c>
      <c r="T184" s="32">
        <f>IF($B184="","",COUNTIF(G184:N184,"Needs Correction"))</f>
        <v/>
      </c>
      <c r="U184" s="33">
        <f>IF($B184="","",IF($D184&lt;&gt;"Yes","",IF($Q184&gt;=Settings!$C$13,"None",MID(IF(AND(G184&lt;&gt;"Accepted",G184&lt;&gt;"Not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Yet Confirmed</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Confirmed",IF($Q185&gt;=Settings!$C$13,"Legalized",IF($P185&gt;=Settings!$C$12,"Registered",IF($O185&gt;0,"In Progress","Not Started"))))))</f>
        <v/>
      </c>
      <c r="S185" s="32">
        <f>IF($B185="","",COUNTIF(G185:N185,"Received"))</f>
        <v/>
      </c>
      <c r="T185" s="32">
        <f>IF($B185="","",COUNTIF(G185:N185,"Needs Correction"))</f>
        <v/>
      </c>
      <c r="U185" s="33">
        <f>IF($B185="","",IF($D185&lt;&gt;"Yes","",IF($Q185&gt;=Settings!$C$13,"None",MID(IF(AND(G185&lt;&gt;"Accepted",G185&lt;&gt;"Not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Yet Confirmed</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Confirmed",IF($Q186&gt;=Settings!$C$13,"Legalized",IF($P186&gt;=Settings!$C$12,"Registered",IF($O186&gt;0,"In Progress","Not Started"))))))</f>
        <v/>
      </c>
      <c r="S186" s="32">
        <f>IF($B186="","",COUNTIF(G186:N186,"Received"))</f>
        <v/>
      </c>
      <c r="T186" s="32">
        <f>IF($B186="","",COUNTIF(G186:N186,"Needs Correction"))</f>
        <v/>
      </c>
      <c r="U186" s="33">
        <f>IF($B186="","",IF($D186&lt;&gt;"Yes","",IF($Q186&gt;=Settings!$C$13,"None",MID(IF(AND(G186&lt;&gt;"Accepted",G186&lt;&gt;"Not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Yet Confirmed</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Confirmed",IF($Q187&gt;=Settings!$C$13,"Legalized",IF($P187&gt;=Settings!$C$12,"Registered",IF($O187&gt;0,"In Progress","Not Started"))))))</f>
        <v/>
      </c>
      <c r="S187" s="32">
        <f>IF($B187="","",COUNTIF(G187:N187,"Received"))</f>
        <v/>
      </c>
      <c r="T187" s="32">
        <f>IF($B187="","",COUNTIF(G187:N187,"Needs Correction"))</f>
        <v/>
      </c>
      <c r="U187" s="33">
        <f>IF($B187="","",IF($D187&lt;&gt;"Yes","",IF($Q187&gt;=Settings!$C$13,"None",MID(IF(AND(G187&lt;&gt;"Accepted",G187&lt;&gt;"Not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Yet Confirmed</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Confirmed",IF($Q188&gt;=Settings!$C$13,"Legalized",IF($P188&gt;=Settings!$C$12,"Registered",IF($O188&gt;0,"In Progress","Not Started"))))))</f>
        <v/>
      </c>
      <c r="S188" s="32">
        <f>IF($B188="","",COUNTIF(G188:N188,"Received"))</f>
        <v/>
      </c>
      <c r="T188" s="32">
        <f>IF($B188="","",COUNTIF(G188:N188,"Needs Correction"))</f>
        <v/>
      </c>
      <c r="U188" s="33">
        <f>IF($B188="","",IF($D188&lt;&gt;"Yes","",IF($Q188&gt;=Settings!$C$13,"None",MID(IF(AND(G188&lt;&gt;"Accepted",G188&lt;&gt;"Not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Yet Confirmed</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Confirmed",IF($Q189&gt;=Settings!$C$13,"Legalized",IF($P189&gt;=Settings!$C$12,"Registered",IF($O189&gt;0,"In Progress","Not Started"))))))</f>
        <v/>
      </c>
      <c r="S189" s="32">
        <f>IF($B189="","",COUNTIF(G189:N189,"Received"))</f>
        <v/>
      </c>
      <c r="T189" s="32">
        <f>IF($B189="","",COUNTIF(G189:N189,"Needs Correction"))</f>
        <v/>
      </c>
      <c r="U189" s="33">
        <f>IF($B189="","",IF($D189&lt;&gt;"Yes","",IF($Q189&gt;=Settings!$C$13,"None",MID(IF(AND(G189&lt;&gt;"Accepted",G189&lt;&gt;"Not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Yet Confirmed</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Confirmed",IF($Q190&gt;=Settings!$C$13,"Legalized",IF($P190&gt;=Settings!$C$12,"Registered",IF($O190&gt;0,"In Progress","Not Started"))))))</f>
        <v/>
      </c>
      <c r="S190" s="32">
        <f>IF($B190="","",COUNTIF(G190:N190,"Received"))</f>
        <v/>
      </c>
      <c r="T190" s="32">
        <f>IF($B190="","",COUNTIF(G190:N190,"Needs Correction"))</f>
        <v/>
      </c>
      <c r="U190" s="33">
        <f>IF($B190="","",IF($D190&lt;&gt;"Yes","",IF($Q190&gt;=Settings!$C$13,"None",MID(IF(AND(G190&lt;&gt;"Accepted",G190&lt;&gt;"Not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Yet Confirmed</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Confirmed",IF($Q191&gt;=Settings!$C$13,"Legalized",IF($P191&gt;=Settings!$C$12,"Registered",IF($O191&gt;0,"In Progress","Not Started"))))))</f>
        <v/>
      </c>
      <c r="S191" s="32">
        <f>IF($B191="","",COUNTIF(G191:N191,"Received"))</f>
        <v/>
      </c>
      <c r="T191" s="32">
        <f>IF($B191="","",COUNTIF(G191:N191,"Needs Correction"))</f>
        <v/>
      </c>
      <c r="U191" s="33">
        <f>IF($B191="","",IF($D191&lt;&gt;"Yes","",IF($Q191&gt;=Settings!$C$13,"None",MID(IF(AND(G191&lt;&gt;"Accepted",G191&lt;&gt;"Not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Yet Confirmed</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Confirmed",IF($Q192&gt;=Settings!$C$13,"Legalized",IF($P192&gt;=Settings!$C$12,"Registered",IF($O192&gt;0,"In Progress","Not Started"))))))</f>
        <v/>
      </c>
      <c r="S192" s="32">
        <f>IF($B192="","",COUNTIF(G192:N192,"Received"))</f>
        <v/>
      </c>
      <c r="T192" s="32">
        <f>IF($B192="","",COUNTIF(G192:N192,"Needs Correction"))</f>
        <v/>
      </c>
      <c r="U192" s="33">
        <f>IF($B192="","",IF($D192&lt;&gt;"Yes","",IF($Q192&gt;=Settings!$C$13,"None",MID(IF(AND(G192&lt;&gt;"Accepted",G192&lt;&gt;"Not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Yet Confirmed</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Confirmed",IF($Q193&gt;=Settings!$C$13,"Legalized",IF($P193&gt;=Settings!$C$12,"Registered",IF($O193&gt;0,"In Progress","Not Started"))))))</f>
        <v/>
      </c>
      <c r="S193" s="32">
        <f>IF($B193="","",COUNTIF(G193:N193,"Received"))</f>
        <v/>
      </c>
      <c r="T193" s="32">
        <f>IF($B193="","",COUNTIF(G193:N193,"Needs Correction"))</f>
        <v/>
      </c>
      <c r="U193" s="33">
        <f>IF($B193="","",IF($D193&lt;&gt;"Yes","",IF($Q193&gt;=Settings!$C$13,"None",MID(IF(AND(G193&lt;&gt;"Accepted",G193&lt;&gt;"Not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Yet Confirmed</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Confirmed",IF($Q194&gt;=Settings!$C$13,"Legalized",IF($P194&gt;=Settings!$C$12,"Registered",IF($O194&gt;0,"In Progress","Not Started"))))))</f>
        <v/>
      </c>
      <c r="S194" s="32">
        <f>IF($B194="","",COUNTIF(G194:N194,"Received"))</f>
        <v/>
      </c>
      <c r="T194" s="32">
        <f>IF($B194="","",COUNTIF(G194:N194,"Needs Correction"))</f>
        <v/>
      </c>
      <c r="U194" s="33">
        <f>IF($B194="","",IF($D194&lt;&gt;"Yes","",IF($Q194&gt;=Settings!$C$13,"None",MID(IF(AND(G194&lt;&gt;"Accepted",G194&lt;&gt;"Not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Yet Confirmed</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Confirmed",IF($Q195&gt;=Settings!$C$13,"Legalized",IF($P195&gt;=Settings!$C$12,"Registered",IF($O195&gt;0,"In Progress","Not Started"))))))</f>
        <v/>
      </c>
      <c r="S195" s="32">
        <f>IF($B195="","",COUNTIF(G195:N195,"Received"))</f>
        <v/>
      </c>
      <c r="T195" s="32">
        <f>IF($B195="","",COUNTIF(G195:N195,"Needs Correction"))</f>
        <v/>
      </c>
      <c r="U195" s="33">
        <f>IF($B195="","",IF($D195&lt;&gt;"Yes","",IF($Q195&gt;=Settings!$C$13,"None",MID(IF(AND(G195&lt;&gt;"Accepted",G195&lt;&gt;"Not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Yet Confirmed</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Confirmed",IF($Q196&gt;=Settings!$C$13,"Legalized",IF($P196&gt;=Settings!$C$12,"Registered",IF($O196&gt;0,"In Progress","Not Started"))))))</f>
        <v/>
      </c>
      <c r="S196" s="32">
        <f>IF($B196="","",COUNTIF(G196:N196,"Received"))</f>
        <v/>
      </c>
      <c r="T196" s="32">
        <f>IF($B196="","",COUNTIF(G196:N196,"Needs Correction"))</f>
        <v/>
      </c>
      <c r="U196" s="33">
        <f>IF($B196="","",IF($D196&lt;&gt;"Yes","",IF($Q196&gt;=Settings!$C$13,"None",MID(IF(AND(G196&lt;&gt;"Accepted",G196&lt;&gt;"Not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Yet Confirmed</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Confirmed",IF($Q197&gt;=Settings!$C$13,"Legalized",IF($P197&gt;=Settings!$C$12,"Registered",IF($O197&gt;0,"In Progress","Not Started"))))))</f>
        <v/>
      </c>
      <c r="S197" s="32">
        <f>IF($B197="","",COUNTIF(G197:N197,"Received"))</f>
        <v/>
      </c>
      <c r="T197" s="32">
        <f>IF($B197="","",COUNTIF(G197:N197,"Needs Correction"))</f>
        <v/>
      </c>
      <c r="U197" s="33">
        <f>IF($B197="","",IF($D197&lt;&gt;"Yes","",IF($Q197&gt;=Settings!$C$13,"None",MID(IF(AND(G197&lt;&gt;"Accepted",G197&lt;&gt;"Not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Yet Confirmed</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Confirmed",IF($Q198&gt;=Settings!$C$13,"Legalized",IF($P198&gt;=Settings!$C$12,"Registered",IF($O198&gt;0,"In Progress","Not Started"))))))</f>
        <v/>
      </c>
      <c r="S198" s="32">
        <f>IF($B198="","",COUNTIF(G198:N198,"Received"))</f>
        <v/>
      </c>
      <c r="T198" s="32">
        <f>IF($B198="","",COUNTIF(G198:N198,"Needs Correction"))</f>
        <v/>
      </c>
      <c r="U198" s="33">
        <f>IF($B198="","",IF($D198&lt;&gt;"Yes","",IF($Q198&gt;=Settings!$C$13,"None",MID(IF(AND(G198&lt;&gt;"Accepted",G198&lt;&gt;"Not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Yet Confirmed</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Confirmed",IF($Q199&gt;=Settings!$C$13,"Legalized",IF($P199&gt;=Settings!$C$12,"Registered",IF($O199&gt;0,"In Progress","Not Started"))))))</f>
        <v/>
      </c>
      <c r="S199" s="32">
        <f>IF($B199="","",COUNTIF(G199:N199,"Received"))</f>
        <v/>
      </c>
      <c r="T199" s="32">
        <f>IF($B199="","",COUNTIF(G199:N199,"Needs Correction"))</f>
        <v/>
      </c>
      <c r="U199" s="33">
        <f>IF($B199="","",IF($D199&lt;&gt;"Yes","",IF($Q199&gt;=Settings!$C$13,"None",MID(IF(AND(G199&lt;&gt;"Accepted",G199&lt;&gt;"Not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Confirmed",IF($Q200&gt;=Settings!$C$13,"Legalized",IF($P200&gt;=Settings!$C$12,"Registered",IF($O200&gt;0,"In Progress","Not Started"))))))</f>
        <v/>
      </c>
      <c r="S200" s="32">
        <f>IF($B200="","",COUNTIF(G200:N200,"Received"))</f>
        <v/>
      </c>
      <c r="T200" s="32">
        <f>IF($B200="","",COUNTIF(G200:N200,"Needs Correction"))</f>
        <v/>
      </c>
      <c r="U200" s="33">
        <f>IF($B200="","",IF($D200&lt;&gt;"Yes","",IF($Q200&gt;=Settings!$C$13,"None",MID(IF(AND(G200&lt;&gt;"Accepted",G200&lt;&gt;"Not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Yet Confirmed</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Confirmed",IF($Q201&gt;=Settings!$C$13,"Legalized",IF($P201&gt;=Settings!$C$12,"Registered",IF($O201&gt;0,"In Progress","Not Started"))))))</f>
        <v/>
      </c>
      <c r="S201" s="32">
        <f>IF($B201="","",COUNTIF(G201:N201,"Received"))</f>
        <v/>
      </c>
      <c r="T201" s="32">
        <f>IF($B201="","",COUNTIF(G201:N201,"Needs Correction"))</f>
        <v/>
      </c>
      <c r="U201" s="33">
        <f>IF($B201="","",IF($D201&lt;&gt;"Yes","",IF($Q201&gt;=Settings!$C$13,"None",MID(IF(AND(G201&lt;&gt;"Accepted",G201&lt;&gt;"Not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Yet Confirmed</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Confirmed",IF($Q202&gt;=Settings!$C$13,"Legalized",IF($P202&gt;=Settings!$C$12,"Registered",IF($O202&gt;0,"In Progress","Not Started"))))))</f>
        <v/>
      </c>
      <c r="S202" s="32">
        <f>IF($B202="","",COUNTIF(G202:N202,"Received"))</f>
        <v/>
      </c>
      <c r="T202" s="32">
        <f>IF($B202="","",COUNTIF(G202:N202,"Needs Correction"))</f>
        <v/>
      </c>
      <c r="U202" s="33">
        <f>IF($B202="","",IF($D202&lt;&gt;"Yes","",IF($Q202&gt;=Settings!$C$13,"None",MID(IF(AND(G202&lt;&gt;"Accepted",G202&lt;&gt;"Not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Yet Confirmed</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Confirmed",IF($Q203&gt;=Settings!$C$13,"Legalized",IF($P203&gt;=Settings!$C$12,"Registered",IF($O203&gt;0,"In Progress","Not Started"))))))</f>
        <v/>
      </c>
      <c r="S203" s="32">
        <f>IF($B203="","",COUNTIF(G203:N203,"Received"))</f>
        <v/>
      </c>
      <c r="T203" s="32">
        <f>IF($B203="","",COUNTIF(G203:N203,"Needs Correction"))</f>
        <v/>
      </c>
      <c r="U203" s="33">
        <f>IF($B203="","",IF($D203&lt;&gt;"Yes","",IF($Q203&gt;=Settings!$C$13,"None",MID(IF(AND(G203&lt;&gt;"Accepted",G203&lt;&gt;"Not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Yet Confirmed</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Confirmed",IF($Q204&gt;=Settings!$C$13,"Legalized",IF($P204&gt;=Settings!$C$12,"Registered",IF($O204&gt;0,"In Progress","Not Started"))))))</f>
        <v/>
      </c>
      <c r="S204" s="32">
        <f>IF($B204="","",COUNTIF(G204:N204,"Received"))</f>
        <v/>
      </c>
      <c r="T204" s="32">
        <f>IF($B204="","",COUNTIF(G204:N204,"Needs Correction"))</f>
        <v/>
      </c>
      <c r="U204" s="33">
        <f>IF($B204="","",IF($D204&lt;&gt;"Yes","",IF($Q204&gt;=Settings!$C$13,"None",MID(IF(AND(G204&lt;&gt;"Accepted",G204&lt;&gt;"Not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Confirmed",IF($Q205&gt;=Settings!$C$13,"Legalized",IF($P205&gt;=Settings!$C$12,"Registered",IF($O205&gt;0,"In Progress","Not Started"))))))</f>
        <v/>
      </c>
      <c r="S205" s="32">
        <f>IF($B205="","",COUNTIF(G205:N205,"Received"))</f>
        <v/>
      </c>
      <c r="T205" s="32">
        <f>IF($B205="","",COUNTIF(G205:N205,"Needs Correction"))</f>
        <v/>
      </c>
      <c r="U205" s="33">
        <f>IF($B205="","",IF($D205&lt;&gt;"Yes","",IF($Q205&gt;=Settings!$C$13,"None",MID(IF(AND(G205&lt;&gt;"Accepted",G205&lt;&gt;"Not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Yet Confirmed</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Confirmed",IF($Q206&gt;=Settings!$C$13,"Legalized",IF($P206&gt;=Settings!$C$12,"Registered",IF($O206&gt;0,"In Progress","Not Started"))))))</f>
        <v/>
      </c>
      <c r="S206" s="32">
        <f>IF($B206="","",COUNTIF(G206:N206,"Received"))</f>
        <v/>
      </c>
      <c r="T206" s="32">
        <f>IF($B206="","",COUNTIF(G206:N206,"Needs Correction"))</f>
        <v/>
      </c>
      <c r="U206" s="33">
        <f>IF($B206="","",IF($D206&lt;&gt;"Yes","",IF($Q206&gt;=Settings!$C$13,"None",MID(IF(AND(G206&lt;&gt;"Accepted",G206&lt;&gt;"Not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Yet Confirmed</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Confirmed",IF($Q207&gt;=Settings!$C$13,"Legalized",IF($P207&gt;=Settings!$C$12,"Registered",IF($O207&gt;0,"In Progress","Not Started"))))))</f>
        <v/>
      </c>
      <c r="S207" s="32">
        <f>IF($B207="","",COUNTIF(G207:N207,"Received"))</f>
        <v/>
      </c>
      <c r="T207" s="32">
        <f>IF($B207="","",COUNTIF(G207:N207,"Needs Correction"))</f>
        <v/>
      </c>
      <c r="U207" s="33">
        <f>IF($B207="","",IF($D207&lt;&gt;"Yes","",IF($Q207&gt;=Settings!$C$13,"None",MID(IF(AND(G207&lt;&gt;"Accepted",G207&lt;&gt;"Not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Confirmed",IF($Q208&gt;=Settings!$C$13,"Legalized",IF($P208&gt;=Settings!$C$12,"Registered",IF($O208&gt;0,"In Progress","Not Started"))))))</f>
        <v/>
      </c>
      <c r="S208" s="32">
        <f>IF($B208="","",COUNTIF(G208:N208,"Received"))</f>
        <v/>
      </c>
      <c r="T208" s="32">
        <f>IF($B208="","",COUNTIF(G208:N208,"Needs Correction"))</f>
        <v/>
      </c>
      <c r="U208" s="33">
        <f>IF($B208="","",IF($D208&lt;&gt;"Yes","",IF($Q208&gt;=Settings!$C$13,"None",MID(IF(AND(G208&lt;&gt;"Accepted",G208&lt;&gt;"Not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Yet Confirmed</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Confirmed",IF($Q209&gt;=Settings!$C$13,"Legalized",IF($P209&gt;=Settings!$C$12,"Registered",IF($O209&gt;0,"In Progress","Not Started"))))))</f>
        <v/>
      </c>
      <c r="S209" s="32">
        <f>IF($B209="","",COUNTIF(G209:N209,"Received"))</f>
        <v/>
      </c>
      <c r="T209" s="32">
        <f>IF($B209="","",COUNTIF(G209:N209,"Needs Correction"))</f>
        <v/>
      </c>
      <c r="U209" s="33">
        <f>IF($B209="","",IF($D209&lt;&gt;"Yes","",IF($Q209&gt;=Settings!$C$13,"None",MID(IF(AND(G209&lt;&gt;"Accepted",G209&lt;&gt;"Not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Yet Confirmed</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Confirmed",IF($Q210&gt;=Settings!$C$13,"Legalized",IF($P210&gt;=Settings!$C$12,"Registered",IF($O210&gt;0,"In Progress","Not Started"))))))</f>
        <v/>
      </c>
      <c r="S210" s="32">
        <f>IF($B210="","",COUNTIF(G210:N210,"Received"))</f>
        <v/>
      </c>
      <c r="T210" s="32">
        <f>IF($B210="","",COUNTIF(G210:N210,"Needs Correction"))</f>
        <v/>
      </c>
      <c r="U210" s="33">
        <f>IF($B210="","",IF($D210&lt;&gt;"Yes","",IF($Q210&gt;=Settings!$C$13,"None",MID(IF(AND(G210&lt;&gt;"Accepted",G210&lt;&gt;"Not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Yet Confirmed</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Confirmed",IF($Q211&gt;=Settings!$C$13,"Legalized",IF($P211&gt;=Settings!$C$12,"Registered",IF($O211&gt;0,"In Progress","Not Started"))))))</f>
        <v/>
      </c>
      <c r="S211" s="32">
        <f>IF($B211="","",COUNTIF(G211:N211,"Received"))</f>
        <v/>
      </c>
      <c r="T211" s="32">
        <f>IF($B211="","",COUNTIF(G211:N211,"Needs Correction"))</f>
        <v/>
      </c>
      <c r="U211" s="33">
        <f>IF($B211="","",IF($D211&lt;&gt;"Yes","",IF($Q211&gt;=Settings!$C$13,"None",MID(IF(AND(G211&lt;&gt;"Accepted",G211&lt;&gt;"Not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Yet Confirmed</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Confirmed",IF($Q212&gt;=Settings!$C$13,"Legalized",IF($P212&gt;=Settings!$C$12,"Registered",IF($O212&gt;0,"In Progress","Not Started"))))))</f>
        <v/>
      </c>
      <c r="S212" s="32">
        <f>IF($B212="","",COUNTIF(G212:N212,"Received"))</f>
        <v/>
      </c>
      <c r="T212" s="32">
        <f>IF($B212="","",COUNTIF(G212:N212,"Needs Correction"))</f>
        <v/>
      </c>
      <c r="U212" s="33">
        <f>IF($B212="","",IF($D212&lt;&gt;"Yes","",IF($Q212&gt;=Settings!$C$13,"None",MID(IF(AND(G212&lt;&gt;"Accepted",G212&lt;&gt;"Not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Confirmed",IF($Q213&gt;=Settings!$C$13,"Legalized",IF($P213&gt;=Settings!$C$12,"Registered",IF($O213&gt;0,"In Progress","Not Started"))))))</f>
        <v/>
      </c>
      <c r="S213" s="32">
        <f>IF($B213="","",COUNTIF(G213:N213,"Received"))</f>
        <v/>
      </c>
      <c r="T213" s="32">
        <f>IF($B213="","",COUNTIF(G213:N213,"Needs Correction"))</f>
        <v/>
      </c>
      <c r="U213" s="33">
        <f>IF($B213="","",IF($D213&lt;&gt;"Yes","",IF($Q213&gt;=Settings!$C$13,"None",MID(IF(AND(G213&lt;&gt;"Accepted",G213&lt;&gt;"Not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Yet Confirmed</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Confirmed",IF($Q214&gt;=Settings!$C$13,"Legalized",IF($P214&gt;=Settings!$C$12,"Registered",IF($O214&gt;0,"In Progress","Not Started"))))))</f>
        <v/>
      </c>
      <c r="S214" s="32">
        <f>IF($B214="","",COUNTIF(G214:N214,"Received"))</f>
        <v/>
      </c>
      <c r="T214" s="32">
        <f>IF($B214="","",COUNTIF(G214:N214,"Needs Correction"))</f>
        <v/>
      </c>
      <c r="U214" s="33">
        <f>IF($B214="","",IF($D214&lt;&gt;"Yes","",IF($Q214&gt;=Settings!$C$13,"None",MID(IF(AND(G214&lt;&gt;"Accepted",G214&lt;&gt;"Not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Yet Confirmed</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Confirmed",IF($Q215&gt;=Settings!$C$13,"Legalized",IF($P215&gt;=Settings!$C$12,"Registered",IF($O215&gt;0,"In Progress","Not Started"))))))</f>
        <v/>
      </c>
      <c r="S215" s="32">
        <f>IF($B215="","",COUNTIF(G215:N215,"Received"))</f>
        <v/>
      </c>
      <c r="T215" s="32">
        <f>IF($B215="","",COUNTIF(G215:N215,"Needs Correction"))</f>
        <v/>
      </c>
      <c r="U215" s="33">
        <f>IF($B215="","",IF($D215&lt;&gt;"Yes","",IF($Q215&gt;=Settings!$C$13,"None",MID(IF(AND(G215&lt;&gt;"Accepted",G215&lt;&gt;"Not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Confirmed",IF($Q216&gt;=Settings!$C$13,"Legalized",IF($P216&gt;=Settings!$C$12,"Registered",IF($O216&gt;0,"In Progress","Not Started"))))))</f>
        <v/>
      </c>
      <c r="S216" s="32">
        <f>IF($B216="","",COUNTIF(G216:N216,"Received"))</f>
        <v/>
      </c>
      <c r="T216" s="32">
        <f>IF($B216="","",COUNTIF(G216:N216,"Needs Correction"))</f>
        <v/>
      </c>
      <c r="U216" s="33">
        <f>IF($B216="","",IF($D216&lt;&gt;"Yes","",IF($Q216&gt;=Settings!$C$13,"None",MID(IF(AND(G216&lt;&gt;"Accepted",G216&lt;&gt;"Not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Yet Confirmed</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Confirmed",IF($Q217&gt;=Settings!$C$13,"Legalized",IF($P217&gt;=Settings!$C$12,"Registered",IF($O217&gt;0,"In Progress","Not Started"))))))</f>
        <v/>
      </c>
      <c r="S217" s="32">
        <f>IF($B217="","",COUNTIF(G217:N217,"Received"))</f>
        <v/>
      </c>
      <c r="T217" s="32">
        <f>IF($B217="","",COUNTIF(G217:N217,"Needs Correction"))</f>
        <v/>
      </c>
      <c r="U217" s="33">
        <f>IF($B217="","",IF($D217&lt;&gt;"Yes","",IF($Q217&gt;=Settings!$C$13,"None",MID(IF(AND(G217&lt;&gt;"Accepted",G217&lt;&gt;"Not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Yet Confirmed</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Confirmed",IF($Q218&gt;=Settings!$C$13,"Legalized",IF($P218&gt;=Settings!$C$12,"Registered",IF($O218&gt;0,"In Progress","Not Started"))))))</f>
        <v/>
      </c>
      <c r="S218" s="32">
        <f>IF($B218="","",COUNTIF(G218:N218,"Received"))</f>
        <v/>
      </c>
      <c r="T218" s="32">
        <f>IF($B218="","",COUNTIF(G218:N218,"Needs Correction"))</f>
        <v/>
      </c>
      <c r="U218" s="33">
        <f>IF($B218="","",IF($D218&lt;&gt;"Yes","",IF($Q218&gt;=Settings!$C$13,"None",MID(IF(AND(G218&lt;&gt;"Accepted",G218&lt;&gt;"Not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Yet Confirmed</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Confirmed",IF($Q219&gt;=Settings!$C$13,"Legalized",IF($P219&gt;=Settings!$C$12,"Registered",IF($O219&gt;0,"In Progress","Not Started"))))))</f>
        <v/>
      </c>
      <c r="S219" s="32">
        <f>IF($B219="","",COUNTIF(G219:N219,"Received"))</f>
        <v/>
      </c>
      <c r="T219" s="32">
        <f>IF($B219="","",COUNTIF(G219:N219,"Needs Correction"))</f>
        <v/>
      </c>
      <c r="U219" s="33">
        <f>IF($B219="","",IF($D219&lt;&gt;"Yes","",IF($Q219&gt;=Settings!$C$13,"None",MID(IF(AND(G219&lt;&gt;"Accepted",G219&lt;&gt;"Not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Yet Confirmed</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Confirmed",IF($Q220&gt;=Settings!$C$13,"Legalized",IF($P220&gt;=Settings!$C$12,"Registered",IF($O220&gt;0,"In Progress","Not Started"))))))</f>
        <v/>
      </c>
      <c r="S220" s="32">
        <f>IF($B220="","",COUNTIF(G220:N220,"Received"))</f>
        <v/>
      </c>
      <c r="T220" s="32">
        <f>IF($B220="","",COUNTIF(G220:N220,"Needs Correction"))</f>
        <v/>
      </c>
      <c r="U220" s="33">
        <f>IF($B220="","",IF($D220&lt;&gt;"Yes","",IF($Q220&gt;=Settings!$C$13,"None",MID(IF(AND(G220&lt;&gt;"Accepted",G220&lt;&gt;"Not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Yet Confirmed</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Confirmed",IF($Q221&gt;=Settings!$C$13,"Legalized",IF($P221&gt;=Settings!$C$12,"Registered",IF($O221&gt;0,"In Progress","Not Started"))))))</f>
        <v/>
      </c>
      <c r="S221" s="32">
        <f>IF($B221="","",COUNTIF(G221:N221,"Received"))</f>
        <v/>
      </c>
      <c r="T221" s="32">
        <f>IF($B221="","",COUNTIF(G221:N221,"Needs Correction"))</f>
        <v/>
      </c>
      <c r="U221" s="33">
        <f>IF($B221="","",IF($D221&lt;&gt;"Yes","",IF($Q221&gt;=Settings!$C$13,"None",MID(IF(AND(G221&lt;&gt;"Accepted",G221&lt;&gt;"Not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Yet Confirmed</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Confirmed",IF($Q222&gt;=Settings!$C$13,"Legalized",IF($P222&gt;=Settings!$C$12,"Registered",IF($O222&gt;0,"In Progress","Not Started"))))))</f>
        <v/>
      </c>
      <c r="S222" s="32">
        <f>IF($B222="","",COUNTIF(G222:N222,"Received"))</f>
        <v/>
      </c>
      <c r="T222" s="32">
        <f>IF($B222="","",COUNTIF(G222:N222,"Needs Correction"))</f>
        <v/>
      </c>
      <c r="U222" s="33">
        <f>IF($B222="","",IF($D222&lt;&gt;"Yes","",IF($Q222&gt;=Settings!$C$13,"None",MID(IF(AND(G222&lt;&gt;"Accepted",G222&lt;&gt;"Not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Yet Confirmed</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Confirmed",IF($Q223&gt;=Settings!$C$13,"Legalized",IF($P223&gt;=Settings!$C$12,"Registered",IF($O223&gt;0,"In Progress","Not Started"))))))</f>
        <v/>
      </c>
      <c r="S223" s="32">
        <f>IF($B223="","",COUNTIF(G223:N223,"Received"))</f>
        <v/>
      </c>
      <c r="T223" s="32">
        <f>IF($B223="","",COUNTIF(G223:N223,"Needs Correction"))</f>
        <v/>
      </c>
      <c r="U223" s="33">
        <f>IF($B223="","",IF($D223&lt;&gt;"Yes","",IF($Q223&gt;=Settings!$C$13,"None",MID(IF(AND(G223&lt;&gt;"Accepted",G223&lt;&gt;"Not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Confirmed",IF($Q224&gt;=Settings!$C$13,"Legalized",IF($P224&gt;=Settings!$C$12,"Registered",IF($O224&gt;0,"In Progress","Not Started"))))))</f>
        <v/>
      </c>
      <c r="S224" s="32">
        <f>IF($B224="","",COUNTIF(G224:N224,"Received"))</f>
        <v/>
      </c>
      <c r="T224" s="32">
        <f>IF($B224="","",COUNTIF(G224:N224,"Needs Correction"))</f>
        <v/>
      </c>
      <c r="U224" s="33">
        <f>IF($B224="","",IF($D224&lt;&gt;"Yes","",IF($Q224&gt;=Settings!$C$13,"None",MID(IF(AND(G224&lt;&gt;"Accepted",G224&lt;&gt;"Not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Yet Confirmed</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Confirmed",IF($Q225&gt;=Settings!$C$13,"Legalized",IF($P225&gt;=Settings!$C$12,"Registered",IF($O225&gt;0,"In Progress","Not Started"))))))</f>
        <v/>
      </c>
      <c r="S225" s="32">
        <f>IF($B225="","",COUNTIF(G225:N225,"Received"))</f>
        <v/>
      </c>
      <c r="T225" s="32">
        <f>IF($B225="","",COUNTIF(G225:N225,"Needs Correction"))</f>
        <v/>
      </c>
      <c r="U225" s="33">
        <f>IF($B225="","",IF($D225&lt;&gt;"Yes","",IF($Q225&gt;=Settings!$C$13,"None",MID(IF(AND(G225&lt;&gt;"Accepted",G225&lt;&gt;"Not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Yet Confirmed</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Confirmed",IF($Q226&gt;=Settings!$C$13,"Legalized",IF($P226&gt;=Settings!$C$12,"Registered",IF($O226&gt;0,"In Progress","Not Started"))))))</f>
        <v/>
      </c>
      <c r="S226" s="32">
        <f>IF($B226="","",COUNTIF(G226:N226,"Received"))</f>
        <v/>
      </c>
      <c r="T226" s="32">
        <f>IF($B226="","",COUNTIF(G226:N226,"Needs Correction"))</f>
        <v/>
      </c>
      <c r="U226" s="33">
        <f>IF($B226="","",IF($D226&lt;&gt;"Yes","",IF($Q226&gt;=Settings!$C$13,"None",MID(IF(AND(G226&lt;&gt;"Accepted",G226&lt;&gt;"Not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Confirmed",IF($Q227&gt;=Settings!$C$13,"Legalized",IF($P227&gt;=Settings!$C$12,"Registered",IF($O227&gt;0,"In Progress","Not Started"))))))</f>
        <v/>
      </c>
      <c r="S227" s="32">
        <f>IF($B227="","",COUNTIF(G227:N227,"Received"))</f>
        <v/>
      </c>
      <c r="T227" s="32">
        <f>IF($B227="","",COUNTIF(G227:N227,"Needs Correction"))</f>
        <v/>
      </c>
      <c r="U227" s="33">
        <f>IF($B227="","",IF($D227&lt;&gt;"Yes","",IF($Q227&gt;=Settings!$C$13,"None",MID(IF(AND(G227&lt;&gt;"Accepted",G227&lt;&gt;"Not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Yet Confirmed</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Confirmed",IF($Q228&gt;=Settings!$C$13,"Legalized",IF($P228&gt;=Settings!$C$12,"Registered",IF($O228&gt;0,"In Progress","Not Started"))))))</f>
        <v/>
      </c>
      <c r="S228" s="32">
        <f>IF($B228="","",COUNTIF(G228:N228,"Received"))</f>
        <v/>
      </c>
      <c r="T228" s="32">
        <f>IF($B228="","",COUNTIF(G228:N228,"Needs Correction"))</f>
        <v/>
      </c>
      <c r="U228" s="33">
        <f>IF($B228="","",IF($D228&lt;&gt;"Yes","",IF($Q228&gt;=Settings!$C$13,"None",MID(IF(AND(G228&lt;&gt;"Accepted",G228&lt;&gt;"Not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Yet Confirmed</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Confirmed",IF($Q229&gt;=Settings!$C$13,"Legalized",IF($P229&gt;=Settings!$C$12,"Registered",IF($O229&gt;0,"In Progress","Not Started"))))))</f>
        <v/>
      </c>
      <c r="S229" s="32">
        <f>IF($B229="","",COUNTIF(G229:N229,"Received"))</f>
        <v/>
      </c>
      <c r="T229" s="32">
        <f>IF($B229="","",COUNTIF(G229:N229,"Needs Correction"))</f>
        <v/>
      </c>
      <c r="U229" s="33">
        <f>IF($B229="","",IF($D229&lt;&gt;"Yes","",IF($Q229&gt;=Settings!$C$13,"None",MID(IF(AND(G229&lt;&gt;"Accepted",G229&lt;&gt;"Not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Yet Confirmed</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Confirmed",IF($Q230&gt;=Settings!$C$13,"Legalized",IF($P230&gt;=Settings!$C$12,"Registered",IF($O230&gt;0,"In Progress","Not Started"))))))</f>
        <v/>
      </c>
      <c r="S230" s="32">
        <f>IF($B230="","",COUNTIF(G230:N230,"Received"))</f>
        <v/>
      </c>
      <c r="T230" s="32">
        <f>IF($B230="","",COUNTIF(G230:N230,"Needs Correction"))</f>
        <v/>
      </c>
      <c r="U230" s="33">
        <f>IF($B230="","",IF($D230&lt;&gt;"Yes","",IF($Q230&gt;=Settings!$C$13,"None",MID(IF(AND(G230&lt;&gt;"Accepted",G230&lt;&gt;"Not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Yet Confirmed</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Confirmed",IF($Q231&gt;=Settings!$C$13,"Legalized",IF($P231&gt;=Settings!$C$12,"Registered",IF($O231&gt;0,"In Progress","Not Started"))))))</f>
        <v/>
      </c>
      <c r="S231" s="32">
        <f>IF($B231="","",COUNTIF(G231:N231,"Received"))</f>
        <v/>
      </c>
      <c r="T231" s="32">
        <f>IF($B231="","",COUNTIF(G231:N231,"Needs Correction"))</f>
        <v/>
      </c>
      <c r="U231" s="33">
        <f>IF($B231="","",IF($D231&lt;&gt;"Yes","",IF($Q231&gt;=Settings!$C$13,"None",MID(IF(AND(G231&lt;&gt;"Accepted",G231&lt;&gt;"Not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Yet Confirmed</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Confirmed",IF($Q232&gt;=Settings!$C$13,"Legalized",IF($P232&gt;=Settings!$C$12,"Registered",IF($O232&gt;0,"In Progress","Not Started"))))))</f>
        <v/>
      </c>
      <c r="S232" s="32">
        <f>IF($B232="","",COUNTIF(G232:N232,"Received"))</f>
        <v/>
      </c>
      <c r="T232" s="32">
        <f>IF($B232="","",COUNTIF(G232:N232,"Needs Correction"))</f>
        <v/>
      </c>
      <c r="U232" s="33">
        <f>IF($B232="","",IF($D232&lt;&gt;"Yes","",IF($Q232&gt;=Settings!$C$13,"None",MID(IF(AND(G232&lt;&gt;"Accepted",G232&lt;&gt;"Not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Yet Confirmed</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Confirmed",IF($Q233&gt;=Settings!$C$13,"Legalized",IF($P233&gt;=Settings!$C$12,"Registered",IF($O233&gt;0,"In Progress","Not Started"))))))</f>
        <v/>
      </c>
      <c r="S233" s="32">
        <f>IF($B233="","",COUNTIF(G233:N233,"Received"))</f>
        <v/>
      </c>
      <c r="T233" s="32">
        <f>IF($B233="","",COUNTIF(G233:N233,"Needs Correction"))</f>
        <v/>
      </c>
      <c r="U233" s="33">
        <f>IF($B233="","",IF($D233&lt;&gt;"Yes","",IF($Q233&gt;=Settings!$C$13,"None",MID(IF(AND(G233&lt;&gt;"Accepted",G233&lt;&gt;"Not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Yet Confirmed</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Confirmed",IF($Q234&gt;=Settings!$C$13,"Legalized",IF($P234&gt;=Settings!$C$12,"Registered",IF($O234&gt;0,"In Progress","Not Started"))))))</f>
        <v/>
      </c>
      <c r="S234" s="32">
        <f>IF($B234="","",COUNTIF(G234:N234,"Received"))</f>
        <v/>
      </c>
      <c r="T234" s="32">
        <f>IF($B234="","",COUNTIF(G234:N234,"Needs Correction"))</f>
        <v/>
      </c>
      <c r="U234" s="33">
        <f>IF($B234="","",IF($D234&lt;&gt;"Yes","",IF($Q234&gt;=Settings!$C$13,"None",MID(IF(AND(G234&lt;&gt;"Accepted",G234&lt;&gt;"Not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Yet Confirmed</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Confirmed",IF($Q235&gt;=Settings!$C$13,"Legalized",IF($P235&gt;=Settings!$C$12,"Registered",IF($O235&gt;0,"In Progress","Not Started"))))))</f>
        <v/>
      </c>
      <c r="S235" s="32">
        <f>IF($B235="","",COUNTIF(G235:N235,"Received"))</f>
        <v/>
      </c>
      <c r="T235" s="32">
        <f>IF($B235="","",COUNTIF(G235:N235,"Needs Correction"))</f>
        <v/>
      </c>
      <c r="U235" s="33">
        <f>IF($B235="","",IF($D235&lt;&gt;"Yes","",IF($Q235&gt;=Settings!$C$13,"None",MID(IF(AND(G235&lt;&gt;"Accepted",G235&lt;&gt;"Not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Yet Confirmed</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Confirmed",IF($Q236&gt;=Settings!$C$13,"Legalized",IF($P236&gt;=Settings!$C$12,"Registered",IF($O236&gt;0,"In Progress","Not Started"))))))</f>
        <v/>
      </c>
      <c r="S236" s="32">
        <f>IF($B236="","",COUNTIF(G236:N236,"Received"))</f>
        <v/>
      </c>
      <c r="T236" s="32">
        <f>IF($B236="","",COUNTIF(G236:N236,"Needs Correction"))</f>
        <v/>
      </c>
      <c r="U236" s="33">
        <f>IF($B236="","",IF($D236&lt;&gt;"Yes","",IF($Q236&gt;=Settings!$C$13,"None",MID(IF(AND(G236&lt;&gt;"Accepted",G236&lt;&gt;"Not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Confirmed",IF($Q237&gt;=Settings!$C$13,"Legalized",IF($P237&gt;=Settings!$C$12,"Registered",IF($O237&gt;0,"In Progress","Not Started"))))))</f>
        <v/>
      </c>
      <c r="S237" s="32">
        <f>IF($B237="","",COUNTIF(G237:N237,"Received"))</f>
        <v/>
      </c>
      <c r="T237" s="32">
        <f>IF($B237="","",COUNTIF(G237:N237,"Needs Correction"))</f>
        <v/>
      </c>
      <c r="U237" s="33">
        <f>IF($B237="","",IF($D237&lt;&gt;"Yes","",IF($Q237&gt;=Settings!$C$13,"None",MID(IF(AND(G237&lt;&gt;"Accepted",G237&lt;&gt;"Not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Yet Confirmed</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Confirmed",IF($Q238&gt;=Settings!$C$13,"Legalized",IF($P238&gt;=Settings!$C$12,"Registered",IF($O238&gt;0,"In Progress","Not Started"))))))</f>
        <v/>
      </c>
      <c r="S238" s="32">
        <f>IF($B238="","",COUNTIF(G238:N238,"Received"))</f>
        <v/>
      </c>
      <c r="T238" s="32">
        <f>IF($B238="","",COUNTIF(G238:N238,"Needs Correction"))</f>
        <v/>
      </c>
      <c r="U238" s="33">
        <f>IF($B238="","",IF($D238&lt;&gt;"Yes","",IF($Q238&gt;=Settings!$C$13,"None",MID(IF(AND(G238&lt;&gt;"Accepted",G238&lt;&gt;"Not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Yet Confirmed</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Confirmed",IF($Q239&gt;=Settings!$C$13,"Legalized",IF($P239&gt;=Settings!$C$12,"Registered",IF($O239&gt;0,"In Progress","Not Started"))))))</f>
        <v/>
      </c>
      <c r="S239" s="32">
        <f>IF($B239="","",COUNTIF(G239:N239,"Received"))</f>
        <v/>
      </c>
      <c r="T239" s="32">
        <f>IF($B239="","",COUNTIF(G239:N239,"Needs Correction"))</f>
        <v/>
      </c>
      <c r="U239" s="33">
        <f>IF($B239="","",IF($D239&lt;&gt;"Yes","",IF($Q239&gt;=Settings!$C$13,"None",MID(IF(AND(G239&lt;&gt;"Accepted",G239&lt;&gt;"Not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Confirmed",IF($Q240&gt;=Settings!$C$13,"Legalized",IF($P240&gt;=Settings!$C$12,"Registered",IF($O240&gt;0,"In Progress","Not Started"))))))</f>
        <v/>
      </c>
      <c r="S240" s="32">
        <f>IF($B240="","",COUNTIF(G240:N240,"Received"))</f>
        <v/>
      </c>
      <c r="T240" s="32">
        <f>IF($B240="","",COUNTIF(G240:N240,"Needs Correction"))</f>
        <v/>
      </c>
      <c r="U240" s="33">
        <f>IF($B240="","",IF($D240&lt;&gt;"Yes","",IF($Q240&gt;=Settings!$C$13,"None",MID(IF(AND(G240&lt;&gt;"Accepted",G240&lt;&gt;"Not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Yet Confirmed</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Confirmed",IF($Q241&gt;=Settings!$C$13,"Legalized",IF($P241&gt;=Settings!$C$12,"Registered",IF($O241&gt;0,"In Progress","Not Started"))))))</f>
        <v/>
      </c>
      <c r="S241" s="32">
        <f>IF($B241="","",COUNTIF(G241:N241,"Received"))</f>
        <v/>
      </c>
      <c r="T241" s="32">
        <f>IF($B241="","",COUNTIF(G241:N241,"Needs Correction"))</f>
        <v/>
      </c>
      <c r="U241" s="33">
        <f>IF($B241="","",IF($D241&lt;&gt;"Yes","",IF($Q241&gt;=Settings!$C$13,"None",MID(IF(AND(G241&lt;&gt;"Accepted",G241&lt;&gt;"Not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Yet Confirmed</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Confirmed",IF($Q242&gt;=Settings!$C$13,"Legalized",IF($P242&gt;=Settings!$C$12,"Registered",IF($O242&gt;0,"In Progress","Not Started"))))))</f>
        <v/>
      </c>
      <c r="S242" s="32">
        <f>IF($B242="","",COUNTIF(G242:N242,"Received"))</f>
        <v/>
      </c>
      <c r="T242" s="32">
        <f>IF($B242="","",COUNTIF(G242:N242,"Needs Correction"))</f>
        <v/>
      </c>
      <c r="U242" s="33">
        <f>IF($B242="","",IF($D242&lt;&gt;"Yes","",IF($Q242&gt;=Settings!$C$13,"None",MID(IF(AND(G242&lt;&gt;"Accepted",G242&lt;&gt;"Not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Yet Confirmed</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Confirmed",IF($Q243&gt;=Settings!$C$13,"Legalized",IF($P243&gt;=Settings!$C$12,"Registered",IF($O243&gt;0,"In Progress","Not Started"))))))</f>
        <v/>
      </c>
      <c r="S243" s="32">
        <f>IF($B243="","",COUNTIF(G243:N243,"Received"))</f>
        <v/>
      </c>
      <c r="T243" s="32">
        <f>IF($B243="","",COUNTIF(G243:N243,"Needs Correction"))</f>
        <v/>
      </c>
      <c r="U243" s="33">
        <f>IF($B243="","",IF($D243&lt;&gt;"Yes","",IF($Q243&gt;=Settings!$C$13,"None",MID(IF(AND(G243&lt;&gt;"Accepted",G243&lt;&gt;"Not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Yet Confirmed</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Confirmed",IF($Q244&gt;=Settings!$C$13,"Legalized",IF($P244&gt;=Settings!$C$12,"Registered",IF($O244&gt;0,"In Progress","Not Started"))))))</f>
        <v/>
      </c>
      <c r="S244" s="32">
        <f>IF($B244="","",COUNTIF(G244:N244,"Received"))</f>
        <v/>
      </c>
      <c r="T244" s="32">
        <f>IF($B244="","",COUNTIF(G244:N244,"Needs Correction"))</f>
        <v/>
      </c>
      <c r="U244" s="33">
        <f>IF($B244="","",IF($D244&lt;&gt;"Yes","",IF($Q244&gt;=Settings!$C$13,"None",MID(IF(AND(G244&lt;&gt;"Accepted",G244&lt;&gt;"Not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Yet Confirmed</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Confirmed",IF($Q245&gt;=Settings!$C$13,"Legalized",IF($P245&gt;=Settings!$C$12,"Registered",IF($O245&gt;0,"In Progress","Not Started"))))))</f>
        <v/>
      </c>
      <c r="S245" s="32">
        <f>IF($B245="","",COUNTIF(G245:N245,"Received"))</f>
        <v/>
      </c>
      <c r="T245" s="32">
        <f>IF($B245="","",COUNTIF(G245:N245,"Needs Correction"))</f>
        <v/>
      </c>
      <c r="U245" s="33">
        <f>IF($B245="","",IF($D245&lt;&gt;"Yes","",IF($Q245&gt;=Settings!$C$13,"None",MID(IF(AND(G245&lt;&gt;"Accepted",G245&lt;&gt;"Not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Yet Confirmed</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Confirmed",IF($Q246&gt;=Settings!$C$13,"Legalized",IF($P246&gt;=Settings!$C$12,"Registered",IF($O246&gt;0,"In Progress","Not Started"))))))</f>
        <v/>
      </c>
      <c r="S246" s="32">
        <f>IF($B246="","",COUNTIF(G246:N246,"Received"))</f>
        <v/>
      </c>
      <c r="T246" s="32">
        <f>IF($B246="","",COUNTIF(G246:N246,"Needs Correction"))</f>
        <v/>
      </c>
      <c r="U246" s="33">
        <f>IF($B246="","",IF($D246&lt;&gt;"Yes","",IF($Q246&gt;=Settings!$C$13,"None",MID(IF(AND(G246&lt;&gt;"Accepted",G246&lt;&gt;"Not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Yet Confirmed</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Confirmed",IF($Q247&gt;=Settings!$C$13,"Legalized",IF($P247&gt;=Settings!$C$12,"Registered",IF($O247&gt;0,"In Progress","Not Started"))))))</f>
        <v/>
      </c>
      <c r="S247" s="32">
        <f>IF($B247="","",COUNTIF(G247:N247,"Received"))</f>
        <v/>
      </c>
      <c r="T247" s="32">
        <f>IF($B247="","",COUNTIF(G247:N247,"Needs Correction"))</f>
        <v/>
      </c>
      <c r="U247" s="33">
        <f>IF($B247="","",IF($D247&lt;&gt;"Yes","",IF($Q247&gt;=Settings!$C$13,"None",MID(IF(AND(G247&lt;&gt;"Accepted",G247&lt;&gt;"Not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Confirmed",IF($Q248&gt;=Settings!$C$13,"Legalized",IF($P248&gt;=Settings!$C$12,"Registered",IF($O248&gt;0,"In Progress","Not Started"))))))</f>
        <v/>
      </c>
      <c r="S248" s="32">
        <f>IF($B248="","",COUNTIF(G248:N248,"Received"))</f>
        <v/>
      </c>
      <c r="T248" s="32">
        <f>IF($B248="","",COUNTIF(G248:N248,"Needs Correction"))</f>
        <v/>
      </c>
      <c r="U248" s="33">
        <f>IF($B248="","",IF($D248&lt;&gt;"Yes","",IF($Q248&gt;=Settings!$C$13,"None",MID(IF(AND(G248&lt;&gt;"Accepted",G248&lt;&gt;"Not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Yet Confirmed</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Confirmed",IF($Q249&gt;=Settings!$C$13,"Legalized",IF($P249&gt;=Settings!$C$12,"Registered",IF($O249&gt;0,"In Progress","Not Started"))))))</f>
        <v/>
      </c>
      <c r="S249" s="32">
        <f>IF($B249="","",COUNTIF(G249:N249,"Received"))</f>
        <v/>
      </c>
      <c r="T249" s="32">
        <f>IF($B249="","",COUNTIF(G249:N249,"Needs Correction"))</f>
        <v/>
      </c>
      <c r="U249" s="33">
        <f>IF($B249="","",IF($D249&lt;&gt;"Yes","",IF($Q249&gt;=Settings!$C$13,"None",MID(IF(AND(G249&lt;&gt;"Accepted",G249&lt;&gt;"Not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Yet Confirmed</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Confirmed",IF($Q250&gt;=Settings!$C$13,"Legalized",IF($P250&gt;=Settings!$C$12,"Registered",IF($O250&gt;0,"In Progress","Not Started"))))))</f>
        <v/>
      </c>
      <c r="S250" s="32">
        <f>IF($B250="","",COUNTIF(G250:N250,"Received"))</f>
        <v/>
      </c>
      <c r="T250" s="32">
        <f>IF($B250="","",COUNTIF(G250:N250,"Needs Correction"))</f>
        <v/>
      </c>
      <c r="U250" s="33">
        <f>IF($B250="","",IF($D250&lt;&gt;"Yes","",IF($Q250&gt;=Settings!$C$13,"None",MID(IF(AND(G250&lt;&gt;"Accepted",G250&lt;&gt;"Not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Yet Confirmed</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Confirmed",IF($Q251&gt;=Settings!$C$13,"Legalized",IF($P251&gt;=Settings!$C$12,"Registered",IF($O251&gt;0,"In Progress","Not Started"))))))</f>
        <v/>
      </c>
      <c r="S251" s="32">
        <f>IF($B251="","",COUNTIF(G251:N251,"Received"))</f>
        <v/>
      </c>
      <c r="T251" s="32">
        <f>IF($B251="","",COUNTIF(G251:N251,"Needs Correction"))</f>
        <v/>
      </c>
      <c r="U251" s="33">
        <f>IF($B251="","",IF($D251&lt;&gt;"Yes","",IF($Q251&gt;=Settings!$C$13,"None",MID(IF(AND(G251&lt;&gt;"Accepted",G251&lt;&gt;"Not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Yet Confirmed</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Confirmed",IF($Q252&gt;=Settings!$C$13,"Legalized",IF($P252&gt;=Settings!$C$12,"Registered",IF($O252&gt;0,"In Progress","Not Started"))))))</f>
        <v/>
      </c>
      <c r="S252" s="32">
        <f>IF($B252="","",COUNTIF(G252:N252,"Received"))</f>
        <v/>
      </c>
      <c r="T252" s="32">
        <f>IF($B252="","",COUNTIF(G252:N252,"Needs Correction"))</f>
        <v/>
      </c>
      <c r="U252" s="33">
        <f>IF($B252="","",IF($D252&lt;&gt;"Yes","",IF($Q252&gt;=Settings!$C$13,"None",MID(IF(AND(G252&lt;&gt;"Accepted",G252&lt;&gt;"Not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Yet Confirmed</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Confirmed",IF($Q253&gt;=Settings!$C$13,"Legalized",IF($P253&gt;=Settings!$C$12,"Registered",IF($O253&gt;0,"In Progress","Not Started"))))))</f>
        <v/>
      </c>
      <c r="S253" s="32">
        <f>IF($B253="","",COUNTIF(G253:N253,"Received"))</f>
        <v/>
      </c>
      <c r="T253" s="32">
        <f>IF($B253="","",COUNTIF(G253:N253,"Needs Correction"))</f>
        <v/>
      </c>
      <c r="U253" s="33">
        <f>IF($B253="","",IF($D253&lt;&gt;"Yes","",IF($Q253&gt;=Settings!$C$13,"None",MID(IF(AND(G253&lt;&gt;"Accepted",G253&lt;&gt;"Not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Confirmed",IF($Q254&gt;=Settings!$C$13,"Legalized",IF($P254&gt;=Settings!$C$12,"Registered",IF($O254&gt;0,"In Progress","Not Started"))))))</f>
        <v/>
      </c>
      <c r="S254" s="32">
        <f>IF($B254="","",COUNTIF(G254:N254,"Received"))</f>
        <v/>
      </c>
      <c r="T254" s="32">
        <f>IF($B254="","",COUNTIF(G254:N254,"Needs Correction"))</f>
        <v/>
      </c>
      <c r="U254" s="33">
        <f>IF($B254="","",IF($D254&lt;&gt;"Yes","",IF($Q254&gt;=Settings!$C$13,"None",MID(IF(AND(G254&lt;&gt;"Accepted",G254&lt;&gt;"Not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Yet Confirmed</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Confirmed",IF($Q255&gt;=Settings!$C$13,"Legalized",IF($P255&gt;=Settings!$C$12,"Registered",IF($O255&gt;0,"In Progress","Not Started"))))))</f>
        <v/>
      </c>
      <c r="S255" s="32">
        <f>IF($B255="","",COUNTIF(G255:N255,"Received"))</f>
        <v/>
      </c>
      <c r="T255" s="32">
        <f>IF($B255="","",COUNTIF(G255:N255,"Needs Correction"))</f>
        <v/>
      </c>
      <c r="U255" s="33">
        <f>IF($B255="","",IF($D255&lt;&gt;"Yes","",IF($Q255&gt;=Settings!$C$13,"None",MID(IF(AND(G255&lt;&gt;"Accepted",G255&lt;&gt;"Not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Confirmed",IF($Q256&gt;=Settings!$C$13,"Legalized",IF($P256&gt;=Settings!$C$12,"Registered",IF($O256&gt;0,"In Progress","Not Started"))))))</f>
        <v/>
      </c>
      <c r="S256" s="32">
        <f>IF($B256="","",COUNTIF(G256:N256,"Received"))</f>
        <v/>
      </c>
      <c r="T256" s="32">
        <f>IF($B256="","",COUNTIF(G256:N256,"Needs Correction"))</f>
        <v/>
      </c>
      <c r="U256" s="33">
        <f>IF($B256="","",IF($D256&lt;&gt;"Yes","",IF($Q256&gt;=Settings!$C$13,"None",MID(IF(AND(G256&lt;&gt;"Accepted",G256&lt;&gt;"Not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Yet Confirmed</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Confirmed",IF($Q257&gt;=Settings!$C$13,"Legalized",IF($P257&gt;=Settings!$C$12,"Registered",IF($O257&gt;0,"In Progress","Not Started"))))))</f>
        <v/>
      </c>
      <c r="S257" s="32">
        <f>IF($B257="","",COUNTIF(G257:N257,"Received"))</f>
        <v/>
      </c>
      <c r="T257" s="32">
        <f>IF($B257="","",COUNTIF(G257:N257,"Needs Correction"))</f>
        <v/>
      </c>
      <c r="U257" s="33">
        <f>IF($B257="","",IF($D257&lt;&gt;"Yes","",IF($Q257&gt;=Settings!$C$13,"None",MID(IF(AND(G257&lt;&gt;"Accepted",G257&lt;&gt;"Not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Confirmed",IF($Q258&gt;=Settings!$C$13,"Legalized",IF($P258&gt;=Settings!$C$12,"Registered",IF($O258&gt;0,"In Progress","Not Started"))))))</f>
        <v/>
      </c>
      <c r="S258" s="32">
        <f>IF($B258="","",COUNTIF(G258:N258,"Received"))</f>
        <v/>
      </c>
      <c r="T258" s="32">
        <f>IF($B258="","",COUNTIF(G258:N258,"Needs Correction"))</f>
        <v/>
      </c>
      <c r="U258" s="33">
        <f>IF($B258="","",IF($D258&lt;&gt;"Yes","",IF($Q258&gt;=Settings!$C$13,"None",MID(IF(AND(G258&lt;&gt;"Accepted",G258&lt;&gt;"Not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Yet Confirmed</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Confirmed",IF($Q259&gt;=Settings!$C$13,"Legalized",IF($P259&gt;=Settings!$C$12,"Registered",IF($O259&gt;0,"In Progress","Not Started"))))))</f>
        <v/>
      </c>
      <c r="S259" s="32">
        <f>IF($B259="","",COUNTIF(G259:N259,"Received"))</f>
        <v/>
      </c>
      <c r="T259" s="32">
        <f>IF($B259="","",COUNTIF(G259:N259,"Needs Correction"))</f>
        <v/>
      </c>
      <c r="U259" s="33">
        <f>IF($B259="","",IF($D259&lt;&gt;"Yes","",IF($Q259&gt;=Settings!$C$13,"None",MID(IF(AND(G259&lt;&gt;"Accepted",G259&lt;&gt;"Not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Confirmed",IF($Q260&gt;=Settings!$C$13,"Legalized",IF($P260&gt;=Settings!$C$12,"Registered",IF($O260&gt;0,"In Progress","Not Started"))))))</f>
        <v/>
      </c>
      <c r="S260" s="32">
        <f>IF($B260="","",COUNTIF(G260:N260,"Received"))</f>
        <v/>
      </c>
      <c r="T260" s="32">
        <f>IF($B260="","",COUNTIF(G260:N260,"Needs Correction"))</f>
        <v/>
      </c>
      <c r="U260" s="33">
        <f>IF($B260="","",IF($D260&lt;&gt;"Yes","",IF($Q260&gt;=Settings!$C$13,"None",MID(IF(AND(G260&lt;&gt;"Accepted",G260&lt;&gt;"Not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Confirmed",IF($Q261&gt;=Settings!$C$13,"Legalized",IF($P261&gt;=Settings!$C$12,"Registered",IF($O261&gt;0,"In Progress","Not Started"))))))</f>
        <v/>
      </c>
      <c r="S261" s="32">
        <f>IF($B261="","",COUNTIF(G261:N261,"Received"))</f>
        <v/>
      </c>
      <c r="T261" s="32">
        <f>IF($B261="","",COUNTIF(G261:N261,"Needs Correction"))</f>
        <v/>
      </c>
      <c r="U261" s="33">
        <f>IF($B261="","",IF($D261&lt;&gt;"Yes","",IF($Q261&gt;=Settings!$C$13,"None",MID(IF(AND(G261&lt;&gt;"Accepted",G261&lt;&gt;"Not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Yet Confirmed</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Confirmed",IF($Q262&gt;=Settings!$C$13,"Legalized",IF($P262&gt;=Settings!$C$12,"Registered",IF($O262&gt;0,"In Progress","Not Started"))))))</f>
        <v/>
      </c>
      <c r="S262" s="32">
        <f>IF($B262="","",COUNTIF(G262:N262,"Received"))</f>
        <v/>
      </c>
      <c r="T262" s="32">
        <f>IF($B262="","",COUNTIF(G262:N262,"Needs Correction"))</f>
        <v/>
      </c>
      <c r="U262" s="33">
        <f>IF($B262="","",IF($D262&lt;&gt;"Yes","",IF($Q262&gt;=Settings!$C$13,"None",MID(IF(AND(G262&lt;&gt;"Accepted",G262&lt;&gt;"Not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Confirmed",IF($Q263&gt;=Settings!$C$13,"Legalized",IF($P263&gt;=Settings!$C$12,"Registered",IF($O263&gt;0,"In Progress","Not Started"))))))</f>
        <v/>
      </c>
      <c r="S263" s="32">
        <f>IF($B263="","",COUNTIF(G263:N263,"Received"))</f>
        <v/>
      </c>
      <c r="T263" s="32">
        <f>IF($B263="","",COUNTIF(G263:N263,"Needs Correction"))</f>
        <v/>
      </c>
      <c r="U263" s="33">
        <f>IF($B263="","",IF($D263&lt;&gt;"Yes","",IF($Q263&gt;=Settings!$C$13,"None",MID(IF(AND(G263&lt;&gt;"Accepted",G263&lt;&gt;"Not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Confirmed",IF($Q264&gt;=Settings!$C$13,"Legalized",IF($P264&gt;=Settings!$C$12,"Registered",IF($O264&gt;0,"In Progress","Not Started"))))))</f>
        <v/>
      </c>
      <c r="S264" s="32">
        <f>IF($B264="","",COUNTIF(G264:N264,"Received"))</f>
        <v/>
      </c>
      <c r="T264" s="32">
        <f>IF($B264="","",COUNTIF(G264:N264,"Needs Correction"))</f>
        <v/>
      </c>
      <c r="U264" s="33">
        <f>IF($B264="","",IF($D264&lt;&gt;"Yes","",IF($Q264&gt;=Settings!$C$13,"None",MID(IF(AND(G264&lt;&gt;"Accepted",G264&lt;&gt;"Not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Confirmed",IF($Q265&gt;=Settings!$C$13,"Legalized",IF($P265&gt;=Settings!$C$12,"Registered",IF($O265&gt;0,"In Progress","Not Started"))))))</f>
        <v/>
      </c>
      <c r="S265" s="32">
        <f>IF($B265="","",COUNTIF(G265:N265,"Received"))</f>
        <v/>
      </c>
      <c r="T265" s="32">
        <f>IF($B265="","",COUNTIF(G265:N265,"Needs Correction"))</f>
        <v/>
      </c>
      <c r="U265" s="33">
        <f>IF($B265="","",IF($D265&lt;&gt;"Yes","",IF($Q265&gt;=Settings!$C$13,"None",MID(IF(AND(G265&lt;&gt;"Accepted",G265&lt;&gt;"Not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Yet Confirmed</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Confirmed",IF($Q266&gt;=Settings!$C$13,"Legalized",IF($P266&gt;=Settings!$C$12,"Registered",IF($O266&gt;0,"In Progress","Not Started"))))))</f>
        <v/>
      </c>
      <c r="S266" s="32">
        <f>IF($B266="","",COUNTIF(G266:N266,"Received"))</f>
        <v/>
      </c>
      <c r="T266" s="32">
        <f>IF($B266="","",COUNTIF(G266:N266,"Needs Correction"))</f>
        <v/>
      </c>
      <c r="U266" s="33">
        <f>IF($B266="","",IF($D266&lt;&gt;"Yes","",IF($Q266&gt;=Settings!$C$13,"None",MID(IF(AND(G266&lt;&gt;"Accepted",G266&lt;&gt;"Not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Yet Confirmed</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Confirmed",IF($Q267&gt;=Settings!$C$13,"Legalized",IF($P267&gt;=Settings!$C$12,"Registered",IF($O267&gt;0,"In Progress","Not Started"))))))</f>
        <v/>
      </c>
      <c r="S267" s="32">
        <f>IF($B267="","",COUNTIF(G267:N267,"Received"))</f>
        <v/>
      </c>
      <c r="T267" s="32">
        <f>IF($B267="","",COUNTIF(G267:N267,"Needs Correction"))</f>
        <v/>
      </c>
      <c r="U267" s="33">
        <f>IF($B267="","",IF($D267&lt;&gt;"Yes","",IF($Q267&gt;=Settings!$C$13,"None",MID(IF(AND(G267&lt;&gt;"Accepted",G267&lt;&gt;"Not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Confirmed",IF($Q268&gt;=Settings!$C$13,"Legalized",IF($P268&gt;=Settings!$C$12,"Registered",IF($O268&gt;0,"In Progress","Not Started"))))))</f>
        <v/>
      </c>
      <c r="S268" s="32">
        <f>IF($B268="","",COUNTIF(G268:N268,"Received"))</f>
        <v/>
      </c>
      <c r="T268" s="32">
        <f>IF($B268="","",COUNTIF(G268:N268,"Needs Correction"))</f>
        <v/>
      </c>
      <c r="U268" s="33">
        <f>IF($B268="","",IF($D268&lt;&gt;"Yes","",IF($Q268&gt;=Settings!$C$13,"None",MID(IF(AND(G268&lt;&gt;"Accepted",G268&lt;&gt;"Not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Confirmed",IF($Q269&gt;=Settings!$C$13,"Legalized",IF($P269&gt;=Settings!$C$12,"Registered",IF($O269&gt;0,"In Progress","Not Started"))))))</f>
        <v/>
      </c>
      <c r="S269" s="32">
        <f>IF($B269="","",COUNTIF(G269:N269,"Received"))</f>
        <v/>
      </c>
      <c r="T269" s="32">
        <f>IF($B269="","",COUNTIF(G269:N269,"Needs Correction"))</f>
        <v/>
      </c>
      <c r="U269" s="33">
        <f>IF($B269="","",IF($D269&lt;&gt;"Yes","",IF($Q269&gt;=Settings!$C$13,"None",MID(IF(AND(G269&lt;&gt;"Accepted",G269&lt;&gt;"Not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Confirmed",IF($Q270&gt;=Settings!$C$13,"Legalized",IF($P270&gt;=Settings!$C$12,"Registered",IF($O270&gt;0,"In Progress","Not Started"))))))</f>
        <v/>
      </c>
      <c r="S270" s="32">
        <f>IF($B270="","",COUNTIF(G270:N270,"Received"))</f>
        <v/>
      </c>
      <c r="T270" s="32">
        <f>IF($B270="","",COUNTIF(G270:N270,"Needs Correction"))</f>
        <v/>
      </c>
      <c r="U270" s="33">
        <f>IF($B270="","",IF($D270&lt;&gt;"Yes","",IF($Q270&gt;=Settings!$C$13,"None",MID(IF(AND(G270&lt;&gt;"Accepted",G270&lt;&gt;"Not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Confirmed",IF($Q271&gt;=Settings!$C$13,"Legalized",IF($P271&gt;=Settings!$C$12,"Registered",IF($O271&gt;0,"In Progress","Not Started"))))))</f>
        <v/>
      </c>
      <c r="S271" s="32">
        <f>IF($B271="","",COUNTIF(G271:N271,"Received"))</f>
        <v/>
      </c>
      <c r="T271" s="32">
        <f>IF($B271="","",COUNTIF(G271:N271,"Needs Correction"))</f>
        <v/>
      </c>
      <c r="U271" s="33">
        <f>IF($B271="","",IF($D271&lt;&gt;"Yes","",IF($Q271&gt;=Settings!$C$13,"None",MID(IF(AND(G271&lt;&gt;"Accepted",G271&lt;&gt;"Not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Confirmed",IF($Q272&gt;=Settings!$C$13,"Legalized",IF($P272&gt;=Settings!$C$12,"Registered",IF($O272&gt;0,"In Progress","Not Started"))))))</f>
        <v/>
      </c>
      <c r="S272" s="32">
        <f>IF($B272="","",COUNTIF(G272:N272,"Received"))</f>
        <v/>
      </c>
      <c r="T272" s="32">
        <f>IF($B272="","",COUNTIF(G272:N272,"Needs Correction"))</f>
        <v/>
      </c>
      <c r="U272" s="33">
        <f>IF($B272="","",IF($D272&lt;&gt;"Yes","",IF($Q272&gt;=Settings!$C$13,"None",MID(IF(AND(G272&lt;&gt;"Accepted",G272&lt;&gt;"Not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Confirmed",IF($Q273&gt;=Settings!$C$13,"Legalized",IF($P273&gt;=Settings!$C$12,"Registered",IF($O273&gt;0,"In Progress","Not Started"))))))</f>
        <v/>
      </c>
      <c r="S273" s="32">
        <f>IF($B273="","",COUNTIF(G273:N273,"Received"))</f>
        <v/>
      </c>
      <c r="T273" s="32">
        <f>IF($B273="","",COUNTIF(G273:N273,"Needs Correction"))</f>
        <v/>
      </c>
      <c r="U273" s="33">
        <f>IF($B273="","",IF($D273&lt;&gt;"Yes","",IF($Q273&gt;=Settings!$C$13,"None",MID(IF(AND(G273&lt;&gt;"Accepted",G273&lt;&gt;"Not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Confirmed",IF($Q274&gt;=Settings!$C$13,"Legalized",IF($P274&gt;=Settings!$C$12,"Registered",IF($O274&gt;0,"In Progress","Not Started"))))))</f>
        <v/>
      </c>
      <c r="S274" s="32">
        <f>IF($B274="","",COUNTIF(G274:N274,"Received"))</f>
        <v/>
      </c>
      <c r="T274" s="32">
        <f>IF($B274="","",COUNTIF(G274:N274,"Needs Correction"))</f>
        <v/>
      </c>
      <c r="U274" s="33">
        <f>IF($B274="","",IF($D274&lt;&gt;"Yes","",IF($Q274&gt;=Settings!$C$13,"None",MID(IF(AND(G274&lt;&gt;"Accepted",G274&lt;&gt;"Not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Confirmed",IF($Q275&gt;=Settings!$C$13,"Legalized",IF($P275&gt;=Settings!$C$12,"Registered",IF($O275&gt;0,"In Progress","Not Started"))))))</f>
        <v/>
      </c>
      <c r="S275" s="32">
        <f>IF($B275="","",COUNTIF(G275:N275,"Received"))</f>
        <v/>
      </c>
      <c r="T275" s="32">
        <f>IF($B275="","",COUNTIF(G275:N275,"Needs Correction"))</f>
        <v/>
      </c>
      <c r="U275" s="33">
        <f>IF($B275="","",IF($D275&lt;&gt;"Yes","",IF($Q275&gt;=Settings!$C$13,"None",MID(IF(AND(G275&lt;&gt;"Accepted",G275&lt;&gt;"Not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Confirmed",IF($Q276&gt;=Settings!$C$13,"Legalized",IF($P276&gt;=Settings!$C$12,"Registered",IF($O276&gt;0,"In Progress","Not Started"))))))</f>
        <v/>
      </c>
      <c r="S276" s="32">
        <f>IF($B276="","",COUNTIF(G276:N276,"Received"))</f>
        <v/>
      </c>
      <c r="T276" s="32">
        <f>IF($B276="","",COUNTIF(G276:N276,"Needs Correction"))</f>
        <v/>
      </c>
      <c r="U276" s="33">
        <f>IF($B276="","",IF($D276&lt;&gt;"Yes","",IF($Q276&gt;=Settings!$C$13,"None",MID(IF(AND(G276&lt;&gt;"Accepted",G276&lt;&gt;"Not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Confirmed",IF($Q277&gt;=Settings!$C$13,"Legalized",IF($P277&gt;=Settings!$C$12,"Registered",IF($O277&gt;0,"In Progress","Not Started"))))))</f>
        <v/>
      </c>
      <c r="S277" s="32">
        <f>IF($B277="","",COUNTIF(G277:N277,"Received"))</f>
        <v/>
      </c>
      <c r="T277" s="32">
        <f>IF($B277="","",COUNTIF(G277:N277,"Needs Correction"))</f>
        <v/>
      </c>
      <c r="U277" s="33">
        <f>IF($B277="","",IF($D277&lt;&gt;"Yes","",IF($Q277&gt;=Settings!$C$13,"None",MID(IF(AND(G277&lt;&gt;"Accepted",G277&lt;&gt;"Not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Confirmed",IF($Q278&gt;=Settings!$C$13,"Legalized",IF($P278&gt;=Settings!$C$12,"Registered",IF($O278&gt;0,"In Progress","Not Started"))))))</f>
        <v/>
      </c>
      <c r="S278" s="32">
        <f>IF($B278="","",COUNTIF(G278:N278,"Received"))</f>
        <v/>
      </c>
      <c r="T278" s="32">
        <f>IF($B278="","",COUNTIF(G278:N278,"Needs Correction"))</f>
        <v/>
      </c>
      <c r="U278" s="33">
        <f>IF($B278="","",IF($D278&lt;&gt;"Yes","",IF($Q278&gt;=Settings!$C$13,"None",MID(IF(AND(G278&lt;&gt;"Accepted",G278&lt;&gt;"Not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Confirmed",IF($Q279&gt;=Settings!$C$13,"Legalized",IF($P279&gt;=Settings!$C$12,"Registered",IF($O279&gt;0,"In Progress","Not Started"))))))</f>
        <v/>
      </c>
      <c r="S279" s="32">
        <f>IF($B279="","",COUNTIF(G279:N279,"Received"))</f>
        <v/>
      </c>
      <c r="T279" s="32">
        <f>IF($B279="","",COUNTIF(G279:N279,"Needs Correction"))</f>
        <v/>
      </c>
      <c r="U279" s="33">
        <f>IF($B279="","",IF($D279&lt;&gt;"Yes","",IF($Q279&gt;=Settings!$C$13,"None",MID(IF(AND(G279&lt;&gt;"Accepted",G279&lt;&gt;"Not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Confirmed",IF($Q280&gt;=Settings!$C$13,"Legalized",IF($P280&gt;=Settings!$C$12,"Registered",IF($O280&gt;0,"In Progress","Not Started"))))))</f>
        <v/>
      </c>
      <c r="S280" s="32">
        <f>IF($B280="","",COUNTIF(G280:N280,"Received"))</f>
        <v/>
      </c>
      <c r="T280" s="32">
        <f>IF($B280="","",COUNTIF(G280:N280,"Needs Correction"))</f>
        <v/>
      </c>
      <c r="U280" s="33">
        <f>IF($B280="","",IF($D280&lt;&gt;"Yes","",IF($Q280&gt;=Settings!$C$13,"None",MID(IF(AND(G280&lt;&gt;"Accepted",G280&lt;&gt;"Not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Confirmed",IF($Q281&gt;=Settings!$C$13,"Legalized",IF($P281&gt;=Settings!$C$12,"Registered",IF($O281&gt;0,"In Progress","Not Started"))))))</f>
        <v/>
      </c>
      <c r="S281" s="32">
        <f>IF($B281="","",COUNTIF(G281:N281,"Received"))</f>
        <v/>
      </c>
      <c r="T281" s="32">
        <f>IF($B281="","",COUNTIF(G281:N281,"Needs Correction"))</f>
        <v/>
      </c>
      <c r="U281" s="33">
        <f>IF($B281="","",IF($D281&lt;&gt;"Yes","",IF($Q281&gt;=Settings!$C$13,"None",MID(IF(AND(G281&lt;&gt;"Accepted",G281&lt;&gt;"Not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Confirmed",IF($Q282&gt;=Settings!$C$13,"Legalized",IF($P282&gt;=Settings!$C$12,"Registered",IF($O282&gt;0,"In Progress","Not Started"))))))</f>
        <v/>
      </c>
      <c r="S282" s="32">
        <f>IF($B282="","",COUNTIF(G282:N282,"Received"))</f>
        <v/>
      </c>
      <c r="T282" s="32">
        <f>IF($B282="","",COUNTIF(G282:N282,"Needs Correction"))</f>
        <v/>
      </c>
      <c r="U282" s="33">
        <f>IF($B282="","",IF($D282&lt;&gt;"Yes","",IF($Q282&gt;=Settings!$C$13,"None",MID(IF(AND(G282&lt;&gt;"Accepted",G282&lt;&gt;"Not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Confirmed",IF($Q283&gt;=Settings!$C$13,"Legalized",IF($P283&gt;=Settings!$C$12,"Registered",IF($O283&gt;0,"In Progress","Not Started"))))))</f>
        <v/>
      </c>
      <c r="S283" s="32">
        <f>IF($B283="","",COUNTIF(G283:N283,"Received"))</f>
        <v/>
      </c>
      <c r="T283" s="32">
        <f>IF($B283="","",COUNTIF(G283:N283,"Needs Correction"))</f>
        <v/>
      </c>
      <c r="U283" s="33">
        <f>IF($B283="","",IF($D283&lt;&gt;"Yes","",IF($Q283&gt;=Settings!$C$13,"None",MID(IF(AND(G283&lt;&gt;"Accepted",G283&lt;&gt;"Not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Confirmed",IF($Q284&gt;=Settings!$C$13,"Legalized",IF($P284&gt;=Settings!$C$12,"Registered",IF($O284&gt;0,"In Progress","Not Started"))))))</f>
        <v/>
      </c>
      <c r="S284" s="32">
        <f>IF($B284="","",COUNTIF(G284:N284,"Received"))</f>
        <v/>
      </c>
      <c r="T284" s="32">
        <f>IF($B284="","",COUNTIF(G284:N284,"Needs Correction"))</f>
        <v/>
      </c>
      <c r="U284" s="33">
        <f>IF($B284="","",IF($D284&lt;&gt;"Yes","",IF($Q284&gt;=Settings!$C$13,"None",MID(IF(AND(G284&lt;&gt;"Accepted",G284&lt;&gt;"Not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Confirmed",IF($Q285&gt;=Settings!$C$13,"Legalized",IF($P285&gt;=Settings!$C$12,"Registered",IF($O285&gt;0,"In Progress","Not Started"))))))</f>
        <v/>
      </c>
      <c r="S285" s="32">
        <f>IF($B285="","",COUNTIF(G285:N285,"Received"))</f>
        <v/>
      </c>
      <c r="T285" s="32">
        <f>IF($B285="","",COUNTIF(G285:N285,"Needs Correction"))</f>
        <v/>
      </c>
      <c r="U285" s="33">
        <f>IF($B285="","",IF($D285&lt;&gt;"Yes","",IF($Q285&gt;=Settings!$C$13,"None",MID(IF(AND(G285&lt;&gt;"Accepted",G285&lt;&gt;"Not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Confirmed",IF($Q286&gt;=Settings!$C$13,"Legalized",IF($P286&gt;=Settings!$C$12,"Registered",IF($O286&gt;0,"In Progress","Not Started"))))))</f>
        <v/>
      </c>
      <c r="S286" s="32">
        <f>IF($B286="","",COUNTIF(G286:N286,"Received"))</f>
        <v/>
      </c>
      <c r="T286" s="32">
        <f>IF($B286="","",COUNTIF(G286:N286,"Needs Correction"))</f>
        <v/>
      </c>
      <c r="U286" s="33">
        <f>IF($B286="","",IF($D286&lt;&gt;"Yes","",IF($Q286&gt;=Settings!$C$13,"None",MID(IF(AND(G286&lt;&gt;"Accepted",G286&lt;&gt;"Not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Confirmed",IF($Q287&gt;=Settings!$C$13,"Legalized",IF($P287&gt;=Settings!$C$12,"Registered",IF($O287&gt;0,"In Progress","Not Started"))))))</f>
        <v/>
      </c>
      <c r="S287" s="32">
        <f>IF($B287="","",COUNTIF(G287:N287,"Received"))</f>
        <v/>
      </c>
      <c r="T287" s="32">
        <f>IF($B287="","",COUNTIF(G287:N287,"Needs Correction"))</f>
        <v/>
      </c>
      <c r="U287" s="33">
        <f>IF($B287="","",IF($D287&lt;&gt;"Yes","",IF($Q287&gt;=Settings!$C$13,"None",MID(IF(AND(G287&lt;&gt;"Accepted",G287&lt;&gt;"Not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Confirmed",IF($Q288&gt;=Settings!$C$13,"Legalized",IF($P288&gt;=Settings!$C$12,"Registered",IF($O288&gt;0,"In Progress","Not Started"))))))</f>
        <v/>
      </c>
      <c r="S288" s="32">
        <f>IF($B288="","",COUNTIF(G288:N288,"Received"))</f>
        <v/>
      </c>
      <c r="T288" s="32">
        <f>IF($B288="","",COUNTIF(G288:N288,"Needs Correction"))</f>
        <v/>
      </c>
      <c r="U288" s="33">
        <f>IF($B288="","",IF($D288&lt;&gt;"Yes","",IF($Q288&gt;=Settings!$C$13,"None",MID(IF(AND(G288&lt;&gt;"Accepted",G288&lt;&gt;"Not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Confirmed",IF($Q289&gt;=Settings!$C$13,"Legalized",IF($P289&gt;=Settings!$C$12,"Registered",IF($O289&gt;0,"In Progress","Not Started"))))))</f>
        <v/>
      </c>
      <c r="S289" s="32">
        <f>IF($B289="","",COUNTIF(G289:N289,"Received"))</f>
        <v/>
      </c>
      <c r="T289" s="32">
        <f>IF($B289="","",COUNTIF(G289:N289,"Needs Correction"))</f>
        <v/>
      </c>
      <c r="U289" s="33">
        <f>IF($B289="","",IF($D289&lt;&gt;"Yes","",IF($Q289&gt;=Settings!$C$13,"None",MID(IF(AND(G289&lt;&gt;"Accepted",G289&lt;&gt;"Not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Confirmed",IF($Q290&gt;=Settings!$C$13,"Legalized",IF($P290&gt;=Settings!$C$12,"Registered",IF($O290&gt;0,"In Progress","Not Started"))))))</f>
        <v/>
      </c>
      <c r="S290" s="32">
        <f>IF($B290="","",COUNTIF(G290:N290,"Received"))</f>
        <v/>
      </c>
      <c r="T290" s="32">
        <f>IF($B290="","",COUNTIF(G290:N290,"Needs Correction"))</f>
        <v/>
      </c>
      <c r="U290" s="33">
        <f>IF($B290="","",IF($D290&lt;&gt;"Yes","",IF($Q290&gt;=Settings!$C$13,"None",MID(IF(AND(G290&lt;&gt;"Accepted",G290&lt;&gt;"Not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Confirmed",IF($Q291&gt;=Settings!$C$13,"Legalized",IF($P291&gt;=Settings!$C$12,"Registered",IF($O291&gt;0,"In Progress","Not Started"))))))</f>
        <v/>
      </c>
      <c r="S291" s="32">
        <f>IF($B291="","",COUNTIF(G291:N291,"Received"))</f>
        <v/>
      </c>
      <c r="T291" s="32">
        <f>IF($B291="","",COUNTIF(G291:N291,"Needs Correction"))</f>
        <v/>
      </c>
      <c r="U291" s="33">
        <f>IF($B291="","",IF($D291&lt;&gt;"Yes","",IF($Q291&gt;=Settings!$C$13,"None",MID(IF(AND(G291&lt;&gt;"Accepted",G291&lt;&gt;"Not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Confirmed",IF($Q292&gt;=Settings!$C$13,"Legalized",IF($P292&gt;=Settings!$C$12,"Registered",IF($O292&gt;0,"In Progress","Not Started"))))))</f>
        <v/>
      </c>
      <c r="S292" s="32">
        <f>IF($B292="","",COUNTIF(G292:N292,"Received"))</f>
        <v/>
      </c>
      <c r="T292" s="32">
        <f>IF($B292="","",COUNTIF(G292:N292,"Needs Correction"))</f>
        <v/>
      </c>
      <c r="U292" s="33">
        <f>IF($B292="","",IF($D292&lt;&gt;"Yes","",IF($Q292&gt;=Settings!$C$13,"None",MID(IF(AND(G292&lt;&gt;"Accepted",G292&lt;&gt;"Not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Confirmed",IF($Q293&gt;=Settings!$C$13,"Legalized",IF($P293&gt;=Settings!$C$12,"Registered",IF($O293&gt;0,"In Progress","Not Started"))))))</f>
        <v/>
      </c>
      <c r="S293" s="32">
        <f>IF($B293="","",COUNTIF(G293:N293,"Received"))</f>
        <v/>
      </c>
      <c r="T293" s="32">
        <f>IF($B293="","",COUNTIF(G293:N293,"Needs Correction"))</f>
        <v/>
      </c>
      <c r="U293" s="33">
        <f>IF($B293="","",IF($D293&lt;&gt;"Yes","",IF($Q293&gt;=Settings!$C$13,"None",MID(IF(AND(G293&lt;&gt;"Accepted",G293&lt;&gt;"Not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Confirmed",IF($Q294&gt;=Settings!$C$13,"Legalized",IF($P294&gt;=Settings!$C$12,"Registered",IF($O294&gt;0,"In Progress","Not Started"))))))</f>
        <v/>
      </c>
      <c r="S294" s="32">
        <f>IF($B294="","",COUNTIF(G294:N294,"Received"))</f>
        <v/>
      </c>
      <c r="T294" s="32">
        <f>IF($B294="","",COUNTIF(G294:N294,"Needs Correction"))</f>
        <v/>
      </c>
      <c r="U294" s="33">
        <f>IF($B294="","",IF($D294&lt;&gt;"Yes","",IF($Q294&gt;=Settings!$C$13,"None",MID(IF(AND(G294&lt;&gt;"Accepted",G294&lt;&gt;"Not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Confirmed",IF($Q295&gt;=Settings!$C$13,"Legalized",IF($P295&gt;=Settings!$C$12,"Registered",IF($O295&gt;0,"In Progress","Not Started"))))))</f>
        <v/>
      </c>
      <c r="S295" s="32">
        <f>IF($B295="","",COUNTIF(G295:N295,"Received"))</f>
        <v/>
      </c>
      <c r="T295" s="32">
        <f>IF($B295="","",COUNTIF(G295:N295,"Needs Correction"))</f>
        <v/>
      </c>
      <c r="U295" s="33">
        <f>IF($B295="","",IF($D295&lt;&gt;"Yes","",IF($Q295&gt;=Settings!$C$13,"None",MID(IF(AND(G295&lt;&gt;"Accepted",G295&lt;&gt;"Not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Confirmed",IF($Q296&gt;=Settings!$C$13,"Legalized",IF($P296&gt;=Settings!$C$12,"Registered",IF($O296&gt;0,"In Progress","Not Started"))))))</f>
        <v/>
      </c>
      <c r="S296" s="32">
        <f>IF($B296="","",COUNTIF(G296:N296,"Received"))</f>
        <v/>
      </c>
      <c r="T296" s="32">
        <f>IF($B296="","",COUNTIF(G296:N296,"Needs Correction"))</f>
        <v/>
      </c>
      <c r="U296" s="33">
        <f>IF($B296="","",IF($D296&lt;&gt;"Yes","",IF($Q296&gt;=Settings!$C$13,"None",MID(IF(AND(G296&lt;&gt;"Accepted",G296&lt;&gt;"Not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Confirmed",IF($Q297&gt;=Settings!$C$13,"Legalized",IF($P297&gt;=Settings!$C$12,"Registered",IF($O297&gt;0,"In Progress","Not Started"))))))</f>
        <v/>
      </c>
      <c r="S297" s="32">
        <f>IF($B297="","",COUNTIF(G297:N297,"Received"))</f>
        <v/>
      </c>
      <c r="T297" s="32">
        <f>IF($B297="","",COUNTIF(G297:N297,"Needs Correction"))</f>
        <v/>
      </c>
      <c r="U297" s="33">
        <f>IF($B297="","",IF($D297&lt;&gt;"Yes","",IF($Q297&gt;=Settings!$C$13,"None",MID(IF(AND(G297&lt;&gt;"Accepted",G297&lt;&gt;"Not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Confirmed",IF($Q298&gt;=Settings!$C$13,"Legalized",IF($P298&gt;=Settings!$C$12,"Registered",IF($O298&gt;0,"In Progress","Not Started"))))))</f>
        <v/>
      </c>
      <c r="S298" s="32">
        <f>IF($B298="","",COUNTIF(G298:N298,"Received"))</f>
        <v/>
      </c>
      <c r="T298" s="32">
        <f>IF($B298="","",COUNTIF(G298:N298,"Needs Correction"))</f>
        <v/>
      </c>
      <c r="U298" s="33">
        <f>IF($B298="","",IF($D298&lt;&gt;"Yes","",IF($Q298&gt;=Settings!$C$13,"None",MID(IF(AND(G298&lt;&gt;"Accepted",G298&lt;&gt;"Not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Confirmed",IF($Q299&gt;=Settings!$C$13,"Legalized",IF($P299&gt;=Settings!$C$12,"Registered",IF($O299&gt;0,"In Progress","Not Started"))))))</f>
        <v/>
      </c>
      <c r="S299" s="32">
        <f>IF($B299="","",COUNTIF(G299:N299,"Received"))</f>
        <v/>
      </c>
      <c r="T299" s="32">
        <f>IF($B299="","",COUNTIF(G299:N299,"Needs Correction"))</f>
        <v/>
      </c>
      <c r="U299" s="33">
        <f>IF($B299="","",IF($D299&lt;&gt;"Yes","",IF($Q299&gt;=Settings!$C$13,"None",MID(IF(AND(G299&lt;&gt;"Accepted",G299&lt;&gt;"Not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Confirmed",IF($Q300&gt;=Settings!$C$13,"Legalized",IF($P300&gt;=Settings!$C$12,"Registered",IF($O300&gt;0,"In Progress","Not Started"))))))</f>
        <v/>
      </c>
      <c r="S300" s="32">
        <f>IF($B300="","",COUNTIF(G300:N300,"Received"))</f>
        <v/>
      </c>
      <c r="T300" s="32">
        <f>IF($B300="","",COUNTIF(G300:N300,"Needs Correction"))</f>
        <v/>
      </c>
      <c r="U300" s="33">
        <f>IF($B300="","",IF($D300&lt;&gt;"Yes","",IF($Q300&gt;=Settings!$C$13,"None",MID(IF(AND(G300&lt;&gt;"Accepted",G300&lt;&gt;"Not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Confirmed",IF($Q301&gt;=Settings!$C$13,"Legalized",IF($P301&gt;=Settings!$C$12,"Registered",IF($O301&gt;0,"In Progress","Not Started"))))))</f>
        <v/>
      </c>
      <c r="S301" s="32">
        <f>IF($B301="","",COUNTIF(G301:N301,"Received"))</f>
        <v/>
      </c>
      <c r="T301" s="32">
        <f>IF($B301="","",COUNTIF(G301:N301,"Needs Correction"))</f>
        <v/>
      </c>
      <c r="U301" s="33">
        <f>IF($B301="","",IF($D301&lt;&gt;"Yes","",IF($Q301&gt;=Settings!$C$13,"None",MID(IF(AND(G301&lt;&gt;"Accepted",G301&lt;&gt;"Not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Confirmed",IF($Q302&gt;=Settings!$C$13,"Legalized",IF($P302&gt;=Settings!$C$12,"Registered",IF($O302&gt;0,"In Progress","Not Started"))))))</f>
        <v/>
      </c>
      <c r="S302" s="32">
        <f>IF($B302="","",COUNTIF(G302:N302,"Received"))</f>
        <v/>
      </c>
      <c r="T302" s="32">
        <f>IF($B302="","",COUNTIF(G302:N302,"Needs Correction"))</f>
        <v/>
      </c>
      <c r="U302" s="33">
        <f>IF($B302="","",IF($D302&lt;&gt;"Yes","",IF($Q302&gt;=Settings!$C$13,"None",MID(IF(AND(G302&lt;&gt;"Accepted",G302&lt;&gt;"Not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Confirmed",IF($Q303&gt;=Settings!$C$13,"Legalized",IF($P303&gt;=Settings!$C$12,"Registered",IF($O303&gt;0,"In Progress","Not Started"))))))</f>
        <v/>
      </c>
      <c r="S303" s="32">
        <f>IF($B303="","",COUNTIF(G303:N303,"Received"))</f>
        <v/>
      </c>
      <c r="T303" s="32">
        <f>IF($B303="","",COUNTIF(G303:N303,"Needs Correction"))</f>
        <v/>
      </c>
      <c r="U303" s="33">
        <f>IF($B303="","",IF($D303&lt;&gt;"Yes","",IF($Q303&gt;=Settings!$C$13,"None",MID(IF(AND(G303&lt;&gt;"Accepted",G303&lt;&gt;"Not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Confirmed",IF($Q304&gt;=Settings!$C$13,"Legalized",IF($P304&gt;=Settings!$C$12,"Registered",IF($O304&gt;0,"In Progress","Not Started"))))))</f>
        <v/>
      </c>
      <c r="S304" s="32">
        <f>IF($B304="","",COUNTIF(G304:N304,"Received"))</f>
        <v/>
      </c>
      <c r="T304" s="32">
        <f>IF($B304="","",COUNTIF(G304:N304,"Needs Correction"))</f>
        <v/>
      </c>
      <c r="U304" s="33">
        <f>IF($B304="","",IF($D304&lt;&gt;"Yes","",IF($Q304&gt;=Settings!$C$13,"None",MID(IF(AND(G304&lt;&gt;"Accepted",G304&lt;&gt;"Not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Confirmed",IF($Q305&gt;=Settings!$C$13,"Legalized",IF($P305&gt;=Settings!$C$12,"Registered",IF($O305&gt;0,"In Progress","Not Started"))))))</f>
        <v/>
      </c>
      <c r="S305" s="32">
        <f>IF($B305="","",COUNTIF(G305:N305,"Received"))</f>
        <v/>
      </c>
      <c r="T305" s="32">
        <f>IF($B305="","",COUNTIF(G305:N305,"Needs Correction"))</f>
        <v/>
      </c>
      <c r="U305" s="33">
        <f>IF($B305="","",IF($D305&lt;&gt;"Yes","",IF($Q305&gt;=Settings!$C$13,"None",MID(IF(AND(G305&lt;&gt;"Accepted",G305&lt;&gt;"Not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Confirmed",IF($Q306&gt;=Settings!$C$13,"Legalized",IF($P306&gt;=Settings!$C$12,"Registered",IF($O306&gt;0,"In Progress","Not Started"))))))</f>
        <v/>
      </c>
      <c r="S306" s="32">
        <f>IF($B306="","",COUNTIF(G306:N306,"Received"))</f>
        <v/>
      </c>
      <c r="T306" s="32">
        <f>IF($B306="","",COUNTIF(G306:N306,"Needs Correction"))</f>
        <v/>
      </c>
      <c r="U306" s="33">
        <f>IF($B306="","",IF($D306&lt;&gt;"Yes","",IF($Q306&gt;=Settings!$C$13,"None",MID(IF(AND(G306&lt;&gt;"Accepted",G306&lt;&gt;"Not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Confirmed",IF($Q307&gt;=Settings!$C$13,"Legalized",IF($P307&gt;=Settings!$C$12,"Registered",IF($O307&gt;0,"In Progress","Not Started"))))))</f>
        <v/>
      </c>
      <c r="S307" s="32">
        <f>IF($B307="","",COUNTIF(G307:N307,"Received"))</f>
        <v/>
      </c>
      <c r="T307" s="32">
        <f>IF($B307="","",COUNTIF(G307:N307,"Needs Correction"))</f>
        <v/>
      </c>
      <c r="U307" s="33">
        <f>IF($B307="","",IF($D307&lt;&gt;"Yes","",IF($Q307&gt;=Settings!$C$13,"None",MID(IF(AND(G307&lt;&gt;"Accepted",G307&lt;&gt;"Not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Confirmed",IF($Q308&gt;=Settings!$C$13,"Legalized",IF($P308&gt;=Settings!$C$12,"Registered",IF($O308&gt;0,"In Progress","Not Started"))))))</f>
        <v/>
      </c>
      <c r="S308" s="32">
        <f>IF($B308="","",COUNTIF(G308:N308,"Received"))</f>
        <v/>
      </c>
      <c r="T308" s="32">
        <f>IF($B308="","",COUNTIF(G308:N308,"Needs Correction"))</f>
        <v/>
      </c>
      <c r="U308" s="33">
        <f>IF($B308="","",IF($D308&lt;&gt;"Yes","",IF($Q308&gt;=Settings!$C$13,"None",MID(IF(AND(G308&lt;&gt;"Accepted",G308&lt;&gt;"Not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Confirmed",IF($Q309&gt;=Settings!$C$13,"Legalized",IF($P309&gt;=Settings!$C$12,"Registered",IF($O309&gt;0,"In Progress","Not Started"))))))</f>
        <v/>
      </c>
      <c r="S309" s="32">
        <f>IF($B309="","",COUNTIF(G309:N309,"Received"))</f>
        <v/>
      </c>
      <c r="T309" s="32">
        <f>IF($B309="","",COUNTIF(G309:N309,"Needs Correction"))</f>
        <v/>
      </c>
      <c r="U309" s="33">
        <f>IF($B309="","",IF($D309&lt;&gt;"Yes","",IF($Q309&gt;=Settings!$C$13,"None",MID(IF(AND(G309&lt;&gt;"Accepted",G309&lt;&gt;"Not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Confirmed",IF($Q310&gt;=Settings!$C$13,"Legalized",IF($P310&gt;=Settings!$C$12,"Registered",IF($O310&gt;0,"In Progress","Not Started"))))))</f>
        <v/>
      </c>
      <c r="S310" s="32">
        <f>IF($B310="","",COUNTIF(G310:N310,"Received"))</f>
        <v/>
      </c>
      <c r="T310" s="32">
        <f>IF($B310="","",COUNTIF(G310:N310,"Needs Correction"))</f>
        <v/>
      </c>
      <c r="U310" s="33">
        <f>IF($B310="","",IF($D310&lt;&gt;"Yes","",IF($Q310&gt;=Settings!$C$13,"None",MID(IF(AND(G310&lt;&gt;"Accepted",G310&lt;&gt;"Not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Confirmed",IF($Q311&gt;=Settings!$C$13,"Legalized",IF($P311&gt;=Settings!$C$12,"Registered",IF($O311&gt;0,"In Progress","Not Started"))))))</f>
        <v/>
      </c>
      <c r="S311" s="32">
        <f>IF($B311="","",COUNTIF(G311:N311,"Received"))</f>
        <v/>
      </c>
      <c r="T311" s="32">
        <f>IF($B311="","",COUNTIF(G311:N311,"Needs Correction"))</f>
        <v/>
      </c>
      <c r="U311" s="33">
        <f>IF($B311="","",IF($D311&lt;&gt;"Yes","",IF($Q311&gt;=Settings!$C$13,"None",MID(IF(AND(G311&lt;&gt;"Accepted",G311&lt;&gt;"Not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Confirmed",IF($Q312&gt;=Settings!$C$13,"Legalized",IF($P312&gt;=Settings!$C$12,"Registered",IF($O312&gt;0,"In Progress","Not Started"))))))</f>
        <v/>
      </c>
      <c r="S312" s="32">
        <f>IF($B312="","",COUNTIF(G312:N312,"Received"))</f>
        <v/>
      </c>
      <c r="T312" s="32">
        <f>IF($B312="","",COUNTIF(G312:N312,"Needs Correction"))</f>
        <v/>
      </c>
      <c r="U312" s="33">
        <f>IF($B312="","",IF($D312&lt;&gt;"Yes","",IF($Q312&gt;=Settings!$C$13,"None",MID(IF(AND(G312&lt;&gt;"Accepted",G312&lt;&gt;"Not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Confirmed",IF($Q313&gt;=Settings!$C$13,"Legalized",IF($P313&gt;=Settings!$C$12,"Registered",IF($O313&gt;0,"In Progress","Not Started"))))))</f>
        <v/>
      </c>
      <c r="S313" s="32">
        <f>IF($B313="","",COUNTIF(G313:N313,"Received"))</f>
        <v/>
      </c>
      <c r="T313" s="32">
        <f>IF($B313="","",COUNTIF(G313:N313,"Needs Correction"))</f>
        <v/>
      </c>
      <c r="U313" s="33">
        <f>IF($B313="","",IF($D313&lt;&gt;"Yes","",IF($Q313&gt;=Settings!$C$13,"None",MID(IF(AND(G313&lt;&gt;"Accepted",G313&lt;&gt;"Not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Confirmed",IF($Q314&gt;=Settings!$C$13,"Legalized",IF($P314&gt;=Settings!$C$12,"Registered",IF($O314&gt;0,"In Progress","Not Started"))))))</f>
        <v/>
      </c>
      <c r="S314" s="32">
        <f>IF($B314="","",COUNTIF(G314:N314,"Received"))</f>
        <v/>
      </c>
      <c r="T314" s="32">
        <f>IF($B314="","",COUNTIF(G314:N314,"Needs Correction"))</f>
        <v/>
      </c>
      <c r="U314" s="33">
        <f>IF($B314="","",IF($D314&lt;&gt;"Yes","",IF($Q314&gt;=Settings!$C$13,"None",MID(IF(AND(G314&lt;&gt;"Accepted",G314&lt;&gt;"Not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Confirmed",IF($Q315&gt;=Settings!$C$13,"Legalized",IF($P315&gt;=Settings!$C$12,"Registered",IF($O315&gt;0,"In Progress","Not Started"))))))</f>
        <v/>
      </c>
      <c r="S315" s="32">
        <f>IF($B315="","",COUNTIF(G315:N315,"Received"))</f>
        <v/>
      </c>
      <c r="T315" s="32">
        <f>IF($B315="","",COUNTIF(G315:N315,"Needs Correction"))</f>
        <v/>
      </c>
      <c r="U315" s="33">
        <f>IF($B315="","",IF($D315&lt;&gt;"Yes","",IF($Q315&gt;=Settings!$C$13,"None",MID(IF(AND(G315&lt;&gt;"Accepted",G315&lt;&gt;"Not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Confirmed",IF($Q316&gt;=Settings!$C$13,"Legalized",IF($P316&gt;=Settings!$C$12,"Registered",IF($O316&gt;0,"In Progress","Not Started"))))))</f>
        <v/>
      </c>
      <c r="S316" s="32">
        <f>IF($B316="","",COUNTIF(G316:N316,"Received"))</f>
        <v/>
      </c>
      <c r="T316" s="32">
        <f>IF($B316="","",COUNTIF(G316:N316,"Needs Correction"))</f>
        <v/>
      </c>
      <c r="U316" s="33">
        <f>IF($B316="","",IF($D316&lt;&gt;"Yes","",IF($Q316&gt;=Settings!$C$13,"None",MID(IF(AND(G316&lt;&gt;"Accepted",G316&lt;&gt;"Not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Confirmed",IF($Q317&gt;=Settings!$C$13,"Legalized",IF($P317&gt;=Settings!$C$12,"Registered",IF($O317&gt;0,"In Progress","Not Started"))))))</f>
        <v/>
      </c>
      <c r="S317" s="32">
        <f>IF($B317="","",COUNTIF(G317:N317,"Received"))</f>
        <v/>
      </c>
      <c r="T317" s="32">
        <f>IF($B317="","",COUNTIF(G317:N317,"Needs Correction"))</f>
        <v/>
      </c>
      <c r="U317" s="33">
        <f>IF($B317="","",IF($D317&lt;&gt;"Yes","",IF($Q317&gt;=Settings!$C$13,"None",MID(IF(AND(G317&lt;&gt;"Accepted",G317&lt;&gt;"Not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Confirmed",IF($Q318&gt;=Settings!$C$13,"Legalized",IF($P318&gt;=Settings!$C$12,"Registered",IF($O318&gt;0,"In Progress","Not Started"))))))</f>
        <v/>
      </c>
      <c r="S318" s="32">
        <f>IF($B318="","",COUNTIF(G318:N318,"Received"))</f>
        <v/>
      </c>
      <c r="T318" s="32">
        <f>IF($B318="","",COUNTIF(G318:N318,"Needs Correction"))</f>
        <v/>
      </c>
      <c r="U318" s="33">
        <f>IF($B318="","",IF($D318&lt;&gt;"Yes","",IF($Q318&gt;=Settings!$C$13,"None",MID(IF(AND(G318&lt;&gt;"Accepted",G318&lt;&gt;"Not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Confirmed",IF($Q319&gt;=Settings!$C$13,"Legalized",IF($P319&gt;=Settings!$C$12,"Registered",IF($O319&gt;0,"In Progress","Not Started"))))))</f>
        <v/>
      </c>
      <c r="S319" s="32">
        <f>IF($B319="","",COUNTIF(G319:N319,"Received"))</f>
        <v/>
      </c>
      <c r="T319" s="32">
        <f>IF($B319="","",COUNTIF(G319:N319,"Needs Correction"))</f>
        <v/>
      </c>
      <c r="U319" s="33">
        <f>IF($B319="","",IF($D319&lt;&gt;"Yes","",IF($Q319&gt;=Settings!$C$13,"None",MID(IF(AND(G319&lt;&gt;"Accepted",G319&lt;&gt;"Not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Confirmed",IF($Q320&gt;=Settings!$C$13,"Legalized",IF($P320&gt;=Settings!$C$12,"Registered",IF($O320&gt;0,"In Progress","Not Started"))))))</f>
        <v/>
      </c>
      <c r="S320" s="32">
        <f>IF($B320="","",COUNTIF(G320:N320,"Received"))</f>
        <v/>
      </c>
      <c r="T320" s="32">
        <f>IF($B320="","",COUNTIF(G320:N320,"Needs Correction"))</f>
        <v/>
      </c>
      <c r="U320" s="33">
        <f>IF($B320="","",IF($D320&lt;&gt;"Yes","",IF($Q320&gt;=Settings!$C$13,"None",MID(IF(AND(G320&lt;&gt;"Accepted",G320&lt;&gt;"Not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Confirmed",IF($Q321&gt;=Settings!$C$13,"Legalized",IF($P321&gt;=Settings!$C$12,"Registered",IF($O321&gt;0,"In Progress","Not Started"))))))</f>
        <v/>
      </c>
      <c r="S321" s="32">
        <f>IF($B321="","",COUNTIF(G321:N321,"Received"))</f>
        <v/>
      </c>
      <c r="T321" s="32">
        <f>IF($B321="","",COUNTIF(G321:N321,"Needs Correction"))</f>
        <v/>
      </c>
      <c r="U321" s="33">
        <f>IF($B321="","",IF($D321&lt;&gt;"Yes","",IF($Q321&gt;=Settings!$C$13,"None",MID(IF(AND(G321&lt;&gt;"Accepted",G321&lt;&gt;"Not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Confirmed",IF($Q322&gt;=Settings!$C$13,"Legalized",IF($P322&gt;=Settings!$C$12,"Registered",IF($O322&gt;0,"In Progress","Not Started"))))))</f>
        <v/>
      </c>
      <c r="S322" s="32">
        <f>IF($B322="","",COUNTIF(G322:N322,"Received"))</f>
        <v/>
      </c>
      <c r="T322" s="32">
        <f>IF($B322="","",COUNTIF(G322:N322,"Needs Correction"))</f>
        <v/>
      </c>
      <c r="U322" s="33">
        <f>IF($B322="","",IF($D322&lt;&gt;"Yes","",IF($Q322&gt;=Settings!$C$13,"None",MID(IF(AND(G322&lt;&gt;"Accepted",G322&lt;&gt;"Not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Confirmed",IF($Q323&gt;=Settings!$C$13,"Legalized",IF($P323&gt;=Settings!$C$12,"Registered",IF($O323&gt;0,"In Progress","Not Started"))))))</f>
        <v/>
      </c>
      <c r="S323" s="32">
        <f>IF($B323="","",COUNTIF(G323:N323,"Received"))</f>
        <v/>
      </c>
      <c r="T323" s="32">
        <f>IF($B323="","",COUNTIF(G323:N323,"Needs Correction"))</f>
        <v/>
      </c>
      <c r="U323" s="33">
        <f>IF($B323="","",IF($D323&lt;&gt;"Yes","",IF($Q323&gt;=Settings!$C$13,"None",MID(IF(AND(G323&lt;&gt;"Accepted",G323&lt;&gt;"Not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Confirmed",IF($Q324&gt;=Settings!$C$13,"Legalized",IF($P324&gt;=Settings!$C$12,"Registered",IF($O324&gt;0,"In Progress","Not Started"))))))</f>
        <v/>
      </c>
      <c r="S324" s="32">
        <f>IF($B324="","",COUNTIF(G324:N324,"Received"))</f>
        <v/>
      </c>
      <c r="T324" s="32">
        <f>IF($B324="","",COUNTIF(G324:N324,"Needs Correction"))</f>
        <v/>
      </c>
      <c r="U324" s="33">
        <f>IF($B324="","",IF($D324&lt;&gt;"Yes","",IF($Q324&gt;=Settings!$C$13,"None",MID(IF(AND(G324&lt;&gt;"Accepted",G324&lt;&gt;"Not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Confirmed",IF($Q325&gt;=Settings!$C$13,"Legalized",IF($P325&gt;=Settings!$C$12,"Registered",IF($O325&gt;0,"In Progress","Not Started"))))))</f>
        <v/>
      </c>
      <c r="S325" s="32">
        <f>IF($B325="","",COUNTIF(G325:N325,"Received"))</f>
        <v/>
      </c>
      <c r="T325" s="32">
        <f>IF($B325="","",COUNTIF(G325:N325,"Needs Correction"))</f>
        <v/>
      </c>
      <c r="U325" s="33">
        <f>IF($B325="","",IF($D325&lt;&gt;"Yes","",IF($Q325&gt;=Settings!$C$13,"None",MID(IF(AND(G325&lt;&gt;"Accepted",G325&lt;&gt;"Not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Confirmed",IF($Q326&gt;=Settings!$C$13,"Legalized",IF($P326&gt;=Settings!$C$12,"Registered",IF($O326&gt;0,"In Progress","Not Started"))))))</f>
        <v/>
      </c>
      <c r="S326" s="32">
        <f>IF($B326="","",COUNTIF(G326:N326,"Received"))</f>
        <v/>
      </c>
      <c r="T326" s="32">
        <f>IF($B326="","",COUNTIF(G326:N326,"Needs Correction"))</f>
        <v/>
      </c>
      <c r="U326" s="33">
        <f>IF($B326="","",IF($D326&lt;&gt;"Yes","",IF($Q326&gt;=Settings!$C$13,"None",MID(IF(AND(G326&lt;&gt;"Accepted",G326&lt;&gt;"Not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Confirmed",IF($Q327&gt;=Settings!$C$13,"Legalized",IF($P327&gt;=Settings!$C$12,"Registered",IF($O327&gt;0,"In Progress","Not Started"))))))</f>
        <v/>
      </c>
      <c r="S327" s="32">
        <f>IF($B327="","",COUNTIF(G327:N327,"Received"))</f>
        <v/>
      </c>
      <c r="T327" s="32">
        <f>IF($B327="","",COUNTIF(G327:N327,"Needs Correction"))</f>
        <v/>
      </c>
      <c r="U327" s="33">
        <f>IF($B327="","",IF($D327&lt;&gt;"Yes","",IF($Q327&gt;=Settings!$C$13,"None",MID(IF(AND(G327&lt;&gt;"Accepted",G327&lt;&gt;"Not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Confirmed",IF($Q328&gt;=Settings!$C$13,"Legalized",IF($P328&gt;=Settings!$C$12,"Registered",IF($O328&gt;0,"In Progress","Not Started"))))))</f>
        <v/>
      </c>
      <c r="S328" s="32">
        <f>IF($B328="","",COUNTIF(G328:N328,"Received"))</f>
        <v/>
      </c>
      <c r="T328" s="32">
        <f>IF($B328="","",COUNTIF(G328:N328,"Needs Correction"))</f>
        <v/>
      </c>
      <c r="U328" s="33">
        <f>IF($B328="","",IF($D328&lt;&gt;"Yes","",IF($Q328&gt;=Settings!$C$13,"None",MID(IF(AND(G328&lt;&gt;"Accepted",G328&lt;&gt;"Not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Confirmed",IF($Q329&gt;=Settings!$C$13,"Legalized",IF($P329&gt;=Settings!$C$12,"Registered",IF($O329&gt;0,"In Progress","Not Started"))))))</f>
        <v/>
      </c>
      <c r="S329" s="32">
        <f>IF($B329="","",COUNTIF(G329:N329,"Received"))</f>
        <v/>
      </c>
      <c r="T329" s="32">
        <f>IF($B329="","",COUNTIF(G329:N329,"Needs Correction"))</f>
        <v/>
      </c>
      <c r="U329" s="33">
        <f>IF($B329="","",IF($D329&lt;&gt;"Yes","",IF($Q329&gt;=Settings!$C$13,"None",MID(IF(AND(G329&lt;&gt;"Accepted",G329&lt;&gt;"Not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Confirmed",IF($Q330&gt;=Settings!$C$13,"Legalized",IF($P330&gt;=Settings!$C$12,"Registered",IF($O330&gt;0,"In Progress","Not Started"))))))</f>
        <v/>
      </c>
      <c r="S330" s="32">
        <f>IF($B330="","",COUNTIF(G330:N330,"Received"))</f>
        <v/>
      </c>
      <c r="T330" s="32">
        <f>IF($B330="","",COUNTIF(G330:N330,"Needs Correction"))</f>
        <v/>
      </c>
      <c r="U330" s="33">
        <f>IF($B330="","",IF($D330&lt;&gt;"Yes","",IF($Q330&gt;=Settings!$C$13,"None",MID(IF(AND(G330&lt;&gt;"Accepted",G330&lt;&gt;"Not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Confirmed",IF($Q331&gt;=Settings!$C$13,"Legalized",IF($P331&gt;=Settings!$C$12,"Registered",IF($O331&gt;0,"In Progress","Not Started"))))))</f>
        <v/>
      </c>
      <c r="S331" s="32">
        <f>IF($B331="","",COUNTIF(G331:N331,"Received"))</f>
        <v/>
      </c>
      <c r="T331" s="32">
        <f>IF($B331="","",COUNTIF(G331:N331,"Needs Correction"))</f>
        <v/>
      </c>
      <c r="U331" s="33">
        <f>IF($B331="","",IF($D331&lt;&gt;"Yes","",IF($Q331&gt;=Settings!$C$13,"None",MID(IF(AND(G331&lt;&gt;"Accepted",G331&lt;&gt;"Not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Confirmed",IF($Q332&gt;=Settings!$C$13,"Legalized",IF($P332&gt;=Settings!$C$12,"Registered",IF($O332&gt;0,"In Progress","Not Started"))))))</f>
        <v/>
      </c>
      <c r="S332" s="32">
        <f>IF($B332="","",COUNTIF(G332:N332,"Received"))</f>
        <v/>
      </c>
      <c r="T332" s="32">
        <f>IF($B332="","",COUNTIF(G332:N332,"Needs Correction"))</f>
        <v/>
      </c>
      <c r="U332" s="33">
        <f>IF($B332="","",IF($D332&lt;&gt;"Yes","",IF($Q332&gt;=Settings!$C$13,"None",MID(IF(AND(G332&lt;&gt;"Accepted",G332&lt;&gt;"Not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Confirmed",IF($Q333&gt;=Settings!$C$13,"Legalized",IF($P333&gt;=Settings!$C$12,"Registered",IF($O333&gt;0,"In Progress","Not Started"))))))</f>
        <v/>
      </c>
      <c r="S333" s="32">
        <f>IF($B333="","",COUNTIF(G333:N333,"Received"))</f>
        <v/>
      </c>
      <c r="T333" s="32">
        <f>IF($B333="","",COUNTIF(G333:N333,"Needs Correction"))</f>
        <v/>
      </c>
      <c r="U333" s="33">
        <f>IF($B333="","",IF($D333&lt;&gt;"Yes","",IF($Q333&gt;=Settings!$C$13,"None",MID(IF(AND(G333&lt;&gt;"Accepted",G333&lt;&gt;"Not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Confirmed",IF($Q334&gt;=Settings!$C$13,"Legalized",IF($P334&gt;=Settings!$C$12,"Registered",IF($O334&gt;0,"In Progress","Not Started"))))))</f>
        <v/>
      </c>
      <c r="S334" s="32">
        <f>IF($B334="","",COUNTIF(G334:N334,"Received"))</f>
        <v/>
      </c>
      <c r="T334" s="32">
        <f>IF($B334="","",COUNTIF(G334:N334,"Needs Correction"))</f>
        <v/>
      </c>
      <c r="U334" s="33">
        <f>IF($B334="","",IF($D334&lt;&gt;"Yes","",IF($Q334&gt;=Settings!$C$13,"None",MID(IF(AND(G334&lt;&gt;"Accepted",G334&lt;&gt;"Not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Confirmed",IF($Q335&gt;=Settings!$C$13,"Legalized",IF($P335&gt;=Settings!$C$12,"Registered",IF($O335&gt;0,"In Progress","Not Started"))))))</f>
        <v/>
      </c>
      <c r="S335" s="32">
        <f>IF($B335="","",COUNTIF(G335:N335,"Received"))</f>
        <v/>
      </c>
      <c r="T335" s="32">
        <f>IF($B335="","",COUNTIF(G335:N335,"Needs Correction"))</f>
        <v/>
      </c>
      <c r="U335" s="33">
        <f>IF($B335="","",IF($D335&lt;&gt;"Yes","",IF($Q335&gt;=Settings!$C$13,"None",MID(IF(AND(G335&lt;&gt;"Accepted",G335&lt;&gt;"Not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Confirmed",IF($Q336&gt;=Settings!$C$13,"Legalized",IF($P336&gt;=Settings!$C$12,"Registered",IF($O336&gt;0,"In Progress","Not Started"))))))</f>
        <v/>
      </c>
      <c r="S336" s="32">
        <f>IF($B336="","",COUNTIF(G336:N336,"Received"))</f>
        <v/>
      </c>
      <c r="T336" s="32">
        <f>IF($B336="","",COUNTIF(G336:N336,"Needs Correction"))</f>
        <v/>
      </c>
      <c r="U336" s="33">
        <f>IF($B336="","",IF($D336&lt;&gt;"Yes","",IF($Q336&gt;=Settings!$C$13,"None",MID(IF(AND(G336&lt;&gt;"Accepted",G336&lt;&gt;"Not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Confirmed",IF($Q337&gt;=Settings!$C$13,"Legalized",IF($P337&gt;=Settings!$C$12,"Registered",IF($O337&gt;0,"In Progress","Not Started"))))))</f>
        <v/>
      </c>
      <c r="S337" s="32">
        <f>IF($B337="","",COUNTIF(G337:N337,"Received"))</f>
        <v/>
      </c>
      <c r="T337" s="32">
        <f>IF($B337="","",COUNTIF(G337:N337,"Needs Correction"))</f>
        <v/>
      </c>
      <c r="U337" s="33">
        <f>IF($B337="","",IF($D337&lt;&gt;"Yes","",IF($Q337&gt;=Settings!$C$13,"None",MID(IF(AND(G337&lt;&gt;"Accepted",G337&lt;&gt;"Not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Confirmed",IF($Q338&gt;=Settings!$C$13,"Legalized",IF($P338&gt;=Settings!$C$12,"Registered",IF($O338&gt;0,"In Progress","Not Started"))))))</f>
        <v/>
      </c>
      <c r="S338" s="32">
        <f>IF($B338="","",COUNTIF(G338:N338,"Received"))</f>
        <v/>
      </c>
      <c r="T338" s="32">
        <f>IF($B338="","",COUNTIF(G338:N338,"Needs Correction"))</f>
        <v/>
      </c>
      <c r="U338" s="33">
        <f>IF($B338="","",IF($D338&lt;&gt;"Yes","",IF($Q338&gt;=Settings!$C$13,"None",MID(IF(AND(G338&lt;&gt;"Accepted",G338&lt;&gt;"Not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Confirmed",IF($Q339&gt;=Settings!$C$13,"Legalized",IF($P339&gt;=Settings!$C$12,"Registered",IF($O339&gt;0,"In Progress","Not Started"))))))</f>
        <v/>
      </c>
      <c r="S339" s="32">
        <f>IF($B339="","",COUNTIF(G339:N339,"Received"))</f>
        <v/>
      </c>
      <c r="T339" s="32">
        <f>IF($B339="","",COUNTIF(G339:N339,"Needs Correction"))</f>
        <v/>
      </c>
      <c r="U339" s="33">
        <f>IF($B339="","",IF($D339&lt;&gt;"Yes","",IF($Q339&gt;=Settings!$C$13,"None",MID(IF(AND(G339&lt;&gt;"Accepted",G339&lt;&gt;"Not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Confirmed",IF($Q340&gt;=Settings!$C$13,"Legalized",IF($P340&gt;=Settings!$C$12,"Registered",IF($O340&gt;0,"In Progress","Not Started"))))))</f>
        <v/>
      </c>
      <c r="S340" s="32">
        <f>IF($B340="","",COUNTIF(G340:N340,"Received"))</f>
        <v/>
      </c>
      <c r="T340" s="32">
        <f>IF($B340="","",COUNTIF(G340:N340,"Needs Correction"))</f>
        <v/>
      </c>
      <c r="U340" s="33">
        <f>IF($B340="","",IF($D340&lt;&gt;"Yes","",IF($Q340&gt;=Settings!$C$13,"None",MID(IF(AND(G340&lt;&gt;"Accepted",G340&lt;&gt;"Not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Confirmed",IF($Q341&gt;=Settings!$C$13,"Legalized",IF($P341&gt;=Settings!$C$12,"Registered",IF($O341&gt;0,"In Progress","Not Started"))))))</f>
        <v/>
      </c>
      <c r="S341" s="32">
        <f>IF($B341="","",COUNTIF(G341:N341,"Received"))</f>
        <v/>
      </c>
      <c r="T341" s="32">
        <f>IF($B341="","",COUNTIF(G341:N341,"Needs Correction"))</f>
        <v/>
      </c>
      <c r="U341" s="33">
        <f>IF($B341="","",IF($D341&lt;&gt;"Yes","",IF($Q341&gt;=Settings!$C$13,"None",MID(IF(AND(G341&lt;&gt;"Accepted",G341&lt;&gt;"Not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Confirmed",IF($Q342&gt;=Settings!$C$13,"Legalized",IF($P342&gt;=Settings!$C$12,"Registered",IF($O342&gt;0,"In Progress","Not Started"))))))</f>
        <v/>
      </c>
      <c r="S342" s="32">
        <f>IF($B342="","",COUNTIF(G342:N342,"Received"))</f>
        <v/>
      </c>
      <c r="T342" s="32">
        <f>IF($B342="","",COUNTIF(G342:N342,"Needs Correction"))</f>
        <v/>
      </c>
      <c r="U342" s="33">
        <f>IF($B342="","",IF($D342&lt;&gt;"Yes","",IF($Q342&gt;=Settings!$C$13,"None",MID(IF(AND(G342&lt;&gt;"Accepted",G342&lt;&gt;"Not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Confirmed",IF($Q343&gt;=Settings!$C$13,"Legalized",IF($P343&gt;=Settings!$C$12,"Registered",IF($O343&gt;0,"In Progress","Not Started"))))))</f>
        <v/>
      </c>
      <c r="S343" s="32">
        <f>IF($B343="","",COUNTIF(G343:N343,"Received"))</f>
        <v/>
      </c>
      <c r="T343" s="32">
        <f>IF($B343="","",COUNTIF(G343:N343,"Needs Correction"))</f>
        <v/>
      </c>
      <c r="U343" s="33">
        <f>IF($B343="","",IF($D343&lt;&gt;"Yes","",IF($Q343&gt;=Settings!$C$13,"None",MID(IF(AND(G343&lt;&gt;"Accepted",G343&lt;&gt;"Not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Confirmed",IF($Q344&gt;=Settings!$C$13,"Legalized",IF($P344&gt;=Settings!$C$12,"Registered",IF($O344&gt;0,"In Progress","Not Started"))))))</f>
        <v/>
      </c>
      <c r="S344" s="32">
        <f>IF($B344="","",COUNTIF(G344:N344,"Received"))</f>
        <v/>
      </c>
      <c r="T344" s="32">
        <f>IF($B344="","",COUNTIF(G344:N344,"Needs Correction"))</f>
        <v/>
      </c>
      <c r="U344" s="33">
        <f>IF($B344="","",IF($D344&lt;&gt;"Yes","",IF($Q344&gt;=Settings!$C$13,"None",MID(IF(AND(G344&lt;&gt;"Accepted",G344&lt;&gt;"Not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Confirmed",IF($Q345&gt;=Settings!$C$13,"Legalized",IF($P345&gt;=Settings!$C$12,"Registered",IF($O345&gt;0,"In Progress","Not Started"))))))</f>
        <v/>
      </c>
      <c r="S345" s="32">
        <f>IF($B345="","",COUNTIF(G345:N345,"Received"))</f>
        <v/>
      </c>
      <c r="T345" s="32">
        <f>IF($B345="","",COUNTIF(G345:N345,"Needs Correction"))</f>
        <v/>
      </c>
      <c r="U345" s="33">
        <f>IF($B345="","",IF($D345&lt;&gt;"Yes","",IF($Q345&gt;=Settings!$C$13,"None",MID(IF(AND(G345&lt;&gt;"Accepted",G345&lt;&gt;"Not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Confirmed",IF($Q346&gt;=Settings!$C$13,"Legalized",IF($P346&gt;=Settings!$C$12,"Registered",IF($O346&gt;0,"In Progress","Not Started"))))))</f>
        <v/>
      </c>
      <c r="S346" s="32">
        <f>IF($B346="","",COUNTIF(G346:N346,"Received"))</f>
        <v/>
      </c>
      <c r="T346" s="32">
        <f>IF($B346="","",COUNTIF(G346:N346,"Needs Correction"))</f>
        <v/>
      </c>
      <c r="U346" s="33">
        <f>IF($B346="","",IF($D346&lt;&gt;"Yes","",IF($Q346&gt;=Settings!$C$13,"None",MID(IF(AND(G346&lt;&gt;"Accepted",G346&lt;&gt;"Not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Confirmed",IF($Q347&gt;=Settings!$C$13,"Legalized",IF($P347&gt;=Settings!$C$12,"Registered",IF($O347&gt;0,"In Progress","Not Started"))))))</f>
        <v/>
      </c>
      <c r="S347" s="32">
        <f>IF($B347="","",COUNTIF(G347:N347,"Received"))</f>
        <v/>
      </c>
      <c r="T347" s="32">
        <f>IF($B347="","",COUNTIF(G347:N347,"Needs Correction"))</f>
        <v/>
      </c>
      <c r="U347" s="33">
        <f>IF($B347="","",IF($D347&lt;&gt;"Yes","",IF($Q347&gt;=Settings!$C$13,"None",MID(IF(AND(G347&lt;&gt;"Accepted",G347&lt;&gt;"Not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Confirmed",IF($Q348&gt;=Settings!$C$13,"Legalized",IF($P348&gt;=Settings!$C$12,"Registered",IF($O348&gt;0,"In Progress","Not Started"))))))</f>
        <v/>
      </c>
      <c r="S348" s="32">
        <f>IF($B348="","",COUNTIF(G348:N348,"Received"))</f>
        <v/>
      </c>
      <c r="T348" s="32">
        <f>IF($B348="","",COUNTIF(G348:N348,"Needs Correction"))</f>
        <v/>
      </c>
      <c r="U348" s="33">
        <f>IF($B348="","",IF($D348&lt;&gt;"Yes","",IF($Q348&gt;=Settings!$C$13,"None",MID(IF(AND(G348&lt;&gt;"Accepted",G348&lt;&gt;"Not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Confirmed",IF($Q349&gt;=Settings!$C$13,"Legalized",IF($P349&gt;=Settings!$C$12,"Registered",IF($O349&gt;0,"In Progress","Not Started"))))))</f>
        <v/>
      </c>
      <c r="S349" s="32">
        <f>IF($B349="","",COUNTIF(G349:N349,"Received"))</f>
        <v/>
      </c>
      <c r="T349" s="32">
        <f>IF($B349="","",COUNTIF(G349:N349,"Needs Correction"))</f>
        <v/>
      </c>
      <c r="U349" s="33">
        <f>IF($B349="","",IF($D349&lt;&gt;"Yes","",IF($Q349&gt;=Settings!$C$13,"None",MID(IF(AND(G349&lt;&gt;"Accepted",G349&lt;&gt;"Not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Confirmed",IF($Q350&gt;=Settings!$C$13,"Legalized",IF($P350&gt;=Settings!$C$12,"Registered",IF($O350&gt;0,"In Progress","Not Started"))))))</f>
        <v/>
      </c>
      <c r="S350" s="32">
        <f>IF($B350="","",COUNTIF(G350:N350,"Received"))</f>
        <v/>
      </c>
      <c r="T350" s="32">
        <f>IF($B350="","",COUNTIF(G350:N350,"Needs Correction"))</f>
        <v/>
      </c>
      <c r="U350" s="33">
        <f>IF($B350="","",IF($D350&lt;&gt;"Yes","",IF($Q350&gt;=Settings!$C$13,"None",MID(IF(AND(G350&lt;&gt;"Accepted",G350&lt;&gt;"Not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Confirmed",IF($Q351&gt;=Settings!$C$13,"Legalized",IF($P351&gt;=Settings!$C$12,"Registered",IF($O351&gt;0,"In Progress","Not Started"))))))</f>
        <v/>
      </c>
      <c r="S351" s="32">
        <f>IF($B351="","",COUNTIF(G351:N351,"Received"))</f>
        <v/>
      </c>
      <c r="T351" s="32">
        <f>IF($B351="","",COUNTIF(G351:N351,"Needs Correction"))</f>
        <v/>
      </c>
      <c r="U351" s="33">
        <f>IF($B351="","",IF($D351&lt;&gt;"Yes","",IF($Q351&gt;=Settings!$C$13,"None",MID(IF(AND(G351&lt;&gt;"Accepted",G351&lt;&gt;"Not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Confirmed",IF($Q352&gt;=Settings!$C$13,"Legalized",IF($P352&gt;=Settings!$C$12,"Registered",IF($O352&gt;0,"In Progress","Not Started"))))))</f>
        <v/>
      </c>
      <c r="S352" s="32">
        <f>IF($B352="","",COUNTIF(G352:N352,"Received"))</f>
        <v/>
      </c>
      <c r="T352" s="32">
        <f>IF($B352="","",COUNTIF(G352:N352,"Needs Correction"))</f>
        <v/>
      </c>
      <c r="U352" s="33">
        <f>IF($B352="","",IF($D352&lt;&gt;"Yes","",IF($Q352&gt;=Settings!$C$13,"None",MID(IF(AND(G352&lt;&gt;"Accepted",G352&lt;&gt;"Not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Confirmed",IF($Q353&gt;=Settings!$C$13,"Legalized",IF($P353&gt;=Settings!$C$12,"Registered",IF($O353&gt;0,"In Progress","Not Started"))))))</f>
        <v/>
      </c>
      <c r="S353" s="32">
        <f>IF($B353="","",COUNTIF(G353:N353,"Received"))</f>
        <v/>
      </c>
      <c r="T353" s="32">
        <f>IF($B353="","",COUNTIF(G353:N353,"Needs Correction"))</f>
        <v/>
      </c>
      <c r="U353" s="33">
        <f>IF($B353="","",IF($D353&lt;&gt;"Yes","",IF($Q353&gt;=Settings!$C$13,"None",MID(IF(AND(G353&lt;&gt;"Accepted",G353&lt;&gt;"Not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Confirmed",IF($Q354&gt;=Settings!$C$13,"Legalized",IF($P354&gt;=Settings!$C$12,"Registered",IF($O354&gt;0,"In Progress","Not Started"))))))</f>
        <v/>
      </c>
      <c r="S354" s="32">
        <f>IF($B354="","",COUNTIF(G354:N354,"Received"))</f>
        <v/>
      </c>
      <c r="T354" s="32">
        <f>IF($B354="","",COUNTIF(G354:N354,"Needs Correction"))</f>
        <v/>
      </c>
      <c r="U354" s="33">
        <f>IF($B354="","",IF($D354&lt;&gt;"Yes","",IF($Q354&gt;=Settings!$C$13,"None",MID(IF(AND(G354&lt;&gt;"Accepted",G354&lt;&gt;"Not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Confirmed",IF($Q355&gt;=Settings!$C$13,"Legalized",IF($P355&gt;=Settings!$C$12,"Registered",IF($O355&gt;0,"In Progress","Not Started"))))))</f>
        <v/>
      </c>
      <c r="S355" s="32">
        <f>IF($B355="","",COUNTIF(G355:N355,"Received"))</f>
        <v/>
      </c>
      <c r="T355" s="32">
        <f>IF($B355="","",COUNTIF(G355:N355,"Needs Correction"))</f>
        <v/>
      </c>
      <c r="U355" s="33">
        <f>IF($B355="","",IF($D355&lt;&gt;"Yes","",IF($Q355&gt;=Settings!$C$13,"None",MID(IF(AND(G355&lt;&gt;"Accepted",G355&lt;&gt;"Not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Confirmed",IF($Q356&gt;=Settings!$C$13,"Legalized",IF($P356&gt;=Settings!$C$12,"Registered",IF($O356&gt;0,"In Progress","Not Started"))))))</f>
        <v/>
      </c>
      <c r="S356" s="32">
        <f>IF($B356="","",COUNTIF(G356:N356,"Received"))</f>
        <v/>
      </c>
      <c r="T356" s="32">
        <f>IF($B356="","",COUNTIF(G356:N356,"Needs Correction"))</f>
        <v/>
      </c>
      <c r="U356" s="33">
        <f>IF($B356="","",IF($D356&lt;&gt;"Yes","",IF($Q356&gt;=Settings!$C$13,"None",MID(IF(AND(G356&lt;&gt;"Accepted",G356&lt;&gt;"Not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Confirmed",IF($Q357&gt;=Settings!$C$13,"Legalized",IF($P357&gt;=Settings!$C$12,"Registered",IF($O357&gt;0,"In Progress","Not Started"))))))</f>
        <v/>
      </c>
      <c r="S357" s="32">
        <f>IF($B357="","",COUNTIF(G357:N357,"Received"))</f>
        <v/>
      </c>
      <c r="T357" s="32">
        <f>IF($B357="","",COUNTIF(G357:N357,"Needs Correction"))</f>
        <v/>
      </c>
      <c r="U357" s="33">
        <f>IF($B357="","",IF($D357&lt;&gt;"Yes","",IF($Q357&gt;=Settings!$C$13,"None",MID(IF(AND(G357&lt;&gt;"Accepted",G357&lt;&gt;"Not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Confirmed",IF($Q358&gt;=Settings!$C$13,"Legalized",IF($P358&gt;=Settings!$C$12,"Registered",IF($O358&gt;0,"In Progress","Not Started"))))))</f>
        <v/>
      </c>
      <c r="S358" s="32">
        <f>IF($B358="","",COUNTIF(G358:N358,"Received"))</f>
        <v/>
      </c>
      <c r="T358" s="32">
        <f>IF($B358="","",COUNTIF(G358:N358,"Needs Correction"))</f>
        <v/>
      </c>
      <c r="U358" s="33">
        <f>IF($B358="","",IF($D358&lt;&gt;"Yes","",IF($Q358&gt;=Settings!$C$13,"None",MID(IF(AND(G358&lt;&gt;"Accepted",G358&lt;&gt;"Not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Confirmed",IF($Q359&gt;=Settings!$C$13,"Legalized",IF($P359&gt;=Settings!$C$12,"Registered",IF($O359&gt;0,"In Progress","Not Started"))))))</f>
        <v/>
      </c>
      <c r="S359" s="32">
        <f>IF($B359="","",COUNTIF(G359:N359,"Received"))</f>
        <v/>
      </c>
      <c r="T359" s="32">
        <f>IF($B359="","",COUNTIF(G359:N359,"Needs Correction"))</f>
        <v/>
      </c>
      <c r="U359" s="33">
        <f>IF($B359="","",IF($D359&lt;&gt;"Yes","",IF($Q359&gt;=Settings!$C$13,"None",MID(IF(AND(G359&lt;&gt;"Accepted",G359&lt;&gt;"Not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Confirmed",IF($Q360&gt;=Settings!$C$13,"Legalized",IF($P360&gt;=Settings!$C$12,"Registered",IF($O360&gt;0,"In Progress","Not Started"))))))</f>
        <v/>
      </c>
      <c r="S360" s="32">
        <f>IF($B360="","",COUNTIF(G360:N360,"Received"))</f>
        <v/>
      </c>
      <c r="T360" s="32">
        <f>IF($B360="","",COUNTIF(G360:N360,"Needs Correction"))</f>
        <v/>
      </c>
      <c r="U360" s="33">
        <f>IF($B360="","",IF($D360&lt;&gt;"Yes","",IF($Q360&gt;=Settings!$C$13,"None",MID(IF(AND(G360&lt;&gt;"Accepted",G360&lt;&gt;"Not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Confirmed",IF($Q361&gt;=Settings!$C$13,"Legalized",IF($P361&gt;=Settings!$C$12,"Registered",IF($O361&gt;0,"In Progress","Not Started"))))))</f>
        <v/>
      </c>
      <c r="S361" s="32">
        <f>IF($B361="","",COUNTIF(G361:N361,"Received"))</f>
        <v/>
      </c>
      <c r="T361" s="32">
        <f>IF($B361="","",COUNTIF(G361:N361,"Needs Correction"))</f>
        <v/>
      </c>
      <c r="U361" s="33">
        <f>IF($B361="","",IF($D361&lt;&gt;"Yes","",IF($Q361&gt;=Settings!$C$13,"None",MID(IF(AND(G361&lt;&gt;"Accepted",G361&lt;&gt;"Not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Confirmed",IF($Q362&gt;=Settings!$C$13,"Legalized",IF($P362&gt;=Settings!$C$12,"Registered",IF($O362&gt;0,"In Progress","Not Started"))))))</f>
        <v/>
      </c>
      <c r="S362" s="32">
        <f>IF($B362="","",COUNTIF(G362:N362,"Received"))</f>
        <v/>
      </c>
      <c r="T362" s="32">
        <f>IF($B362="","",COUNTIF(G362:N362,"Needs Correction"))</f>
        <v/>
      </c>
      <c r="U362" s="33">
        <f>IF($B362="","",IF($D362&lt;&gt;"Yes","",IF($Q362&gt;=Settings!$C$13,"None",MID(IF(AND(G362&lt;&gt;"Accepted",G362&lt;&gt;"Not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Confirmed",IF($Q363&gt;=Settings!$C$13,"Legalized",IF($P363&gt;=Settings!$C$12,"Registered",IF($O363&gt;0,"In Progress","Not Started"))))))</f>
        <v/>
      </c>
      <c r="S363" s="32">
        <f>IF($B363="","",COUNTIF(G363:N363,"Received"))</f>
        <v/>
      </c>
      <c r="T363" s="32">
        <f>IF($B363="","",COUNTIF(G363:N363,"Needs Correction"))</f>
        <v/>
      </c>
      <c r="U363" s="33">
        <f>IF($B363="","",IF($D363&lt;&gt;"Yes","",IF($Q363&gt;=Settings!$C$13,"None",MID(IF(AND(G363&lt;&gt;"Accepted",G363&lt;&gt;"Not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Confirmed",IF($Q364&gt;=Settings!$C$13,"Legalized",IF($P364&gt;=Settings!$C$12,"Registered",IF($O364&gt;0,"In Progress","Not Started"))))))</f>
        <v/>
      </c>
      <c r="S364" s="32">
        <f>IF($B364="","",COUNTIF(G364:N364,"Received"))</f>
        <v/>
      </c>
      <c r="T364" s="32">
        <f>IF($B364="","",COUNTIF(G364:N364,"Needs Correction"))</f>
        <v/>
      </c>
      <c r="U364" s="33">
        <f>IF($B364="","",IF($D364&lt;&gt;"Yes","",IF($Q364&gt;=Settings!$C$13,"None",MID(IF(AND(G364&lt;&gt;"Accepted",G364&lt;&gt;"Not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Confirmed",IF($Q365&gt;=Settings!$C$13,"Legalized",IF($P365&gt;=Settings!$C$12,"Registered",IF($O365&gt;0,"In Progress","Not Started"))))))</f>
        <v/>
      </c>
      <c r="S365" s="32">
        <f>IF($B365="","",COUNTIF(G365:N365,"Received"))</f>
        <v/>
      </c>
      <c r="T365" s="32">
        <f>IF($B365="","",COUNTIF(G365:N365,"Needs Correction"))</f>
        <v/>
      </c>
      <c r="U365" s="33">
        <f>IF($B365="","",IF($D365&lt;&gt;"Yes","",IF($Q365&gt;=Settings!$C$13,"None",MID(IF(AND(G365&lt;&gt;"Accepted",G365&lt;&gt;"Not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Confirmed",IF($Q366&gt;=Settings!$C$13,"Legalized",IF($P366&gt;=Settings!$C$12,"Registered",IF($O366&gt;0,"In Progress","Not Started"))))))</f>
        <v/>
      </c>
      <c r="S366" s="32">
        <f>IF($B366="","",COUNTIF(G366:N366,"Received"))</f>
        <v/>
      </c>
      <c r="T366" s="32">
        <f>IF($B366="","",COUNTIF(G366:N366,"Needs Correction"))</f>
        <v/>
      </c>
      <c r="U366" s="33">
        <f>IF($B366="","",IF($D366&lt;&gt;"Yes","",IF($Q366&gt;=Settings!$C$13,"None",MID(IF(AND(G366&lt;&gt;"Accepted",G366&lt;&gt;"Not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Confirmed",IF($Q367&gt;=Settings!$C$13,"Legalized",IF($P367&gt;=Settings!$C$12,"Registered",IF($O367&gt;0,"In Progress","Not Started"))))))</f>
        <v/>
      </c>
      <c r="S367" s="32">
        <f>IF($B367="","",COUNTIF(G367:N367,"Received"))</f>
        <v/>
      </c>
      <c r="T367" s="32">
        <f>IF($B367="","",COUNTIF(G367:N367,"Needs Correction"))</f>
        <v/>
      </c>
      <c r="U367" s="33">
        <f>IF($B367="","",IF($D367&lt;&gt;"Yes","",IF($Q367&gt;=Settings!$C$13,"None",MID(IF(AND(G367&lt;&gt;"Accepted",G367&lt;&gt;"Not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Confirmed",IF($Q368&gt;=Settings!$C$13,"Legalized",IF($P368&gt;=Settings!$C$12,"Registered",IF($O368&gt;0,"In Progress","Not Started"))))))</f>
        <v/>
      </c>
      <c r="S368" s="32">
        <f>IF($B368="","",COUNTIF(G368:N368,"Received"))</f>
        <v/>
      </c>
      <c r="T368" s="32">
        <f>IF($B368="","",COUNTIF(G368:N368,"Needs Correction"))</f>
        <v/>
      </c>
      <c r="U368" s="33">
        <f>IF($B368="","",IF($D368&lt;&gt;"Yes","",IF($Q368&gt;=Settings!$C$13,"None",MID(IF(AND(G368&lt;&gt;"Accepted",G368&lt;&gt;"Not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Confirmed",IF($Q369&gt;=Settings!$C$13,"Legalized",IF($P369&gt;=Settings!$C$12,"Registered",IF($O369&gt;0,"In Progress","Not Started"))))))</f>
        <v/>
      </c>
      <c r="S369" s="32">
        <f>IF($B369="","",COUNTIF(G369:N369,"Received"))</f>
        <v/>
      </c>
      <c r="T369" s="32">
        <f>IF($B369="","",COUNTIF(G369:N369,"Needs Correction"))</f>
        <v/>
      </c>
      <c r="U369" s="33">
        <f>IF($B369="","",IF($D369&lt;&gt;"Yes","",IF($Q369&gt;=Settings!$C$13,"None",MID(IF(AND(G369&lt;&gt;"Accepted",G369&lt;&gt;"Not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Confirmed",IF($Q370&gt;=Settings!$C$13,"Legalized",IF($P370&gt;=Settings!$C$12,"Registered",IF($O370&gt;0,"In Progress","Not Started"))))))</f>
        <v/>
      </c>
      <c r="S370" s="32">
        <f>IF($B370="","",COUNTIF(G370:N370,"Received"))</f>
        <v/>
      </c>
      <c r="T370" s="32">
        <f>IF($B370="","",COUNTIF(G370:N370,"Needs Correction"))</f>
        <v/>
      </c>
      <c r="U370" s="33">
        <f>IF($B370="","",IF($D370&lt;&gt;"Yes","",IF($Q370&gt;=Settings!$C$13,"None",MID(IF(AND(G370&lt;&gt;"Accepted",G370&lt;&gt;"Not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Confirmed",IF($Q371&gt;=Settings!$C$13,"Legalized",IF($P371&gt;=Settings!$C$12,"Registered",IF($O371&gt;0,"In Progress","Not Started"))))))</f>
        <v/>
      </c>
      <c r="S371" s="32">
        <f>IF($B371="","",COUNTIF(G371:N371,"Received"))</f>
        <v/>
      </c>
      <c r="T371" s="32">
        <f>IF($B371="","",COUNTIF(G371:N371,"Needs Correction"))</f>
        <v/>
      </c>
      <c r="U371" s="33">
        <f>IF($B371="","",IF($D371&lt;&gt;"Yes","",IF($Q371&gt;=Settings!$C$13,"None",MID(IF(AND(G371&lt;&gt;"Accepted",G371&lt;&gt;"Not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Confirmed",IF($Q372&gt;=Settings!$C$13,"Legalized",IF($P372&gt;=Settings!$C$12,"Registered",IF($O372&gt;0,"In Progress","Not Started"))))))</f>
        <v/>
      </c>
      <c r="S372" s="32">
        <f>IF($B372="","",COUNTIF(G372:N372,"Received"))</f>
        <v/>
      </c>
      <c r="T372" s="32">
        <f>IF($B372="","",COUNTIF(G372:N372,"Needs Correction"))</f>
        <v/>
      </c>
      <c r="U372" s="33">
        <f>IF($B372="","",IF($D372&lt;&gt;"Yes","",IF($Q372&gt;=Settings!$C$13,"None",MID(IF(AND(G372&lt;&gt;"Accepted",G372&lt;&gt;"Not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Confirmed",IF($Q373&gt;=Settings!$C$13,"Legalized",IF($P373&gt;=Settings!$C$12,"Registered",IF($O373&gt;0,"In Progress","Not Started"))))))</f>
        <v/>
      </c>
      <c r="S373" s="32">
        <f>IF($B373="","",COUNTIF(G373:N373,"Received"))</f>
        <v/>
      </c>
      <c r="T373" s="32">
        <f>IF($B373="","",COUNTIF(G373:N373,"Needs Correction"))</f>
        <v/>
      </c>
      <c r="U373" s="33">
        <f>IF($B373="","",IF($D373&lt;&gt;"Yes","",IF($Q373&gt;=Settings!$C$13,"None",MID(IF(AND(G373&lt;&gt;"Accepted",G373&lt;&gt;"Not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Confirmed",IF($Q374&gt;=Settings!$C$13,"Legalized",IF($P374&gt;=Settings!$C$12,"Registered",IF($O374&gt;0,"In Progress","Not Started"))))))</f>
        <v/>
      </c>
      <c r="S374" s="32">
        <f>IF($B374="","",COUNTIF(G374:N374,"Received"))</f>
        <v/>
      </c>
      <c r="T374" s="32">
        <f>IF($B374="","",COUNTIF(G374:N374,"Needs Correction"))</f>
        <v/>
      </c>
      <c r="U374" s="33">
        <f>IF($B374="","",IF($D374&lt;&gt;"Yes","",IF($Q374&gt;=Settings!$C$13,"None",MID(IF(AND(G374&lt;&gt;"Accepted",G374&lt;&gt;"Not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Confirmed",IF($Q375&gt;=Settings!$C$13,"Legalized",IF($P375&gt;=Settings!$C$12,"Registered",IF($O375&gt;0,"In Progress","Not Started"))))))</f>
        <v/>
      </c>
      <c r="S375" s="32">
        <f>IF($B375="","",COUNTIF(G375:N375,"Received"))</f>
        <v/>
      </c>
      <c r="T375" s="32">
        <f>IF($B375="","",COUNTIF(G375:N375,"Needs Correction"))</f>
        <v/>
      </c>
      <c r="U375" s="33">
        <f>IF($B375="","",IF($D375&lt;&gt;"Yes","",IF($Q375&gt;=Settings!$C$13,"None",MID(IF(AND(G375&lt;&gt;"Accepted",G375&lt;&gt;"Not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Confirmed",IF($Q376&gt;=Settings!$C$13,"Legalized",IF($P376&gt;=Settings!$C$12,"Registered",IF($O376&gt;0,"In Progress","Not Started"))))))</f>
        <v/>
      </c>
      <c r="S376" s="32">
        <f>IF($B376="","",COUNTIF(G376:N376,"Received"))</f>
        <v/>
      </c>
      <c r="T376" s="32">
        <f>IF($B376="","",COUNTIF(G376:N376,"Needs Correction"))</f>
        <v/>
      </c>
      <c r="U376" s="33">
        <f>IF($B376="","",IF($D376&lt;&gt;"Yes","",IF($Q376&gt;=Settings!$C$13,"None",MID(IF(AND(G376&lt;&gt;"Accepted",G376&lt;&gt;"Not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Confirmed",IF($Q377&gt;=Settings!$C$13,"Legalized",IF($P377&gt;=Settings!$C$12,"Registered",IF($O377&gt;0,"In Progress","Not Started"))))))</f>
        <v/>
      </c>
      <c r="S377" s="32">
        <f>IF($B377="","",COUNTIF(G377:N377,"Received"))</f>
        <v/>
      </c>
      <c r="T377" s="32">
        <f>IF($B377="","",COUNTIF(G377:N377,"Needs Correction"))</f>
        <v/>
      </c>
      <c r="U377" s="33">
        <f>IF($B377="","",IF($D377&lt;&gt;"Yes","",IF($Q377&gt;=Settings!$C$13,"None",MID(IF(AND(G377&lt;&gt;"Accepted",G377&lt;&gt;"Not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Confirmed",IF($Q378&gt;=Settings!$C$13,"Legalized",IF($P378&gt;=Settings!$C$12,"Registered",IF($O378&gt;0,"In Progress","Not Started"))))))</f>
        <v/>
      </c>
      <c r="S378" s="32">
        <f>IF($B378="","",COUNTIF(G378:N378,"Received"))</f>
        <v/>
      </c>
      <c r="T378" s="32">
        <f>IF($B378="","",COUNTIF(G378:N378,"Needs Correction"))</f>
        <v/>
      </c>
      <c r="U378" s="33">
        <f>IF($B378="","",IF($D378&lt;&gt;"Yes","",IF($Q378&gt;=Settings!$C$13,"None",MID(IF(AND(G378&lt;&gt;"Accepted",G378&lt;&gt;"Not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Confirmed",IF($Q379&gt;=Settings!$C$13,"Legalized",IF($P379&gt;=Settings!$C$12,"Registered",IF($O379&gt;0,"In Progress","Not Started"))))))</f>
        <v/>
      </c>
      <c r="S379" s="32">
        <f>IF($B379="","",COUNTIF(G379:N379,"Received"))</f>
        <v/>
      </c>
      <c r="T379" s="32">
        <f>IF($B379="","",COUNTIF(G379:N379,"Needs Correction"))</f>
        <v/>
      </c>
      <c r="U379" s="33">
        <f>IF($B379="","",IF($D379&lt;&gt;"Yes","",IF($Q379&gt;=Settings!$C$13,"None",MID(IF(AND(G379&lt;&gt;"Accepted",G379&lt;&gt;"Not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Confirmed",IF($Q380&gt;=Settings!$C$13,"Legalized",IF($P380&gt;=Settings!$C$12,"Registered",IF($O380&gt;0,"In Progress","Not Started"))))))</f>
        <v/>
      </c>
      <c r="S380" s="32">
        <f>IF($B380="","",COUNTIF(G380:N380,"Received"))</f>
        <v/>
      </c>
      <c r="T380" s="32">
        <f>IF($B380="","",COUNTIF(G380:N380,"Needs Correction"))</f>
        <v/>
      </c>
      <c r="U380" s="33">
        <f>IF($B380="","",IF($D380&lt;&gt;"Yes","",IF($Q380&gt;=Settings!$C$13,"None",MID(IF(AND(G380&lt;&gt;"Accepted",G380&lt;&gt;"Not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Confirmed",IF($Q381&gt;=Settings!$C$13,"Legalized",IF($P381&gt;=Settings!$C$12,"Registered",IF($O381&gt;0,"In Progress","Not Started"))))))</f>
        <v/>
      </c>
      <c r="S381" s="32">
        <f>IF($B381="","",COUNTIF(G381:N381,"Received"))</f>
        <v/>
      </c>
      <c r="T381" s="32">
        <f>IF($B381="","",COUNTIF(G381:N381,"Needs Correction"))</f>
        <v/>
      </c>
      <c r="U381" s="33">
        <f>IF($B381="","",IF($D381&lt;&gt;"Yes","",IF($Q381&gt;=Settings!$C$13,"None",MID(IF(AND(G381&lt;&gt;"Accepted",G381&lt;&gt;"Not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Confirmed",IF($Q382&gt;=Settings!$C$13,"Legalized",IF($P382&gt;=Settings!$C$12,"Registered",IF($O382&gt;0,"In Progress","Not Started"))))))</f>
        <v/>
      </c>
      <c r="S382" s="32">
        <f>IF($B382="","",COUNTIF(G382:N382,"Received"))</f>
        <v/>
      </c>
      <c r="T382" s="32">
        <f>IF($B382="","",COUNTIF(G382:N382,"Needs Correction"))</f>
        <v/>
      </c>
      <c r="U382" s="33">
        <f>IF($B382="","",IF($D382&lt;&gt;"Yes","",IF($Q382&gt;=Settings!$C$13,"None",MID(IF(AND(G382&lt;&gt;"Accepted",G382&lt;&gt;"Not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Confirmed",IF($Q383&gt;=Settings!$C$13,"Legalized",IF($P383&gt;=Settings!$C$12,"Registered",IF($O383&gt;0,"In Progress","Not Started"))))))</f>
        <v/>
      </c>
      <c r="S383" s="32">
        <f>IF($B383="","",COUNTIF(G383:N383,"Received"))</f>
        <v/>
      </c>
      <c r="T383" s="32">
        <f>IF($B383="","",COUNTIF(G383:N383,"Needs Correction"))</f>
        <v/>
      </c>
      <c r="U383" s="33">
        <f>IF($B383="","",IF($D383&lt;&gt;"Yes","",IF($Q383&gt;=Settings!$C$13,"None",MID(IF(AND(G383&lt;&gt;"Accepted",G383&lt;&gt;"Not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Confirmed",IF($Q384&gt;=Settings!$C$13,"Legalized",IF($P384&gt;=Settings!$C$12,"Registered",IF($O384&gt;0,"In Progress","Not Started"))))))</f>
        <v/>
      </c>
      <c r="S384" s="32">
        <f>IF($B384="","",COUNTIF(G384:N384,"Received"))</f>
        <v/>
      </c>
      <c r="T384" s="32">
        <f>IF($B384="","",COUNTIF(G384:N384,"Needs Correction"))</f>
        <v/>
      </c>
      <c r="U384" s="33">
        <f>IF($B384="","",IF($D384&lt;&gt;"Yes","",IF($Q384&gt;=Settings!$C$13,"None",MID(IF(AND(G384&lt;&gt;"Accepted",G384&lt;&gt;"Not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Confirmed",IF($Q385&gt;=Settings!$C$13,"Legalized",IF($P385&gt;=Settings!$C$12,"Registered",IF($O385&gt;0,"In Progress","Not Started"))))))</f>
        <v/>
      </c>
      <c r="S385" s="32">
        <f>IF($B385="","",COUNTIF(G385:N385,"Received"))</f>
        <v/>
      </c>
      <c r="T385" s="32">
        <f>IF($B385="","",COUNTIF(G385:N385,"Needs Correction"))</f>
        <v/>
      </c>
      <c r="U385" s="33">
        <f>IF($B385="","",IF($D385&lt;&gt;"Yes","",IF($Q385&gt;=Settings!$C$13,"None",MID(IF(AND(G385&lt;&gt;"Accepted",G385&lt;&gt;"Not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Confirmed",IF($Q386&gt;=Settings!$C$13,"Legalized",IF($P386&gt;=Settings!$C$12,"Registered",IF($O386&gt;0,"In Progress","Not Started"))))))</f>
        <v/>
      </c>
      <c r="S386" s="32">
        <f>IF($B386="","",COUNTIF(G386:N386,"Received"))</f>
        <v/>
      </c>
      <c r="T386" s="32">
        <f>IF($B386="","",COUNTIF(G386:N386,"Needs Correction"))</f>
        <v/>
      </c>
      <c r="U386" s="33">
        <f>IF($B386="","",IF($D386&lt;&gt;"Yes","",IF($Q386&gt;=Settings!$C$13,"None",MID(IF(AND(G386&lt;&gt;"Accepted",G386&lt;&gt;"Not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Confirmed",IF($Q387&gt;=Settings!$C$13,"Legalized",IF($P387&gt;=Settings!$C$12,"Registered",IF($O387&gt;0,"In Progress","Not Started"))))))</f>
        <v/>
      </c>
      <c r="S387" s="32">
        <f>IF($B387="","",COUNTIF(G387:N387,"Received"))</f>
        <v/>
      </c>
      <c r="T387" s="32">
        <f>IF($B387="","",COUNTIF(G387:N387,"Needs Correction"))</f>
        <v/>
      </c>
      <c r="U387" s="33">
        <f>IF($B387="","",IF($D387&lt;&gt;"Yes","",IF($Q387&gt;=Settings!$C$13,"None",MID(IF(AND(G387&lt;&gt;"Accepted",G387&lt;&gt;"Not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Confirmed",IF($Q388&gt;=Settings!$C$13,"Legalized",IF($P388&gt;=Settings!$C$12,"Registered",IF($O388&gt;0,"In Progress","Not Started"))))))</f>
        <v/>
      </c>
      <c r="S388" s="32">
        <f>IF($B388="","",COUNTIF(G388:N388,"Received"))</f>
        <v/>
      </c>
      <c r="T388" s="32">
        <f>IF($B388="","",COUNTIF(G388:N388,"Needs Correction"))</f>
        <v/>
      </c>
      <c r="U388" s="33">
        <f>IF($B388="","",IF($D388&lt;&gt;"Yes","",IF($Q388&gt;=Settings!$C$13,"None",MID(IF(AND(G388&lt;&gt;"Accepted",G388&lt;&gt;"Not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Confirmed",IF($Q389&gt;=Settings!$C$13,"Legalized",IF($P389&gt;=Settings!$C$12,"Registered",IF($O389&gt;0,"In Progress","Not Started"))))))</f>
        <v/>
      </c>
      <c r="S389" s="32">
        <f>IF($B389="","",COUNTIF(G389:N389,"Received"))</f>
        <v/>
      </c>
      <c r="T389" s="32">
        <f>IF($B389="","",COUNTIF(G389:N389,"Needs Correction"))</f>
        <v/>
      </c>
      <c r="U389" s="33">
        <f>IF($B389="","",IF($D389&lt;&gt;"Yes","",IF($Q389&gt;=Settings!$C$13,"None",MID(IF(AND(G389&lt;&gt;"Accepted",G389&lt;&gt;"Not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Confirmed",IF($Q390&gt;=Settings!$C$13,"Legalized",IF($P390&gt;=Settings!$C$12,"Registered",IF($O390&gt;0,"In Progress","Not Started"))))))</f>
        <v/>
      </c>
      <c r="S390" s="32">
        <f>IF($B390="","",COUNTIF(G390:N390,"Received"))</f>
        <v/>
      </c>
      <c r="T390" s="32">
        <f>IF($B390="","",COUNTIF(G390:N390,"Needs Correction"))</f>
        <v/>
      </c>
      <c r="U390" s="33">
        <f>IF($B390="","",IF($D390&lt;&gt;"Yes","",IF($Q390&gt;=Settings!$C$13,"None",MID(IF(AND(G390&lt;&gt;"Accepted",G390&lt;&gt;"Not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Confirmed",IF($Q391&gt;=Settings!$C$13,"Legalized",IF($P391&gt;=Settings!$C$12,"Registered",IF($O391&gt;0,"In Progress","Not Started"))))))</f>
        <v/>
      </c>
      <c r="S391" s="32">
        <f>IF($B391="","",COUNTIF(G391:N391,"Received"))</f>
        <v/>
      </c>
      <c r="T391" s="32">
        <f>IF($B391="","",COUNTIF(G391:N391,"Needs Correction"))</f>
        <v/>
      </c>
      <c r="U391" s="33">
        <f>IF($B391="","",IF($D391&lt;&gt;"Yes","",IF($Q391&gt;=Settings!$C$13,"None",MID(IF(AND(G391&lt;&gt;"Accepted",G391&lt;&gt;"Not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Confirmed",IF($Q392&gt;=Settings!$C$13,"Legalized",IF($P392&gt;=Settings!$C$12,"Registered",IF($O392&gt;0,"In Progress","Not Started"))))))</f>
        <v/>
      </c>
      <c r="S392" s="32">
        <f>IF($B392="","",COUNTIF(G392:N392,"Received"))</f>
        <v/>
      </c>
      <c r="T392" s="32">
        <f>IF($B392="","",COUNTIF(G392:N392,"Needs Correction"))</f>
        <v/>
      </c>
      <c r="U392" s="33">
        <f>IF($B392="","",IF($D392&lt;&gt;"Yes","",IF($Q392&gt;=Settings!$C$13,"None",MID(IF(AND(G392&lt;&gt;"Accepted",G392&lt;&gt;"Not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Confirmed",IF($Q393&gt;=Settings!$C$13,"Legalized",IF($P393&gt;=Settings!$C$12,"Registered",IF($O393&gt;0,"In Progress","Not Started"))))))</f>
        <v/>
      </c>
      <c r="S393" s="32">
        <f>IF($B393="","",COUNTIF(G393:N393,"Received"))</f>
        <v/>
      </c>
      <c r="T393" s="32">
        <f>IF($B393="","",COUNTIF(G393:N393,"Needs Correction"))</f>
        <v/>
      </c>
      <c r="U393" s="33">
        <f>IF($B393="","",IF($D393&lt;&gt;"Yes","",IF($Q393&gt;=Settings!$C$13,"None",MID(IF(AND(G393&lt;&gt;"Accepted",G393&lt;&gt;"Not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Confirmed",IF($Q394&gt;=Settings!$C$13,"Legalized",IF($P394&gt;=Settings!$C$12,"Registered",IF($O394&gt;0,"In Progress","Not Started"))))))</f>
        <v/>
      </c>
      <c r="S394" s="32">
        <f>IF($B394="","",COUNTIF(G394:N394,"Received"))</f>
        <v/>
      </c>
      <c r="T394" s="32">
        <f>IF($B394="","",COUNTIF(G394:N394,"Needs Correction"))</f>
        <v/>
      </c>
      <c r="U394" s="33">
        <f>IF($B394="","",IF($D394&lt;&gt;"Yes","",IF($Q394&gt;=Settings!$C$13,"None",MID(IF(AND(G394&lt;&gt;"Accepted",G394&lt;&gt;"Not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Confirmed",IF($Q395&gt;=Settings!$C$13,"Legalized",IF($P395&gt;=Settings!$C$12,"Registered",IF($O395&gt;0,"In Progress","Not Started"))))))</f>
        <v/>
      </c>
      <c r="S395" s="32">
        <f>IF($B395="","",COUNTIF(G395:N395,"Received"))</f>
        <v/>
      </c>
      <c r="T395" s="32">
        <f>IF($B395="","",COUNTIF(G395:N395,"Needs Correction"))</f>
        <v/>
      </c>
      <c r="U395" s="33">
        <f>IF($B395="","",IF($D395&lt;&gt;"Yes","",IF($Q395&gt;=Settings!$C$13,"None",MID(IF(AND(G395&lt;&gt;"Accepted",G395&lt;&gt;"Not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Confirmed",IF($Q396&gt;=Settings!$C$13,"Legalized",IF($P396&gt;=Settings!$C$12,"Registered",IF($O396&gt;0,"In Progress","Not Started"))))))</f>
        <v/>
      </c>
      <c r="S396" s="32">
        <f>IF($B396="","",COUNTIF(G396:N396,"Received"))</f>
        <v/>
      </c>
      <c r="T396" s="32">
        <f>IF($B396="","",COUNTIF(G396:N396,"Needs Correction"))</f>
        <v/>
      </c>
      <c r="U396" s="33">
        <f>IF($B396="","",IF($D396&lt;&gt;"Yes","",IF($Q396&gt;=Settings!$C$13,"None",MID(IF(AND(G396&lt;&gt;"Accepted",G396&lt;&gt;"Not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Confirmed",IF($Q397&gt;=Settings!$C$13,"Legalized",IF($P397&gt;=Settings!$C$12,"Registered",IF($O397&gt;0,"In Progress","Not Started"))))))</f>
        <v/>
      </c>
      <c r="S397" s="32">
        <f>IF($B397="","",COUNTIF(G397:N397,"Received"))</f>
        <v/>
      </c>
      <c r="T397" s="32">
        <f>IF($B397="","",COUNTIF(G397:N397,"Needs Correction"))</f>
        <v/>
      </c>
      <c r="U397" s="33">
        <f>IF($B397="","",IF($D397&lt;&gt;"Yes","",IF($Q397&gt;=Settings!$C$13,"None",MID(IF(AND(G397&lt;&gt;"Accepted",G397&lt;&gt;"Not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Confirmed",IF($Q398&gt;=Settings!$C$13,"Legalized",IF($P398&gt;=Settings!$C$12,"Registered",IF($O398&gt;0,"In Progress","Not Started"))))))</f>
        <v/>
      </c>
      <c r="S398" s="32">
        <f>IF($B398="","",COUNTIF(G398:N398,"Received"))</f>
        <v/>
      </c>
      <c r="T398" s="32">
        <f>IF($B398="","",COUNTIF(G398:N398,"Needs Correction"))</f>
        <v/>
      </c>
      <c r="U398" s="33">
        <f>IF($B398="","",IF($D398&lt;&gt;"Yes","",IF($Q398&gt;=Settings!$C$13,"None",MID(IF(AND(G398&lt;&gt;"Accepted",G398&lt;&gt;"Not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Confirmed",IF($Q399&gt;=Settings!$C$13,"Legalized",IF($P399&gt;=Settings!$C$12,"Registered",IF($O399&gt;0,"In Progress","Not Started"))))))</f>
        <v/>
      </c>
      <c r="S399" s="32">
        <f>IF($B399="","",COUNTIF(G399:N399,"Received"))</f>
        <v/>
      </c>
      <c r="T399" s="32">
        <f>IF($B399="","",COUNTIF(G399:N399,"Needs Correction"))</f>
        <v/>
      </c>
      <c r="U399" s="33">
        <f>IF($B399="","",IF($D399&lt;&gt;"Yes","",IF($Q399&gt;=Settings!$C$13,"None",MID(IF(AND(G399&lt;&gt;"Accepted",G399&lt;&gt;"Not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Confirmed",IF($Q400&gt;=Settings!$C$13,"Legalized",IF($P400&gt;=Settings!$C$12,"Registered",IF($O400&gt;0,"In Progress","Not Started"))))))</f>
        <v/>
      </c>
      <c r="S400" s="32">
        <f>IF($B400="","",COUNTIF(G400:N400,"Received"))</f>
        <v/>
      </c>
      <c r="T400" s="32">
        <f>IF($B400="","",COUNTIF(G400:N400,"Needs Correction"))</f>
        <v/>
      </c>
      <c r="U400" s="33">
        <f>IF($B400="","",IF($D400&lt;&gt;"Yes","",IF($Q400&gt;=Settings!$C$13,"None",MID(IF(AND(G400&lt;&gt;"Accepted",G400&lt;&gt;"Not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Confirmed",IF($Q401&gt;=Settings!$C$13,"Legalized",IF($P401&gt;=Settings!$C$12,"Registered",IF($O401&gt;0,"In Progress","Not Started"))))))</f>
        <v/>
      </c>
      <c r="S401" s="32">
        <f>IF($B401="","",COUNTIF(G401:N401,"Received"))</f>
        <v/>
      </c>
      <c r="T401" s="32">
        <f>IF($B401="","",COUNTIF(G401:N401,"Needs Correction"))</f>
        <v/>
      </c>
      <c r="U401" s="33">
        <f>IF($B401="","",IF($D401&lt;&gt;"Yes","",IF($Q401&gt;=Settings!$C$13,"None",MID(IF(AND(G401&lt;&gt;"Accepted",G401&lt;&gt;"Not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Confirmed",IF($Q402&gt;=Settings!$C$13,"Legalized",IF($P402&gt;=Settings!$C$12,"Registered",IF($O402&gt;0,"In Progress","Not Started"))))))</f>
        <v/>
      </c>
      <c r="S402" s="32">
        <f>IF($B402="","",COUNTIF(G402:N402,"Received"))</f>
        <v/>
      </c>
      <c r="T402" s="32">
        <f>IF($B402="","",COUNTIF(G402:N402,"Needs Correction"))</f>
        <v/>
      </c>
      <c r="U402" s="33">
        <f>IF($B402="","",IF($D402&lt;&gt;"Yes","",IF($Q402&gt;=Settings!$C$13,"None",MID(IF(AND(G402&lt;&gt;"Accepted",G402&lt;&gt;"Not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Confirmed",IF($Q403&gt;=Settings!$C$13,"Legalized",IF($P403&gt;=Settings!$C$12,"Registered",IF($O403&gt;0,"In Progress","Not Started"))))))</f>
        <v/>
      </c>
      <c r="S403" s="32">
        <f>IF($B403="","",COUNTIF(G403:N403,"Received"))</f>
        <v/>
      </c>
      <c r="T403" s="32">
        <f>IF($B403="","",COUNTIF(G403:N403,"Needs Correction"))</f>
        <v/>
      </c>
      <c r="U403" s="33">
        <f>IF($B403="","",IF($D403&lt;&gt;"Yes","",IF($Q403&gt;=Settings!$C$13,"None",MID(IF(AND(G403&lt;&gt;"Accepted",G403&lt;&gt;"Not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Confirmed",IF($Q404&gt;=Settings!$C$13,"Legalized",IF($P404&gt;=Settings!$C$12,"Registered",IF($O404&gt;0,"In Progress","Not Started"))))))</f>
        <v/>
      </c>
      <c r="S404" s="32">
        <f>IF($B404="","",COUNTIF(G404:N404,"Received"))</f>
        <v/>
      </c>
      <c r="T404" s="32">
        <f>IF($B404="","",COUNTIF(G404:N404,"Needs Correction"))</f>
        <v/>
      </c>
      <c r="U404" s="33">
        <f>IF($B404="","",IF($D404&lt;&gt;"Yes","",IF($Q404&gt;=Settings!$C$13,"None",MID(IF(AND(G404&lt;&gt;"Accepted",G404&lt;&gt;"Not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Confirmed",IF($Q405&gt;=Settings!$C$13,"Legalized",IF($P405&gt;=Settings!$C$12,"Registered",IF($O405&gt;0,"In Progress","Not Started"))))))</f>
        <v/>
      </c>
      <c r="S405" s="32">
        <f>IF($B405="","",COUNTIF(G405:N405,"Received"))</f>
        <v/>
      </c>
      <c r="T405" s="32">
        <f>IF($B405="","",COUNTIF(G405:N405,"Needs Correction"))</f>
        <v/>
      </c>
      <c r="U405" s="33">
        <f>IF($B405="","",IF($D405&lt;&gt;"Yes","",IF($Q405&gt;=Settings!$C$13,"None",MID(IF(AND(G405&lt;&gt;"Accepted",G405&lt;&gt;"Not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Confirmed",IF($Q406&gt;=Settings!$C$13,"Legalized",IF($P406&gt;=Settings!$C$12,"Registered",IF($O406&gt;0,"In Progress","Not Started"))))))</f>
        <v/>
      </c>
      <c r="S406" s="32">
        <f>IF($B406="","",COUNTIF(G406:N406,"Received"))</f>
        <v/>
      </c>
      <c r="T406" s="32">
        <f>IF($B406="","",COUNTIF(G406:N406,"Needs Correction"))</f>
        <v/>
      </c>
      <c r="U406" s="33">
        <f>IF($B406="","",IF($D406&lt;&gt;"Yes","",IF($Q406&gt;=Settings!$C$13,"None",MID(IF(AND(G406&lt;&gt;"Accepted",G406&lt;&gt;"Not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Confirmed",IF($Q407&gt;=Settings!$C$13,"Legalized",IF($P407&gt;=Settings!$C$12,"Registered",IF($O407&gt;0,"In Progress","Not Started"))))))</f>
        <v/>
      </c>
      <c r="S407" s="32">
        <f>IF($B407="","",COUNTIF(G407:N407,"Received"))</f>
        <v/>
      </c>
      <c r="T407" s="32">
        <f>IF($B407="","",COUNTIF(G407:N407,"Needs Correction"))</f>
        <v/>
      </c>
      <c r="U407" s="33">
        <f>IF($B407="","",IF($D407&lt;&gt;"Yes","",IF($Q407&gt;=Settings!$C$13,"None",MID(IF(AND(G407&lt;&gt;"Accepted",G407&lt;&gt;"Not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Confirmed",IF($Q408&gt;=Settings!$C$13,"Legalized",IF($P408&gt;=Settings!$C$12,"Registered",IF($O408&gt;0,"In Progress","Not Started"))))))</f>
        <v/>
      </c>
      <c r="S408" s="32">
        <f>IF($B408="","",COUNTIF(G408:N408,"Received"))</f>
        <v/>
      </c>
      <c r="T408" s="32">
        <f>IF($B408="","",COUNTIF(G408:N408,"Needs Correction"))</f>
        <v/>
      </c>
      <c r="U408" s="33">
        <f>IF($B408="","",IF($D408&lt;&gt;"Yes","",IF($Q408&gt;=Settings!$C$13,"None",MID(IF(AND(G408&lt;&gt;"Accepted",G408&lt;&gt;"Not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Confirmed",IF($Q409&gt;=Settings!$C$13,"Legalized",IF($P409&gt;=Settings!$C$12,"Registered",IF($O409&gt;0,"In Progress","Not Started"))))))</f>
        <v/>
      </c>
      <c r="S409" s="32">
        <f>IF($B409="","",COUNTIF(G409:N409,"Received"))</f>
        <v/>
      </c>
      <c r="T409" s="32">
        <f>IF($B409="","",COUNTIF(G409:N409,"Needs Correction"))</f>
        <v/>
      </c>
      <c r="U409" s="33">
        <f>IF($B409="","",IF($D409&lt;&gt;"Yes","",IF($Q409&gt;=Settings!$C$13,"None",MID(IF(AND(G409&lt;&gt;"Accepted",G409&lt;&gt;"Not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Confirmed",IF($Q410&gt;=Settings!$C$13,"Legalized",IF($P410&gt;=Settings!$C$12,"Registered",IF($O410&gt;0,"In Progress","Not Started"))))))</f>
        <v/>
      </c>
      <c r="S410" s="32">
        <f>IF($B410="","",COUNTIF(G410:N410,"Received"))</f>
        <v/>
      </c>
      <c r="T410" s="32">
        <f>IF($B410="","",COUNTIF(G410:N410,"Needs Correction"))</f>
        <v/>
      </c>
      <c r="U410" s="33">
        <f>IF($B410="","",IF($D410&lt;&gt;"Yes","",IF($Q410&gt;=Settings!$C$13,"None",MID(IF(AND(G410&lt;&gt;"Accepted",G410&lt;&gt;"Not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Confirmed",IF($Q411&gt;=Settings!$C$13,"Legalized",IF($P411&gt;=Settings!$C$12,"Registered",IF($O411&gt;0,"In Progress","Not Started"))))))</f>
        <v/>
      </c>
      <c r="S411" s="32">
        <f>IF($B411="","",COUNTIF(G411:N411,"Received"))</f>
        <v/>
      </c>
      <c r="T411" s="32">
        <f>IF($B411="","",COUNTIF(G411:N411,"Needs Correction"))</f>
        <v/>
      </c>
      <c r="U411" s="33">
        <f>IF($B411="","",IF($D411&lt;&gt;"Yes","",IF($Q411&gt;=Settings!$C$13,"None",MID(IF(AND(G411&lt;&gt;"Accepted",G411&lt;&gt;"Not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Confirmed",IF($Q412&gt;=Settings!$C$13,"Legalized",IF($P412&gt;=Settings!$C$12,"Registered",IF($O412&gt;0,"In Progress","Not Started"))))))</f>
        <v/>
      </c>
      <c r="S412" s="32">
        <f>IF($B412="","",COUNTIF(G412:N412,"Received"))</f>
        <v/>
      </c>
      <c r="T412" s="32">
        <f>IF($B412="","",COUNTIF(G412:N412,"Needs Correction"))</f>
        <v/>
      </c>
      <c r="U412" s="33">
        <f>IF($B412="","",IF($D412&lt;&gt;"Yes","",IF($Q412&gt;=Settings!$C$13,"None",MID(IF(AND(G412&lt;&gt;"Accepted",G412&lt;&gt;"Not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Confirmed",IF($Q413&gt;=Settings!$C$13,"Legalized",IF($P413&gt;=Settings!$C$12,"Registered",IF($O413&gt;0,"In Progress","Not Started"))))))</f>
        <v/>
      </c>
      <c r="S413" s="32">
        <f>IF($B413="","",COUNTIF(G413:N413,"Received"))</f>
        <v/>
      </c>
      <c r="T413" s="32">
        <f>IF($B413="","",COUNTIF(G413:N413,"Needs Correction"))</f>
        <v/>
      </c>
      <c r="U413" s="33">
        <f>IF($B413="","",IF($D413&lt;&gt;"Yes","",IF($Q413&gt;=Settings!$C$13,"None",MID(IF(AND(G413&lt;&gt;"Accepted",G413&lt;&gt;"Not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Confirmed",IF($Q414&gt;=Settings!$C$13,"Legalized",IF($P414&gt;=Settings!$C$12,"Registered",IF($O414&gt;0,"In Progress","Not Started"))))))</f>
        <v/>
      </c>
      <c r="S414" s="32">
        <f>IF($B414="","",COUNTIF(G414:N414,"Received"))</f>
        <v/>
      </c>
      <c r="T414" s="32">
        <f>IF($B414="","",COUNTIF(G414:N414,"Needs Correction"))</f>
        <v/>
      </c>
      <c r="U414" s="33">
        <f>IF($B414="","",IF($D414&lt;&gt;"Yes","",IF($Q414&gt;=Settings!$C$13,"None",MID(IF(AND(G414&lt;&gt;"Accepted",G414&lt;&gt;"Not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Confirmed",IF($Q415&gt;=Settings!$C$13,"Legalized",IF($P415&gt;=Settings!$C$12,"Registered",IF($O415&gt;0,"In Progress","Not Started"))))))</f>
        <v/>
      </c>
      <c r="S415" s="32">
        <f>IF($B415="","",COUNTIF(G415:N415,"Received"))</f>
        <v/>
      </c>
      <c r="T415" s="32">
        <f>IF($B415="","",COUNTIF(G415:N415,"Needs Correction"))</f>
        <v/>
      </c>
      <c r="U415" s="33">
        <f>IF($B415="","",IF($D415&lt;&gt;"Yes","",IF($Q415&gt;=Settings!$C$13,"None",MID(IF(AND(G415&lt;&gt;"Accepted",G415&lt;&gt;"Not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Confirmed",IF($Q416&gt;=Settings!$C$13,"Legalized",IF($P416&gt;=Settings!$C$12,"Registered",IF($O416&gt;0,"In Progress","Not Started"))))))</f>
        <v/>
      </c>
      <c r="S416" s="32">
        <f>IF($B416="","",COUNTIF(G416:N416,"Received"))</f>
        <v/>
      </c>
      <c r="T416" s="32">
        <f>IF($B416="","",COUNTIF(G416:N416,"Needs Correction"))</f>
        <v/>
      </c>
      <c r="U416" s="33">
        <f>IF($B416="","",IF($D416&lt;&gt;"Yes","",IF($Q416&gt;=Settings!$C$13,"None",MID(IF(AND(G416&lt;&gt;"Accepted",G416&lt;&gt;"Not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Confirmed",IF($Q417&gt;=Settings!$C$13,"Legalized",IF($P417&gt;=Settings!$C$12,"Registered",IF($O417&gt;0,"In Progress","Not Started"))))))</f>
        <v/>
      </c>
      <c r="S417" s="32">
        <f>IF($B417="","",COUNTIF(G417:N417,"Received"))</f>
        <v/>
      </c>
      <c r="T417" s="32">
        <f>IF($B417="","",COUNTIF(G417:N417,"Needs Correction"))</f>
        <v/>
      </c>
      <c r="U417" s="33">
        <f>IF($B417="","",IF($D417&lt;&gt;"Yes","",IF($Q417&gt;=Settings!$C$13,"None",MID(IF(AND(G417&lt;&gt;"Accepted",G417&lt;&gt;"Not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Confirmed",IF($Q418&gt;=Settings!$C$13,"Legalized",IF($P418&gt;=Settings!$C$12,"Registered",IF($O418&gt;0,"In Progress","Not Started"))))))</f>
        <v/>
      </c>
      <c r="S418" s="32">
        <f>IF($B418="","",COUNTIF(G418:N418,"Received"))</f>
        <v/>
      </c>
      <c r="T418" s="32">
        <f>IF($B418="","",COUNTIF(G418:N418,"Needs Correction"))</f>
        <v/>
      </c>
      <c r="U418" s="33">
        <f>IF($B418="","",IF($D418&lt;&gt;"Yes","",IF($Q418&gt;=Settings!$C$13,"None",MID(IF(AND(G418&lt;&gt;"Accepted",G418&lt;&gt;"Not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Confirmed",IF($Q419&gt;=Settings!$C$13,"Legalized",IF($P419&gt;=Settings!$C$12,"Registered",IF($O419&gt;0,"In Progress","Not Started"))))))</f>
        <v/>
      </c>
      <c r="S419" s="32">
        <f>IF($B419="","",COUNTIF(G419:N419,"Received"))</f>
        <v/>
      </c>
      <c r="T419" s="32">
        <f>IF($B419="","",COUNTIF(G419:N419,"Needs Correction"))</f>
        <v/>
      </c>
      <c r="U419" s="33">
        <f>IF($B419="","",IF($D419&lt;&gt;"Yes","",IF($Q419&gt;=Settings!$C$13,"None",MID(IF(AND(G419&lt;&gt;"Accepted",G419&lt;&gt;"Not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Confirmed",IF($Q420&gt;=Settings!$C$13,"Legalized",IF($P420&gt;=Settings!$C$12,"Registered",IF($O420&gt;0,"In Progress","Not Started"))))))</f>
        <v/>
      </c>
      <c r="S420" s="32">
        <f>IF($B420="","",COUNTIF(G420:N420,"Received"))</f>
        <v/>
      </c>
      <c r="T420" s="32">
        <f>IF($B420="","",COUNTIF(G420:N420,"Needs Correction"))</f>
        <v/>
      </c>
      <c r="U420" s="33">
        <f>IF($B420="","",IF($D420&lt;&gt;"Yes","",IF($Q420&gt;=Settings!$C$13,"None",MID(IF(AND(G420&lt;&gt;"Accepted",G420&lt;&gt;"Not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Confirmed",IF($Q421&gt;=Settings!$C$13,"Legalized",IF($P421&gt;=Settings!$C$12,"Registered",IF($O421&gt;0,"In Progress","Not Started"))))))</f>
        <v/>
      </c>
      <c r="S421" s="32">
        <f>IF($B421="","",COUNTIF(G421:N421,"Received"))</f>
        <v/>
      </c>
      <c r="T421" s="32">
        <f>IF($B421="","",COUNTIF(G421:N421,"Needs Correction"))</f>
        <v/>
      </c>
      <c r="U421" s="33">
        <f>IF($B421="","",IF($D421&lt;&gt;"Yes","",IF($Q421&gt;=Settings!$C$13,"None",MID(IF(AND(G421&lt;&gt;"Accepted",G421&lt;&gt;"Not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Confirmed",IF($Q422&gt;=Settings!$C$13,"Legalized",IF($P422&gt;=Settings!$C$12,"Registered",IF($O422&gt;0,"In Progress","Not Started"))))))</f>
        <v/>
      </c>
      <c r="S422" s="32">
        <f>IF($B422="","",COUNTIF(G422:N422,"Received"))</f>
        <v/>
      </c>
      <c r="T422" s="32">
        <f>IF($B422="","",COUNTIF(G422:N422,"Needs Correction"))</f>
        <v/>
      </c>
      <c r="U422" s="33">
        <f>IF($B422="","",IF($D422&lt;&gt;"Yes","",IF($Q422&gt;=Settings!$C$13,"None",MID(IF(AND(G422&lt;&gt;"Accepted",G422&lt;&gt;"Not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Confirmed",IF($Q423&gt;=Settings!$C$13,"Legalized",IF($P423&gt;=Settings!$C$12,"Registered",IF($O423&gt;0,"In Progress","Not Started"))))))</f>
        <v/>
      </c>
      <c r="S423" s="32">
        <f>IF($B423="","",COUNTIF(G423:N423,"Received"))</f>
        <v/>
      </c>
      <c r="T423" s="32">
        <f>IF($B423="","",COUNTIF(G423:N423,"Needs Correction"))</f>
        <v/>
      </c>
      <c r="U423" s="33">
        <f>IF($B423="","",IF($D423&lt;&gt;"Yes","",IF($Q423&gt;=Settings!$C$13,"None",MID(IF(AND(G423&lt;&gt;"Accepted",G423&lt;&gt;"Not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Confirmed",IF($Q424&gt;=Settings!$C$13,"Legalized",IF($P424&gt;=Settings!$C$12,"Registered",IF($O424&gt;0,"In Progress","Not Started"))))))</f>
        <v/>
      </c>
      <c r="S424" s="32">
        <f>IF($B424="","",COUNTIF(G424:N424,"Received"))</f>
        <v/>
      </c>
      <c r="T424" s="32">
        <f>IF($B424="","",COUNTIF(G424:N424,"Needs Correction"))</f>
        <v/>
      </c>
      <c r="U424" s="33">
        <f>IF($B424="","",IF($D424&lt;&gt;"Yes","",IF($Q424&gt;=Settings!$C$13,"None",MID(IF(AND(G424&lt;&gt;"Accepted",G424&lt;&gt;"Not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Confirmed",IF($Q425&gt;=Settings!$C$13,"Legalized",IF($P425&gt;=Settings!$C$12,"Registered",IF($O425&gt;0,"In Progress","Not Started"))))))</f>
        <v/>
      </c>
      <c r="S425" s="32">
        <f>IF($B425="","",COUNTIF(G425:N425,"Received"))</f>
        <v/>
      </c>
      <c r="T425" s="32">
        <f>IF($B425="","",COUNTIF(G425:N425,"Needs Correction"))</f>
        <v/>
      </c>
      <c r="U425" s="33">
        <f>IF($B425="","",IF($D425&lt;&gt;"Yes","",IF($Q425&gt;=Settings!$C$13,"None",MID(IF(AND(G425&lt;&gt;"Accepted",G425&lt;&gt;"Not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Confirmed",IF($Q426&gt;=Settings!$C$13,"Legalized",IF($P426&gt;=Settings!$C$12,"Registered",IF($O426&gt;0,"In Progress","Not Started"))))))</f>
        <v/>
      </c>
      <c r="S426" s="32">
        <f>IF($B426="","",COUNTIF(G426:N426,"Received"))</f>
        <v/>
      </c>
      <c r="T426" s="32">
        <f>IF($B426="","",COUNTIF(G426:N426,"Needs Correction"))</f>
        <v/>
      </c>
      <c r="U426" s="33">
        <f>IF($B426="","",IF($D426&lt;&gt;"Yes","",IF($Q426&gt;=Settings!$C$13,"None",MID(IF(AND(G426&lt;&gt;"Accepted",G426&lt;&gt;"Not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Confirmed",IF($Q427&gt;=Settings!$C$13,"Legalized",IF($P427&gt;=Settings!$C$12,"Registered",IF($O427&gt;0,"In Progress","Not Started"))))))</f>
        <v/>
      </c>
      <c r="S427" s="32">
        <f>IF($B427="","",COUNTIF(G427:N427,"Received"))</f>
        <v/>
      </c>
      <c r="T427" s="32">
        <f>IF($B427="","",COUNTIF(G427:N427,"Needs Correction"))</f>
        <v/>
      </c>
      <c r="U427" s="33">
        <f>IF($B427="","",IF($D427&lt;&gt;"Yes","",IF($Q427&gt;=Settings!$C$13,"None",MID(IF(AND(G427&lt;&gt;"Accepted",G427&lt;&gt;"Not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Confirmed",IF($Q428&gt;=Settings!$C$13,"Legalized",IF($P428&gt;=Settings!$C$12,"Registered",IF($O428&gt;0,"In Progress","Not Started"))))))</f>
        <v/>
      </c>
      <c r="S428" s="32">
        <f>IF($B428="","",COUNTIF(G428:N428,"Received"))</f>
        <v/>
      </c>
      <c r="T428" s="32">
        <f>IF($B428="","",COUNTIF(G428:N428,"Needs Correction"))</f>
        <v/>
      </c>
      <c r="U428" s="33">
        <f>IF($B428="","",IF($D428&lt;&gt;"Yes","",IF($Q428&gt;=Settings!$C$13,"None",MID(IF(AND(G428&lt;&gt;"Accepted",G428&lt;&gt;"Not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Confirmed",IF($Q429&gt;=Settings!$C$13,"Legalized",IF($P429&gt;=Settings!$C$12,"Registered",IF($O429&gt;0,"In Progress","Not Started"))))))</f>
        <v/>
      </c>
      <c r="S429" s="32">
        <f>IF($B429="","",COUNTIF(G429:N429,"Received"))</f>
        <v/>
      </c>
      <c r="T429" s="32">
        <f>IF($B429="","",COUNTIF(G429:N429,"Needs Correction"))</f>
        <v/>
      </c>
      <c r="U429" s="33">
        <f>IF($B429="","",IF($D429&lt;&gt;"Yes","",IF($Q429&gt;=Settings!$C$13,"None",MID(IF(AND(G429&lt;&gt;"Accepted",G429&lt;&gt;"Not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Confirmed",IF($Q430&gt;=Settings!$C$13,"Legalized",IF($P430&gt;=Settings!$C$12,"Registered",IF($O430&gt;0,"In Progress","Not Started"))))))</f>
        <v/>
      </c>
      <c r="S430" s="32">
        <f>IF($B430="","",COUNTIF(G430:N430,"Received"))</f>
        <v/>
      </c>
      <c r="T430" s="32">
        <f>IF($B430="","",COUNTIF(G430:N430,"Needs Correction"))</f>
        <v/>
      </c>
      <c r="U430" s="33">
        <f>IF($B430="","",IF($D430&lt;&gt;"Yes","",IF($Q430&gt;=Settings!$C$13,"None",MID(IF(AND(G430&lt;&gt;"Accepted",G430&lt;&gt;"Not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Confirmed",IF($Q431&gt;=Settings!$C$13,"Legalized",IF($P431&gt;=Settings!$C$12,"Registered",IF($O431&gt;0,"In Progress","Not Started"))))))</f>
        <v/>
      </c>
      <c r="S431" s="32">
        <f>IF($B431="","",COUNTIF(G431:N431,"Received"))</f>
        <v/>
      </c>
      <c r="T431" s="32">
        <f>IF($B431="","",COUNTIF(G431:N431,"Needs Correction"))</f>
        <v/>
      </c>
      <c r="U431" s="33">
        <f>IF($B431="","",IF($D431&lt;&gt;"Yes","",IF($Q431&gt;=Settings!$C$13,"None",MID(IF(AND(G431&lt;&gt;"Accepted",G431&lt;&gt;"Not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Confirmed",IF($Q432&gt;=Settings!$C$13,"Legalized",IF($P432&gt;=Settings!$C$12,"Registered",IF($O432&gt;0,"In Progress","Not Started"))))))</f>
        <v/>
      </c>
      <c r="S432" s="32">
        <f>IF($B432="","",COUNTIF(G432:N432,"Received"))</f>
        <v/>
      </c>
      <c r="T432" s="32">
        <f>IF($B432="","",COUNTIF(G432:N432,"Needs Correction"))</f>
        <v/>
      </c>
      <c r="U432" s="33">
        <f>IF($B432="","",IF($D432&lt;&gt;"Yes","",IF($Q432&gt;=Settings!$C$13,"None",MID(IF(AND(G432&lt;&gt;"Accepted",G432&lt;&gt;"Not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Confirmed",IF($Q433&gt;=Settings!$C$13,"Legalized",IF($P433&gt;=Settings!$C$12,"Registered",IF($O433&gt;0,"In Progress","Not Started"))))))</f>
        <v/>
      </c>
      <c r="S433" s="32">
        <f>IF($B433="","",COUNTIF(G433:N433,"Received"))</f>
        <v/>
      </c>
      <c r="T433" s="32">
        <f>IF($B433="","",COUNTIF(G433:N433,"Needs Correction"))</f>
        <v/>
      </c>
      <c r="U433" s="33">
        <f>IF($B433="","",IF($D433&lt;&gt;"Yes","",IF($Q433&gt;=Settings!$C$13,"None",MID(IF(AND(G433&lt;&gt;"Accepted",G433&lt;&gt;"Not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Confirmed",IF($Q434&gt;=Settings!$C$13,"Legalized",IF($P434&gt;=Settings!$C$12,"Registered",IF($O434&gt;0,"In Progress","Not Started"))))))</f>
        <v/>
      </c>
      <c r="S434" s="32">
        <f>IF($B434="","",COUNTIF(G434:N434,"Received"))</f>
        <v/>
      </c>
      <c r="T434" s="32">
        <f>IF($B434="","",COUNTIF(G434:N434,"Needs Correction"))</f>
        <v/>
      </c>
      <c r="U434" s="33">
        <f>IF($B434="","",IF($D434&lt;&gt;"Yes","",IF($Q434&gt;=Settings!$C$13,"None",MID(IF(AND(G434&lt;&gt;"Accepted",G434&lt;&gt;"Not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Confirmed",IF($Q435&gt;=Settings!$C$13,"Legalized",IF($P435&gt;=Settings!$C$12,"Registered",IF($O435&gt;0,"In Progress","Not Started"))))))</f>
        <v/>
      </c>
      <c r="S435" s="32">
        <f>IF($B435="","",COUNTIF(G435:N435,"Received"))</f>
        <v/>
      </c>
      <c r="T435" s="32">
        <f>IF($B435="","",COUNTIF(G435:N435,"Needs Correction"))</f>
        <v/>
      </c>
      <c r="U435" s="33">
        <f>IF($B435="","",IF($D435&lt;&gt;"Yes","",IF($Q435&gt;=Settings!$C$13,"None",MID(IF(AND(G435&lt;&gt;"Accepted",G435&lt;&gt;"Not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Confirmed",IF($Q436&gt;=Settings!$C$13,"Legalized",IF($P436&gt;=Settings!$C$12,"Registered",IF($O436&gt;0,"In Progress","Not Started"))))))</f>
        <v/>
      </c>
      <c r="S436" s="32">
        <f>IF($B436="","",COUNTIF(G436:N436,"Received"))</f>
        <v/>
      </c>
      <c r="T436" s="32">
        <f>IF($B436="","",COUNTIF(G436:N436,"Needs Correction"))</f>
        <v/>
      </c>
      <c r="U436" s="33">
        <f>IF($B436="","",IF($D436&lt;&gt;"Yes","",IF($Q436&gt;=Settings!$C$13,"None",MID(IF(AND(G436&lt;&gt;"Accepted",G436&lt;&gt;"Not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Confirmed",IF($Q437&gt;=Settings!$C$13,"Legalized",IF($P437&gt;=Settings!$C$12,"Registered",IF($O437&gt;0,"In Progress","Not Started"))))))</f>
        <v/>
      </c>
      <c r="S437" s="32">
        <f>IF($B437="","",COUNTIF(G437:N437,"Received"))</f>
        <v/>
      </c>
      <c r="T437" s="32">
        <f>IF($B437="","",COUNTIF(G437:N437,"Needs Correction"))</f>
        <v/>
      </c>
      <c r="U437" s="33">
        <f>IF($B437="","",IF($D437&lt;&gt;"Yes","",IF($Q437&gt;=Settings!$C$13,"None",MID(IF(AND(G437&lt;&gt;"Accepted",G437&lt;&gt;"Not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Confirmed",IF($Q438&gt;=Settings!$C$13,"Legalized",IF($P438&gt;=Settings!$C$12,"Registered",IF($O438&gt;0,"In Progress","Not Started"))))))</f>
        <v/>
      </c>
      <c r="S438" s="32">
        <f>IF($B438="","",COUNTIF(G438:N438,"Received"))</f>
        <v/>
      </c>
      <c r="T438" s="32">
        <f>IF($B438="","",COUNTIF(G438:N438,"Needs Correction"))</f>
        <v/>
      </c>
      <c r="U438" s="33">
        <f>IF($B438="","",IF($D438&lt;&gt;"Yes","",IF($Q438&gt;=Settings!$C$13,"None",MID(IF(AND(G438&lt;&gt;"Accepted",G438&lt;&gt;"Not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Confirmed",IF($Q439&gt;=Settings!$C$13,"Legalized",IF($P439&gt;=Settings!$C$12,"Registered",IF($O439&gt;0,"In Progress","Not Started"))))))</f>
        <v/>
      </c>
      <c r="S439" s="32">
        <f>IF($B439="","",COUNTIF(G439:N439,"Received"))</f>
        <v/>
      </c>
      <c r="T439" s="32">
        <f>IF($B439="","",COUNTIF(G439:N439,"Needs Correction"))</f>
        <v/>
      </c>
      <c r="U439" s="33">
        <f>IF($B439="","",IF($D439&lt;&gt;"Yes","",IF($Q439&gt;=Settings!$C$13,"None",MID(IF(AND(G439&lt;&gt;"Accepted",G439&lt;&gt;"Not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Confirmed",IF($Q440&gt;=Settings!$C$13,"Legalized",IF($P440&gt;=Settings!$C$12,"Registered",IF($O440&gt;0,"In Progress","Not Started"))))))</f>
        <v/>
      </c>
      <c r="S440" s="32">
        <f>IF($B440="","",COUNTIF(G440:N440,"Received"))</f>
        <v/>
      </c>
      <c r="T440" s="32">
        <f>IF($B440="","",COUNTIF(G440:N440,"Needs Correction"))</f>
        <v/>
      </c>
      <c r="U440" s="33">
        <f>IF($B440="","",IF($D440&lt;&gt;"Yes","",IF($Q440&gt;=Settings!$C$13,"None",MID(IF(AND(G440&lt;&gt;"Accepted",G440&lt;&gt;"Not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Confirmed",IF($Q441&gt;=Settings!$C$13,"Legalized",IF($P441&gt;=Settings!$C$12,"Registered",IF($O441&gt;0,"In Progress","Not Started"))))))</f>
        <v/>
      </c>
      <c r="S441" s="32">
        <f>IF($B441="","",COUNTIF(G441:N441,"Received"))</f>
        <v/>
      </c>
      <c r="T441" s="32">
        <f>IF($B441="","",COUNTIF(G441:N441,"Needs Correction"))</f>
        <v/>
      </c>
      <c r="U441" s="33">
        <f>IF($B441="","",IF($D441&lt;&gt;"Yes","",IF($Q441&gt;=Settings!$C$13,"None",MID(IF(AND(G441&lt;&gt;"Accepted",G441&lt;&gt;"Not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Confirmed",IF($Q442&gt;=Settings!$C$13,"Legalized",IF($P442&gt;=Settings!$C$12,"Registered",IF($O442&gt;0,"In Progress","Not Started"))))))</f>
        <v/>
      </c>
      <c r="S442" s="32">
        <f>IF($B442="","",COUNTIF(G442:N442,"Received"))</f>
        <v/>
      </c>
      <c r="T442" s="32">
        <f>IF($B442="","",COUNTIF(G442:N442,"Needs Correction"))</f>
        <v/>
      </c>
      <c r="U442" s="33">
        <f>IF($B442="","",IF($D442&lt;&gt;"Yes","",IF($Q442&gt;=Settings!$C$13,"None",MID(IF(AND(G442&lt;&gt;"Accepted",G442&lt;&gt;"Not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Confirmed",IF($Q443&gt;=Settings!$C$13,"Legalized",IF($P443&gt;=Settings!$C$12,"Registered",IF($O443&gt;0,"In Progress","Not Started"))))))</f>
        <v/>
      </c>
      <c r="S443" s="32">
        <f>IF($B443="","",COUNTIF(G443:N443,"Received"))</f>
        <v/>
      </c>
      <c r="T443" s="32">
        <f>IF($B443="","",COUNTIF(G443:N443,"Needs Correction"))</f>
        <v/>
      </c>
      <c r="U443" s="33">
        <f>IF($B443="","",IF($D443&lt;&gt;"Yes","",IF($Q443&gt;=Settings!$C$13,"None",MID(IF(AND(G443&lt;&gt;"Accepted",G443&lt;&gt;"Not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Confirmed",IF($Q444&gt;=Settings!$C$13,"Legalized",IF($P444&gt;=Settings!$C$12,"Registered",IF($O444&gt;0,"In Progress","Not Started"))))))</f>
        <v/>
      </c>
      <c r="S444" s="32">
        <f>IF($B444="","",COUNTIF(G444:N444,"Received"))</f>
        <v/>
      </c>
      <c r="T444" s="32">
        <f>IF($B444="","",COUNTIF(G444:N444,"Needs Correction"))</f>
        <v/>
      </c>
      <c r="U444" s="33">
        <f>IF($B444="","",IF($D444&lt;&gt;"Yes","",IF($Q444&gt;=Settings!$C$13,"None",MID(IF(AND(G444&lt;&gt;"Accepted",G444&lt;&gt;"Not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Confirmed",IF($Q445&gt;=Settings!$C$13,"Legalized",IF($P445&gt;=Settings!$C$12,"Registered",IF($O445&gt;0,"In Progress","Not Started"))))))</f>
        <v/>
      </c>
      <c r="S445" s="32">
        <f>IF($B445="","",COUNTIF(G445:N445,"Received"))</f>
        <v/>
      </c>
      <c r="T445" s="32">
        <f>IF($B445="","",COUNTIF(G445:N445,"Needs Correction"))</f>
        <v/>
      </c>
      <c r="U445" s="33">
        <f>IF($B445="","",IF($D445&lt;&gt;"Yes","",IF($Q445&gt;=Settings!$C$13,"None",MID(IF(AND(G445&lt;&gt;"Accepted",G445&lt;&gt;"Not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Confirmed",IF($Q446&gt;=Settings!$C$13,"Legalized",IF($P446&gt;=Settings!$C$12,"Registered",IF($O446&gt;0,"In Progress","Not Started"))))))</f>
        <v/>
      </c>
      <c r="S446" s="32">
        <f>IF($B446="","",COUNTIF(G446:N446,"Received"))</f>
        <v/>
      </c>
      <c r="T446" s="32">
        <f>IF($B446="","",COUNTIF(G446:N446,"Needs Correction"))</f>
        <v/>
      </c>
      <c r="U446" s="33">
        <f>IF($B446="","",IF($D446&lt;&gt;"Yes","",IF($Q446&gt;=Settings!$C$13,"None",MID(IF(AND(G446&lt;&gt;"Accepted",G446&lt;&gt;"Not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Confirmed",IF($Q447&gt;=Settings!$C$13,"Legalized",IF($P447&gt;=Settings!$C$12,"Registered",IF($O447&gt;0,"In Progress","Not Started"))))))</f>
        <v/>
      </c>
      <c r="S447" s="32">
        <f>IF($B447="","",COUNTIF(G447:N447,"Received"))</f>
        <v/>
      </c>
      <c r="T447" s="32">
        <f>IF($B447="","",COUNTIF(G447:N447,"Needs Correction"))</f>
        <v/>
      </c>
      <c r="U447" s="33">
        <f>IF($B447="","",IF($D447&lt;&gt;"Yes","",IF($Q447&gt;=Settings!$C$13,"None",MID(IF(AND(G447&lt;&gt;"Accepted",G447&lt;&gt;"Not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Confirmed",IF($Q448&gt;=Settings!$C$13,"Legalized",IF($P448&gt;=Settings!$C$12,"Registered",IF($O448&gt;0,"In Progress","Not Started"))))))</f>
        <v/>
      </c>
      <c r="S448" s="32">
        <f>IF($B448="","",COUNTIF(G448:N448,"Received"))</f>
        <v/>
      </c>
      <c r="T448" s="32">
        <f>IF($B448="","",COUNTIF(G448:N448,"Needs Correction"))</f>
        <v/>
      </c>
      <c r="U448" s="33">
        <f>IF($B448="","",IF($D448&lt;&gt;"Yes","",IF($Q448&gt;=Settings!$C$13,"None",MID(IF(AND(G448&lt;&gt;"Accepted",G448&lt;&gt;"Not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Confirmed",IF($Q449&gt;=Settings!$C$13,"Legalized",IF($P449&gt;=Settings!$C$12,"Registered",IF($O449&gt;0,"In Progress","Not Started"))))))</f>
        <v/>
      </c>
      <c r="S449" s="32">
        <f>IF($B449="","",COUNTIF(G449:N449,"Received"))</f>
        <v/>
      </c>
      <c r="T449" s="32">
        <f>IF($B449="","",COUNTIF(G449:N449,"Needs Correction"))</f>
        <v/>
      </c>
      <c r="U449" s="33">
        <f>IF($B449="","",IF($D449&lt;&gt;"Yes","",IF($Q449&gt;=Settings!$C$13,"None",MID(IF(AND(G449&lt;&gt;"Accepted",G449&lt;&gt;"Not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Confirmed",IF($Q450&gt;=Settings!$C$13,"Legalized",IF($P450&gt;=Settings!$C$12,"Registered",IF($O450&gt;0,"In Progress","Not Started"))))))</f>
        <v/>
      </c>
      <c r="S450" s="32">
        <f>IF($B450="","",COUNTIF(G450:N450,"Received"))</f>
        <v/>
      </c>
      <c r="T450" s="32">
        <f>IF($B450="","",COUNTIF(G450:N450,"Needs Correction"))</f>
        <v/>
      </c>
      <c r="U450" s="33">
        <f>IF($B450="","",IF($D450&lt;&gt;"Yes","",IF($Q450&gt;=Settings!$C$13,"None",MID(IF(AND(G450&lt;&gt;"Accepted",G450&lt;&gt;"Not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Confirmed",IF($Q451&gt;=Settings!$C$13,"Legalized",IF($P451&gt;=Settings!$C$12,"Registered",IF($O451&gt;0,"In Progress","Not Started"))))))</f>
        <v/>
      </c>
      <c r="S451" s="32">
        <f>IF($B451="","",COUNTIF(G451:N451,"Received"))</f>
        <v/>
      </c>
      <c r="T451" s="32">
        <f>IF($B451="","",COUNTIF(G451:N451,"Needs Correction"))</f>
        <v/>
      </c>
      <c r="U451" s="33">
        <f>IF($B451="","",IF($D451&lt;&gt;"Yes","",IF($Q451&gt;=Settings!$C$13,"None",MID(IF(AND(G451&lt;&gt;"Accepted",G451&lt;&gt;"Not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Confirmed",IF($Q452&gt;=Settings!$C$13,"Legalized",IF($P452&gt;=Settings!$C$12,"Registered",IF($O452&gt;0,"In Progress","Not Started"))))))</f>
        <v/>
      </c>
      <c r="S452" s="32">
        <f>IF($B452="","",COUNTIF(G452:N452,"Received"))</f>
        <v/>
      </c>
      <c r="T452" s="32">
        <f>IF($B452="","",COUNTIF(G452:N452,"Needs Correction"))</f>
        <v/>
      </c>
      <c r="U452" s="33">
        <f>IF($B452="","",IF($D452&lt;&gt;"Yes","",IF($Q452&gt;=Settings!$C$13,"None",MID(IF(AND(G452&lt;&gt;"Accepted",G452&lt;&gt;"Not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Confirmed",IF($Q453&gt;=Settings!$C$13,"Legalized",IF($P453&gt;=Settings!$C$12,"Registered",IF($O453&gt;0,"In Progress","Not Started"))))))</f>
        <v/>
      </c>
      <c r="S453" s="32">
        <f>IF($B453="","",COUNTIF(G453:N453,"Received"))</f>
        <v/>
      </c>
      <c r="T453" s="32">
        <f>IF($B453="","",COUNTIF(G453:N453,"Needs Correction"))</f>
        <v/>
      </c>
      <c r="U453" s="33">
        <f>IF($B453="","",IF($D453&lt;&gt;"Yes","",IF($Q453&gt;=Settings!$C$13,"None",MID(IF(AND(G453&lt;&gt;"Accepted",G453&lt;&gt;"Not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Confirmed",IF($Q454&gt;=Settings!$C$13,"Legalized",IF($P454&gt;=Settings!$C$12,"Registered",IF($O454&gt;0,"In Progress","Not Started"))))))</f>
        <v/>
      </c>
      <c r="S454" s="32">
        <f>IF($B454="","",COUNTIF(G454:N454,"Received"))</f>
        <v/>
      </c>
      <c r="T454" s="32">
        <f>IF($B454="","",COUNTIF(G454:N454,"Needs Correction"))</f>
        <v/>
      </c>
      <c r="U454" s="33">
        <f>IF($B454="","",IF($D454&lt;&gt;"Yes","",IF($Q454&gt;=Settings!$C$13,"None",MID(IF(AND(G454&lt;&gt;"Accepted",G454&lt;&gt;"Not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Confirmed",IF($Q455&gt;=Settings!$C$13,"Legalized",IF($P455&gt;=Settings!$C$12,"Registered",IF($O455&gt;0,"In Progress","Not Started"))))))</f>
        <v/>
      </c>
      <c r="S455" s="32">
        <f>IF($B455="","",COUNTIF(G455:N455,"Received"))</f>
        <v/>
      </c>
      <c r="T455" s="32">
        <f>IF($B455="","",COUNTIF(G455:N455,"Needs Correction"))</f>
        <v/>
      </c>
      <c r="U455" s="33">
        <f>IF($B455="","",IF($D455&lt;&gt;"Yes","",IF($Q455&gt;=Settings!$C$13,"None",MID(IF(AND(G455&lt;&gt;"Accepted",G455&lt;&gt;"Not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Confirmed",IF($Q456&gt;=Settings!$C$13,"Legalized",IF($P456&gt;=Settings!$C$12,"Registered",IF($O456&gt;0,"In Progress","Not Started"))))))</f>
        <v/>
      </c>
      <c r="S456" s="32">
        <f>IF($B456="","",COUNTIF(G456:N456,"Received"))</f>
        <v/>
      </c>
      <c r="T456" s="32">
        <f>IF($B456="","",COUNTIF(G456:N456,"Needs Correction"))</f>
        <v/>
      </c>
      <c r="U456" s="33">
        <f>IF($B456="","",IF($D456&lt;&gt;"Yes","",IF($Q456&gt;=Settings!$C$13,"None",MID(IF(AND(G456&lt;&gt;"Accepted",G456&lt;&gt;"Not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Confirmed",IF($Q457&gt;=Settings!$C$13,"Legalized",IF($P457&gt;=Settings!$C$12,"Registered",IF($O457&gt;0,"In Progress","Not Started"))))))</f>
        <v/>
      </c>
      <c r="S457" s="32">
        <f>IF($B457="","",COUNTIF(G457:N457,"Received"))</f>
        <v/>
      </c>
      <c r="T457" s="32">
        <f>IF($B457="","",COUNTIF(G457:N457,"Needs Correction"))</f>
        <v/>
      </c>
      <c r="U457" s="33">
        <f>IF($B457="","",IF($D457&lt;&gt;"Yes","",IF($Q457&gt;=Settings!$C$13,"None",MID(IF(AND(G457&lt;&gt;"Accepted",G457&lt;&gt;"Not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Confirmed",IF($Q458&gt;=Settings!$C$13,"Legalized",IF($P458&gt;=Settings!$C$12,"Registered",IF($O458&gt;0,"In Progress","Not Started"))))))</f>
        <v/>
      </c>
      <c r="S458" s="32">
        <f>IF($B458="","",COUNTIF(G458:N458,"Received"))</f>
        <v/>
      </c>
      <c r="T458" s="32">
        <f>IF($B458="","",COUNTIF(G458:N458,"Needs Correction"))</f>
        <v/>
      </c>
      <c r="U458" s="33">
        <f>IF($B458="","",IF($D458&lt;&gt;"Yes","",IF($Q458&gt;=Settings!$C$13,"None",MID(IF(AND(G458&lt;&gt;"Accepted",G458&lt;&gt;"Not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Confirmed",IF($Q459&gt;=Settings!$C$13,"Legalized",IF($P459&gt;=Settings!$C$12,"Registered",IF($O459&gt;0,"In Progress","Not Started"))))))</f>
        <v/>
      </c>
      <c r="S459" s="32">
        <f>IF($B459="","",COUNTIF(G459:N459,"Received"))</f>
        <v/>
      </c>
      <c r="T459" s="32">
        <f>IF($B459="","",COUNTIF(G459:N459,"Needs Correction"))</f>
        <v/>
      </c>
      <c r="U459" s="33">
        <f>IF($B459="","",IF($D459&lt;&gt;"Yes","",IF($Q459&gt;=Settings!$C$13,"None",MID(IF(AND(G459&lt;&gt;"Accepted",G459&lt;&gt;"Not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Confirmed",IF($Q460&gt;=Settings!$C$13,"Legalized",IF($P460&gt;=Settings!$C$12,"Registered",IF($O460&gt;0,"In Progress","Not Started"))))))</f>
        <v/>
      </c>
      <c r="S460" s="32">
        <f>IF($B460="","",COUNTIF(G460:N460,"Received"))</f>
        <v/>
      </c>
      <c r="T460" s="32">
        <f>IF($B460="","",COUNTIF(G460:N460,"Needs Correction"))</f>
        <v/>
      </c>
      <c r="U460" s="33">
        <f>IF($B460="","",IF($D460&lt;&gt;"Yes","",IF($Q460&gt;=Settings!$C$13,"None",MID(IF(AND(G460&lt;&gt;"Accepted",G460&lt;&gt;"Not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Confirmed",IF($Q461&gt;=Settings!$C$13,"Legalized",IF($P461&gt;=Settings!$C$12,"Registered",IF($O461&gt;0,"In Progress","Not Started"))))))</f>
        <v/>
      </c>
      <c r="S461" s="32">
        <f>IF($B461="","",COUNTIF(G461:N461,"Received"))</f>
        <v/>
      </c>
      <c r="T461" s="32">
        <f>IF($B461="","",COUNTIF(G461:N461,"Needs Correction"))</f>
        <v/>
      </c>
      <c r="U461" s="33">
        <f>IF($B461="","",IF($D461&lt;&gt;"Yes","",IF($Q461&gt;=Settings!$C$13,"None",MID(IF(AND(G461&lt;&gt;"Accepted",G461&lt;&gt;"Not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Confirmed",IF($Q462&gt;=Settings!$C$13,"Legalized",IF($P462&gt;=Settings!$C$12,"Registered",IF($O462&gt;0,"In Progress","Not Started"))))))</f>
        <v/>
      </c>
      <c r="S462" s="32">
        <f>IF($B462="","",COUNTIF(G462:N462,"Received"))</f>
        <v/>
      </c>
      <c r="T462" s="32">
        <f>IF($B462="","",COUNTIF(G462:N462,"Needs Correction"))</f>
        <v/>
      </c>
      <c r="U462" s="33">
        <f>IF($B462="","",IF($D462&lt;&gt;"Yes","",IF($Q462&gt;=Settings!$C$13,"None",MID(IF(AND(G462&lt;&gt;"Accepted",G462&lt;&gt;"Not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Confirmed",IF($Q463&gt;=Settings!$C$13,"Legalized",IF($P463&gt;=Settings!$C$12,"Registered",IF($O463&gt;0,"In Progress","Not Started"))))))</f>
        <v/>
      </c>
      <c r="S463" s="32">
        <f>IF($B463="","",COUNTIF(G463:N463,"Received"))</f>
        <v/>
      </c>
      <c r="T463" s="32">
        <f>IF($B463="","",COUNTIF(G463:N463,"Needs Correction"))</f>
        <v/>
      </c>
      <c r="U463" s="33">
        <f>IF($B463="","",IF($D463&lt;&gt;"Yes","",IF($Q463&gt;=Settings!$C$13,"None",MID(IF(AND(G463&lt;&gt;"Accepted",G463&lt;&gt;"Not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Confirmed",IF($Q464&gt;=Settings!$C$13,"Legalized",IF($P464&gt;=Settings!$C$12,"Registered",IF($O464&gt;0,"In Progress","Not Started"))))))</f>
        <v/>
      </c>
      <c r="S464" s="32">
        <f>IF($B464="","",COUNTIF(G464:N464,"Received"))</f>
        <v/>
      </c>
      <c r="T464" s="32">
        <f>IF($B464="","",COUNTIF(G464:N464,"Needs Correction"))</f>
        <v/>
      </c>
      <c r="U464" s="33">
        <f>IF($B464="","",IF($D464&lt;&gt;"Yes","",IF($Q464&gt;=Settings!$C$13,"None",MID(IF(AND(G464&lt;&gt;"Accepted",G464&lt;&gt;"Not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Confirmed",IF($Q465&gt;=Settings!$C$13,"Legalized",IF($P465&gt;=Settings!$C$12,"Registered",IF($O465&gt;0,"In Progress","Not Started"))))))</f>
        <v/>
      </c>
      <c r="S465" s="32">
        <f>IF($B465="","",COUNTIF(G465:N465,"Received"))</f>
        <v/>
      </c>
      <c r="T465" s="32">
        <f>IF($B465="","",COUNTIF(G465:N465,"Needs Correction"))</f>
        <v/>
      </c>
      <c r="U465" s="33">
        <f>IF($B465="","",IF($D465&lt;&gt;"Yes","",IF($Q465&gt;=Settings!$C$13,"None",MID(IF(AND(G465&lt;&gt;"Accepted",G465&lt;&gt;"Not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Confirmed",IF($Q466&gt;=Settings!$C$13,"Legalized",IF($P466&gt;=Settings!$C$12,"Registered",IF($O466&gt;0,"In Progress","Not Started"))))))</f>
        <v/>
      </c>
      <c r="S466" s="32">
        <f>IF($B466="","",COUNTIF(G466:N466,"Received"))</f>
        <v/>
      </c>
      <c r="T466" s="32">
        <f>IF($B466="","",COUNTIF(G466:N466,"Needs Correction"))</f>
        <v/>
      </c>
      <c r="U466" s="33">
        <f>IF($B466="","",IF($D466&lt;&gt;"Yes","",IF($Q466&gt;=Settings!$C$13,"None",MID(IF(AND(G466&lt;&gt;"Accepted",G466&lt;&gt;"Not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Confirmed",IF($Q467&gt;=Settings!$C$13,"Legalized",IF($P467&gt;=Settings!$C$12,"Registered",IF($O467&gt;0,"In Progress","Not Started"))))))</f>
        <v/>
      </c>
      <c r="S467" s="32">
        <f>IF($B467="","",COUNTIF(G467:N467,"Received"))</f>
        <v/>
      </c>
      <c r="T467" s="32">
        <f>IF($B467="","",COUNTIF(G467:N467,"Needs Correction"))</f>
        <v/>
      </c>
      <c r="U467" s="33">
        <f>IF($B467="","",IF($D467&lt;&gt;"Yes","",IF($Q467&gt;=Settings!$C$13,"None",MID(IF(AND(G467&lt;&gt;"Accepted",G467&lt;&gt;"Not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Confirmed",IF($Q468&gt;=Settings!$C$13,"Legalized",IF($P468&gt;=Settings!$C$12,"Registered",IF($O468&gt;0,"In Progress","Not Started"))))))</f>
        <v/>
      </c>
      <c r="S468" s="32">
        <f>IF($B468="","",COUNTIF(G468:N468,"Received"))</f>
        <v/>
      </c>
      <c r="T468" s="32">
        <f>IF($B468="","",COUNTIF(G468:N468,"Needs Correction"))</f>
        <v/>
      </c>
      <c r="U468" s="33">
        <f>IF($B468="","",IF($D468&lt;&gt;"Yes","",IF($Q468&gt;=Settings!$C$13,"None",MID(IF(AND(G468&lt;&gt;"Accepted",G468&lt;&gt;"Not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Confirmed",IF($Q469&gt;=Settings!$C$13,"Legalized",IF($P469&gt;=Settings!$C$12,"Registered",IF($O469&gt;0,"In Progress","Not Started"))))))</f>
        <v/>
      </c>
      <c r="S469" s="32">
        <f>IF($B469="","",COUNTIF(G469:N469,"Received"))</f>
        <v/>
      </c>
      <c r="T469" s="32">
        <f>IF($B469="","",COUNTIF(G469:N469,"Needs Correction"))</f>
        <v/>
      </c>
      <c r="U469" s="33">
        <f>IF($B469="","",IF($D469&lt;&gt;"Yes","",IF($Q469&gt;=Settings!$C$13,"None",MID(IF(AND(G469&lt;&gt;"Accepted",G469&lt;&gt;"Not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Confirmed",IF($Q470&gt;=Settings!$C$13,"Legalized",IF($P470&gt;=Settings!$C$12,"Registered",IF($O470&gt;0,"In Progress","Not Started"))))))</f>
        <v/>
      </c>
      <c r="S470" s="32">
        <f>IF($B470="","",COUNTIF(G470:N470,"Received"))</f>
        <v/>
      </c>
      <c r="T470" s="32">
        <f>IF($B470="","",COUNTIF(G470:N470,"Needs Correction"))</f>
        <v/>
      </c>
      <c r="U470" s="33">
        <f>IF($B470="","",IF($D470&lt;&gt;"Yes","",IF($Q470&gt;=Settings!$C$13,"None",MID(IF(AND(G470&lt;&gt;"Accepted",G470&lt;&gt;"Not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Confirmed",IF($Q471&gt;=Settings!$C$13,"Legalized",IF($P471&gt;=Settings!$C$12,"Registered",IF($O471&gt;0,"In Progress","Not Started"))))))</f>
        <v/>
      </c>
      <c r="S471" s="32">
        <f>IF($B471="","",COUNTIF(G471:N471,"Received"))</f>
        <v/>
      </c>
      <c r="T471" s="32">
        <f>IF($B471="","",COUNTIF(G471:N471,"Needs Correction"))</f>
        <v/>
      </c>
      <c r="U471" s="33">
        <f>IF($B471="","",IF($D471&lt;&gt;"Yes","",IF($Q471&gt;=Settings!$C$13,"None",MID(IF(AND(G471&lt;&gt;"Accepted",G471&lt;&gt;"Not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Confirmed",IF($Q472&gt;=Settings!$C$13,"Legalized",IF($P472&gt;=Settings!$C$12,"Registered",IF($O472&gt;0,"In Progress","Not Started"))))))</f>
        <v/>
      </c>
      <c r="S472" s="32">
        <f>IF($B472="","",COUNTIF(G472:N472,"Received"))</f>
        <v/>
      </c>
      <c r="T472" s="32">
        <f>IF($B472="","",COUNTIF(G472:N472,"Needs Correction"))</f>
        <v/>
      </c>
      <c r="U472" s="33">
        <f>IF($B472="","",IF($D472&lt;&gt;"Yes","",IF($Q472&gt;=Settings!$C$13,"None",MID(IF(AND(G472&lt;&gt;"Accepted",G472&lt;&gt;"Not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Confirmed",IF($Q473&gt;=Settings!$C$13,"Legalized",IF($P473&gt;=Settings!$C$12,"Registered",IF($O473&gt;0,"In Progress","Not Started"))))))</f>
        <v/>
      </c>
      <c r="S473" s="32">
        <f>IF($B473="","",COUNTIF(G473:N473,"Received"))</f>
        <v/>
      </c>
      <c r="T473" s="32">
        <f>IF($B473="","",COUNTIF(G473:N473,"Needs Correction"))</f>
        <v/>
      </c>
      <c r="U473" s="33">
        <f>IF($B473="","",IF($D473&lt;&gt;"Yes","",IF($Q473&gt;=Settings!$C$13,"None",MID(IF(AND(G473&lt;&gt;"Accepted",G473&lt;&gt;"Not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Confirmed",IF($Q474&gt;=Settings!$C$13,"Legalized",IF($P474&gt;=Settings!$C$12,"Registered",IF($O474&gt;0,"In Progress","Not Started"))))))</f>
        <v/>
      </c>
      <c r="S474" s="32">
        <f>IF($B474="","",COUNTIF(G474:N474,"Received"))</f>
        <v/>
      </c>
      <c r="T474" s="32">
        <f>IF($B474="","",COUNTIF(G474:N474,"Needs Correction"))</f>
        <v/>
      </c>
      <c r="U474" s="33">
        <f>IF($B474="","",IF($D474&lt;&gt;"Yes","",IF($Q474&gt;=Settings!$C$13,"None",MID(IF(AND(G474&lt;&gt;"Accepted",G474&lt;&gt;"Not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Confirmed",IF($Q475&gt;=Settings!$C$13,"Legalized",IF($P475&gt;=Settings!$C$12,"Registered",IF($O475&gt;0,"In Progress","Not Started"))))))</f>
        <v/>
      </c>
      <c r="S475" s="32">
        <f>IF($B475="","",COUNTIF(G475:N475,"Received"))</f>
        <v/>
      </c>
      <c r="T475" s="32">
        <f>IF($B475="","",COUNTIF(G475:N475,"Needs Correction"))</f>
        <v/>
      </c>
      <c r="U475" s="33">
        <f>IF($B475="","",IF($D475&lt;&gt;"Yes","",IF($Q475&gt;=Settings!$C$13,"None",MID(IF(AND(G475&lt;&gt;"Accepted",G475&lt;&gt;"Not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Confirmed",IF($Q476&gt;=Settings!$C$13,"Legalized",IF($P476&gt;=Settings!$C$12,"Registered",IF($O476&gt;0,"In Progress","Not Started"))))))</f>
        <v/>
      </c>
      <c r="S476" s="32">
        <f>IF($B476="","",COUNTIF(G476:N476,"Received"))</f>
        <v/>
      </c>
      <c r="T476" s="32">
        <f>IF($B476="","",COUNTIF(G476:N476,"Needs Correction"))</f>
        <v/>
      </c>
      <c r="U476" s="33">
        <f>IF($B476="","",IF($D476&lt;&gt;"Yes","",IF($Q476&gt;=Settings!$C$13,"None",MID(IF(AND(G476&lt;&gt;"Accepted",G476&lt;&gt;"Not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Confirmed",IF($Q477&gt;=Settings!$C$13,"Legalized",IF($P477&gt;=Settings!$C$12,"Registered",IF($O477&gt;0,"In Progress","Not Started"))))))</f>
        <v/>
      </c>
      <c r="S477" s="32">
        <f>IF($B477="","",COUNTIF(G477:N477,"Received"))</f>
        <v/>
      </c>
      <c r="T477" s="32">
        <f>IF($B477="","",COUNTIF(G477:N477,"Needs Correction"))</f>
        <v/>
      </c>
      <c r="U477" s="33">
        <f>IF($B477="","",IF($D477&lt;&gt;"Yes","",IF($Q477&gt;=Settings!$C$13,"None",MID(IF(AND(G477&lt;&gt;"Accepted",G477&lt;&gt;"Not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Confirmed",IF($Q478&gt;=Settings!$C$13,"Legalized",IF($P478&gt;=Settings!$C$12,"Registered",IF($O478&gt;0,"In Progress","Not Started"))))))</f>
        <v/>
      </c>
      <c r="S478" s="32">
        <f>IF($B478="","",COUNTIF(G478:N478,"Received"))</f>
        <v/>
      </c>
      <c r="T478" s="32">
        <f>IF($B478="","",COUNTIF(G478:N478,"Needs Correction"))</f>
        <v/>
      </c>
      <c r="U478" s="33">
        <f>IF($B478="","",IF($D478&lt;&gt;"Yes","",IF($Q478&gt;=Settings!$C$13,"None",MID(IF(AND(G478&lt;&gt;"Accepted",G478&lt;&gt;"Not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Confirmed",IF($Q479&gt;=Settings!$C$13,"Legalized",IF($P479&gt;=Settings!$C$12,"Registered",IF($O479&gt;0,"In Progress","Not Started"))))))</f>
        <v/>
      </c>
      <c r="S479" s="32">
        <f>IF($B479="","",COUNTIF(G479:N479,"Received"))</f>
        <v/>
      </c>
      <c r="T479" s="32">
        <f>IF($B479="","",COUNTIF(G479:N479,"Needs Correction"))</f>
        <v/>
      </c>
      <c r="U479" s="33">
        <f>IF($B479="","",IF($D479&lt;&gt;"Yes","",IF($Q479&gt;=Settings!$C$13,"None",MID(IF(AND(G479&lt;&gt;"Accepted",G479&lt;&gt;"Not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Confirmed",IF($Q480&gt;=Settings!$C$13,"Legalized",IF($P480&gt;=Settings!$C$12,"Registered",IF($O480&gt;0,"In Progress","Not Started"))))))</f>
        <v/>
      </c>
      <c r="S480" s="32">
        <f>IF($B480="","",COUNTIF(G480:N480,"Received"))</f>
        <v/>
      </c>
      <c r="T480" s="32">
        <f>IF($B480="","",COUNTIF(G480:N480,"Needs Correction"))</f>
        <v/>
      </c>
      <c r="U480" s="33">
        <f>IF($B480="","",IF($D480&lt;&gt;"Yes","",IF($Q480&gt;=Settings!$C$13,"None",MID(IF(AND(G480&lt;&gt;"Accepted",G480&lt;&gt;"Not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Confirmed",IF($Q481&gt;=Settings!$C$13,"Legalized",IF($P481&gt;=Settings!$C$12,"Registered",IF($O481&gt;0,"In Progress","Not Started"))))))</f>
        <v/>
      </c>
      <c r="S481" s="32">
        <f>IF($B481="","",COUNTIF(G481:N481,"Received"))</f>
        <v/>
      </c>
      <c r="T481" s="32">
        <f>IF($B481="","",COUNTIF(G481:N481,"Needs Correction"))</f>
        <v/>
      </c>
      <c r="U481" s="33">
        <f>IF($B481="","",IF($D481&lt;&gt;"Yes","",IF($Q481&gt;=Settings!$C$13,"None",MID(IF(AND(G481&lt;&gt;"Accepted",G481&lt;&gt;"Not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Confirmed",IF($Q482&gt;=Settings!$C$13,"Legalized",IF($P482&gt;=Settings!$C$12,"Registered",IF($O482&gt;0,"In Progress","Not Started"))))))</f>
        <v/>
      </c>
      <c r="S482" s="32">
        <f>IF($B482="","",COUNTIF(G482:N482,"Received"))</f>
        <v/>
      </c>
      <c r="T482" s="32">
        <f>IF($B482="","",COUNTIF(G482:N482,"Needs Correction"))</f>
        <v/>
      </c>
      <c r="U482" s="33">
        <f>IF($B482="","",IF($D482&lt;&gt;"Yes","",IF($Q482&gt;=Settings!$C$13,"None",MID(IF(AND(G482&lt;&gt;"Accepted",G482&lt;&gt;"Not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Confirmed",IF($Q483&gt;=Settings!$C$13,"Legalized",IF($P483&gt;=Settings!$C$12,"Registered",IF($O483&gt;0,"In Progress","Not Started"))))))</f>
        <v/>
      </c>
      <c r="S483" s="32">
        <f>IF($B483="","",COUNTIF(G483:N483,"Received"))</f>
        <v/>
      </c>
      <c r="T483" s="32">
        <f>IF($B483="","",COUNTIF(G483:N483,"Needs Correction"))</f>
        <v/>
      </c>
      <c r="U483" s="33">
        <f>IF($B483="","",IF($D483&lt;&gt;"Yes","",IF($Q483&gt;=Settings!$C$13,"None",MID(IF(AND(G483&lt;&gt;"Accepted",G483&lt;&gt;"Not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Confirmed",IF($Q484&gt;=Settings!$C$13,"Legalized",IF($P484&gt;=Settings!$C$12,"Registered",IF($O484&gt;0,"In Progress","Not Started"))))))</f>
        <v/>
      </c>
      <c r="S484" s="32">
        <f>IF($B484="","",COUNTIF(G484:N484,"Received"))</f>
        <v/>
      </c>
      <c r="T484" s="32">
        <f>IF($B484="","",COUNTIF(G484:N484,"Needs Correction"))</f>
        <v/>
      </c>
      <c r="U484" s="33">
        <f>IF($B484="","",IF($D484&lt;&gt;"Yes","",IF($Q484&gt;=Settings!$C$13,"None",MID(IF(AND(G484&lt;&gt;"Accepted",G484&lt;&gt;"Not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Confirmed",IF($Q485&gt;=Settings!$C$13,"Legalized",IF($P485&gt;=Settings!$C$12,"Registered",IF($O485&gt;0,"In Progress","Not Started"))))))</f>
        <v/>
      </c>
      <c r="S485" s="32">
        <f>IF($B485="","",COUNTIF(G485:N485,"Received"))</f>
        <v/>
      </c>
      <c r="T485" s="32">
        <f>IF($B485="","",COUNTIF(G485:N485,"Needs Correction"))</f>
        <v/>
      </c>
      <c r="U485" s="33">
        <f>IF($B485="","",IF($D485&lt;&gt;"Yes","",IF($Q485&gt;=Settings!$C$13,"None",MID(IF(AND(G485&lt;&gt;"Accepted",G485&lt;&gt;"Not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Confirmed",IF($Q486&gt;=Settings!$C$13,"Legalized",IF($P486&gt;=Settings!$C$12,"Registered",IF($O486&gt;0,"In Progress","Not Started"))))))</f>
        <v/>
      </c>
      <c r="S486" s="32">
        <f>IF($B486="","",COUNTIF(G486:N486,"Received"))</f>
        <v/>
      </c>
      <c r="T486" s="32">
        <f>IF($B486="","",COUNTIF(G486:N486,"Needs Correction"))</f>
        <v/>
      </c>
      <c r="U486" s="33">
        <f>IF($B486="","",IF($D486&lt;&gt;"Yes","",IF($Q486&gt;=Settings!$C$13,"None",MID(IF(AND(G486&lt;&gt;"Accepted",G486&lt;&gt;"Not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Confirmed",IF($Q487&gt;=Settings!$C$13,"Legalized",IF($P487&gt;=Settings!$C$12,"Registered",IF($O487&gt;0,"In Progress","Not Started"))))))</f>
        <v/>
      </c>
      <c r="S487" s="32">
        <f>IF($B487="","",COUNTIF(G487:N487,"Received"))</f>
        <v/>
      </c>
      <c r="T487" s="32">
        <f>IF($B487="","",COUNTIF(G487:N487,"Needs Correction"))</f>
        <v/>
      </c>
      <c r="U487" s="33">
        <f>IF($B487="","",IF($D487&lt;&gt;"Yes","",IF($Q487&gt;=Settings!$C$13,"None",MID(IF(AND(G487&lt;&gt;"Accepted",G487&lt;&gt;"Not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Confirmed",IF($Q488&gt;=Settings!$C$13,"Legalized",IF($P488&gt;=Settings!$C$12,"Registered",IF($O488&gt;0,"In Progress","Not Started"))))))</f>
        <v/>
      </c>
      <c r="S488" s="32">
        <f>IF($B488="","",COUNTIF(G488:N488,"Received"))</f>
        <v/>
      </c>
      <c r="T488" s="32">
        <f>IF($B488="","",COUNTIF(G488:N488,"Needs Correction"))</f>
        <v/>
      </c>
      <c r="U488" s="33">
        <f>IF($B488="","",IF($D488&lt;&gt;"Yes","",IF($Q488&gt;=Settings!$C$13,"None",MID(IF(AND(G488&lt;&gt;"Accepted",G488&lt;&gt;"Not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Confirmed",IF($Q489&gt;=Settings!$C$13,"Legalized",IF($P489&gt;=Settings!$C$12,"Registered",IF($O489&gt;0,"In Progress","Not Started"))))))</f>
        <v/>
      </c>
      <c r="S489" s="32">
        <f>IF($B489="","",COUNTIF(G489:N489,"Received"))</f>
        <v/>
      </c>
      <c r="T489" s="32">
        <f>IF($B489="","",COUNTIF(G489:N489,"Needs Correction"))</f>
        <v/>
      </c>
      <c r="U489" s="33">
        <f>IF($B489="","",IF($D489&lt;&gt;"Yes","",IF($Q489&gt;=Settings!$C$13,"None",MID(IF(AND(G489&lt;&gt;"Accepted",G489&lt;&gt;"Not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Confirmed",IF($Q490&gt;=Settings!$C$13,"Legalized",IF($P490&gt;=Settings!$C$12,"Registered",IF($O490&gt;0,"In Progress","Not Started"))))))</f>
        <v/>
      </c>
      <c r="S490" s="32">
        <f>IF($B490="","",COUNTIF(G490:N490,"Received"))</f>
        <v/>
      </c>
      <c r="T490" s="32">
        <f>IF($B490="","",COUNTIF(G490:N490,"Needs Correction"))</f>
        <v/>
      </c>
      <c r="U490" s="33">
        <f>IF($B490="","",IF($D490&lt;&gt;"Yes","",IF($Q490&gt;=Settings!$C$13,"None",MID(IF(AND(G490&lt;&gt;"Accepted",G490&lt;&gt;"Not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Confirmed",IF($Q491&gt;=Settings!$C$13,"Legalized",IF($P491&gt;=Settings!$C$12,"Registered",IF($O491&gt;0,"In Progress","Not Started"))))))</f>
        <v/>
      </c>
      <c r="S491" s="32">
        <f>IF($B491="","",COUNTIF(G491:N491,"Received"))</f>
        <v/>
      </c>
      <c r="T491" s="32">
        <f>IF($B491="","",COUNTIF(G491:N491,"Needs Correction"))</f>
        <v/>
      </c>
      <c r="U491" s="33">
        <f>IF($B491="","",IF($D491&lt;&gt;"Yes","",IF($Q491&gt;=Settings!$C$13,"None",MID(IF(AND(G491&lt;&gt;"Accepted",G491&lt;&gt;"Not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Confirmed",IF($Q492&gt;=Settings!$C$13,"Legalized",IF($P492&gt;=Settings!$C$12,"Registered",IF($O492&gt;0,"In Progress","Not Started"))))))</f>
        <v/>
      </c>
      <c r="S492" s="32">
        <f>IF($B492="","",COUNTIF(G492:N492,"Received"))</f>
        <v/>
      </c>
      <c r="T492" s="32">
        <f>IF($B492="","",COUNTIF(G492:N492,"Needs Correction"))</f>
        <v/>
      </c>
      <c r="U492" s="33">
        <f>IF($B492="","",IF($D492&lt;&gt;"Yes","",IF($Q492&gt;=Settings!$C$13,"None",MID(IF(AND(G492&lt;&gt;"Accepted",G492&lt;&gt;"Not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Confirmed",IF($Q493&gt;=Settings!$C$13,"Legalized",IF($P493&gt;=Settings!$C$12,"Registered",IF($O493&gt;0,"In Progress","Not Started"))))))</f>
        <v/>
      </c>
      <c r="S493" s="32">
        <f>IF($B493="","",COUNTIF(G493:N493,"Received"))</f>
        <v/>
      </c>
      <c r="T493" s="32">
        <f>IF($B493="","",COUNTIF(G493:N493,"Needs Correction"))</f>
        <v/>
      </c>
      <c r="U493" s="33">
        <f>IF($B493="","",IF($D493&lt;&gt;"Yes","",IF($Q493&gt;=Settings!$C$13,"None",MID(IF(AND(G493&lt;&gt;"Accepted",G493&lt;&gt;"Not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Confirmed",IF($Q494&gt;=Settings!$C$13,"Legalized",IF($P494&gt;=Settings!$C$12,"Registered",IF($O494&gt;0,"In Progress","Not Started"))))))</f>
        <v/>
      </c>
      <c r="S494" s="32">
        <f>IF($B494="","",COUNTIF(G494:N494,"Received"))</f>
        <v/>
      </c>
      <c r="T494" s="32">
        <f>IF($B494="","",COUNTIF(G494:N494,"Needs Correction"))</f>
        <v/>
      </c>
      <c r="U494" s="33">
        <f>IF($B494="","",IF($D494&lt;&gt;"Yes","",IF($Q494&gt;=Settings!$C$13,"None",MID(IF(AND(G494&lt;&gt;"Accepted",G494&lt;&gt;"Not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Confirmed",IF($Q495&gt;=Settings!$C$13,"Legalized",IF($P495&gt;=Settings!$C$12,"Registered",IF($O495&gt;0,"In Progress","Not Started"))))))</f>
        <v/>
      </c>
      <c r="S495" s="32">
        <f>IF($B495="","",COUNTIF(G495:N495,"Received"))</f>
        <v/>
      </c>
      <c r="T495" s="32">
        <f>IF($B495="","",COUNTIF(G495:N495,"Needs Correction"))</f>
        <v/>
      </c>
      <c r="U495" s="33">
        <f>IF($B495="","",IF($D495&lt;&gt;"Yes","",IF($Q495&gt;=Settings!$C$13,"None",MID(IF(AND(G495&lt;&gt;"Accepted",G495&lt;&gt;"Not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Confirmed",IF($Q496&gt;=Settings!$C$13,"Legalized",IF($P496&gt;=Settings!$C$12,"Registered",IF($O496&gt;0,"In Progress","Not Started"))))))</f>
        <v/>
      </c>
      <c r="S496" s="32">
        <f>IF($B496="","",COUNTIF(G496:N496,"Received"))</f>
        <v/>
      </c>
      <c r="T496" s="32">
        <f>IF($B496="","",COUNTIF(G496:N496,"Needs Correction"))</f>
        <v/>
      </c>
      <c r="U496" s="33">
        <f>IF($B496="","",IF($D496&lt;&gt;"Yes","",IF($Q496&gt;=Settings!$C$13,"None",MID(IF(AND(G496&lt;&gt;"Accepted",G496&lt;&gt;"Not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Confirmed",IF($Q497&gt;=Settings!$C$13,"Legalized",IF($P497&gt;=Settings!$C$12,"Registered",IF($O497&gt;0,"In Progress","Not Started"))))))</f>
        <v/>
      </c>
      <c r="S497" s="32">
        <f>IF($B497="","",COUNTIF(G497:N497,"Received"))</f>
        <v/>
      </c>
      <c r="T497" s="32">
        <f>IF($B497="","",COUNTIF(G497:N497,"Needs Correction"))</f>
        <v/>
      </c>
      <c r="U497" s="33">
        <f>IF($B497="","",IF($D497&lt;&gt;"Yes","",IF($Q497&gt;=Settings!$C$13,"None",MID(IF(AND(G497&lt;&gt;"Accepted",G497&lt;&gt;"Not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Confirmed",IF($Q498&gt;=Settings!$C$13,"Legalized",IF($P498&gt;=Settings!$C$12,"Registered",IF($O498&gt;0,"In Progress","Not Started"))))))</f>
        <v/>
      </c>
      <c r="S498" s="32">
        <f>IF($B498="","",COUNTIF(G498:N498,"Received"))</f>
        <v/>
      </c>
      <c r="T498" s="32">
        <f>IF($B498="","",COUNTIF(G498:N498,"Needs Correction"))</f>
        <v/>
      </c>
      <c r="U498" s="33">
        <f>IF($B498="","",IF($D498&lt;&gt;"Yes","",IF($Q498&gt;=Settings!$C$13,"None",MID(IF(AND(G498&lt;&gt;"Accepted",G498&lt;&gt;"Not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Confirmed",IF($Q499&gt;=Settings!$C$13,"Legalized",IF($P499&gt;=Settings!$C$12,"Registered",IF($O499&gt;0,"In Progress","Not Started"))))))</f>
        <v/>
      </c>
      <c r="S499" s="32">
        <f>IF($B499="","",COUNTIF(G499:N499,"Received"))</f>
        <v/>
      </c>
      <c r="T499" s="32">
        <f>IF($B499="","",COUNTIF(G499:N499,"Needs Correction"))</f>
        <v/>
      </c>
      <c r="U499" s="33">
        <f>IF($B499="","",IF($D499&lt;&gt;"Yes","",IF($Q499&gt;=Settings!$C$13,"None",MID(IF(AND(G499&lt;&gt;"Accepted",G499&lt;&gt;"Not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Confirmed",IF($Q500&gt;=Settings!$C$13,"Legalized",IF($P500&gt;=Settings!$C$12,"Registered",IF($O500&gt;0,"In Progress","Not Started"))))))</f>
        <v/>
      </c>
      <c r="S500" s="32">
        <f>IF($B500="","",COUNTIF(G500:N500,"Received"))</f>
        <v/>
      </c>
      <c r="T500" s="32">
        <f>IF($B500="","",COUNTIF(G500:N500,"Needs Correction"))</f>
        <v/>
      </c>
      <c r="U500" s="33">
        <f>IF($B500="","",IF($D500&lt;&gt;"Yes","",IF($Q500&gt;=Settings!$C$13,"None",MID(IF(AND(G500&lt;&gt;"Accepted",G500&lt;&gt;"Not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Confirmed",IF($Q501&gt;=Settings!$C$13,"Legalized",IF($P501&gt;=Settings!$C$12,"Registered",IF($O501&gt;0,"In Progress","Not Started"))))))</f>
        <v/>
      </c>
      <c r="S501" s="32">
        <f>IF($B501="","",COUNTIF(G501:N501,"Received"))</f>
        <v/>
      </c>
      <c r="T501" s="32">
        <f>IF($B501="","",COUNTIF(G501:N501,"Needs Correction"))</f>
        <v/>
      </c>
      <c r="U501" s="33">
        <f>IF($B501="","",IF($D501&lt;&gt;"Yes","",IF($Q501&gt;=Settings!$C$13,"None",MID(IF(AND(G501&lt;&gt;"Accepted",G501&lt;&gt;"Not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Confirmed",IF($Q502&gt;=Settings!$C$13,"Legalized",IF($P502&gt;=Settings!$C$12,"Registered",IF($O502&gt;0,"In Progress","Not Started"))))))</f>
        <v/>
      </c>
      <c r="S502" s="32">
        <f>IF($B502="","",COUNTIF(G502:N502,"Received"))</f>
        <v/>
      </c>
      <c r="T502" s="32">
        <f>IF($B502="","",COUNTIF(G502:N502,"Needs Correction"))</f>
        <v/>
      </c>
      <c r="U502" s="33">
        <f>IF($B502="","",IF($D502&lt;&gt;"Yes","",IF($Q502&gt;=Settings!$C$13,"None",MID(IF(AND(G502&lt;&gt;"Accepted",G502&lt;&gt;"Not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Confirmed",IF($Q503&gt;=Settings!$C$13,"Legalized",IF($P503&gt;=Settings!$C$12,"Registered",IF($O503&gt;0,"In Progress","Not Started"))))))</f>
        <v/>
      </c>
      <c r="S503" s="32">
        <f>IF($B503="","",COUNTIF(G503:N503,"Received"))</f>
        <v/>
      </c>
      <c r="T503" s="32">
        <f>IF($B503="","",COUNTIF(G503:N503,"Needs Correction"))</f>
        <v/>
      </c>
      <c r="U503" s="33">
        <f>IF($B503="","",IF($D503&lt;&gt;"Yes","",IF($Q503&gt;=Settings!$C$13,"None",MID(IF(AND(G503&lt;&gt;"Accepted",G503&lt;&gt;"Not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Confirmed",IF($Q504&gt;=Settings!$C$13,"Legalized",IF($P504&gt;=Settings!$C$12,"Registered",IF($O504&gt;0,"In Progress","Not Started"))))))</f>
        <v/>
      </c>
      <c r="S504" s="32">
        <f>IF($B504="","",COUNTIF(G504:N504,"Received"))</f>
        <v/>
      </c>
      <c r="T504" s="32">
        <f>IF($B504="","",COUNTIF(G504:N504,"Needs Correction"))</f>
        <v/>
      </c>
      <c r="U504" s="33">
        <f>IF($B504="","",IF($D504&lt;&gt;"Yes","",IF($Q504&gt;=Settings!$C$13,"None",MID(IF(AND(G504&lt;&gt;"Accepted",G504&lt;&gt;"Not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Confirmed",IF($Q505&gt;=Settings!$C$13,"Legalized",IF($P505&gt;=Settings!$C$12,"Registered",IF($O505&gt;0,"In Progress","Not Started"))))))</f>
        <v/>
      </c>
      <c r="S505" s="32">
        <f>IF($B505="","",COUNTIF(G505:N505,"Received"))</f>
        <v/>
      </c>
      <c r="T505" s="32">
        <f>IF($B505="","",COUNTIF(G505:N505,"Needs Correction"))</f>
        <v/>
      </c>
      <c r="U505" s="33">
        <f>IF($B505="","",IF($D505&lt;&gt;"Yes","",IF($Q505&gt;=Settings!$C$13,"None",MID(IF(AND(G505&lt;&gt;"Accepted",G505&lt;&gt;"Not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Confirmed",IF($Q506&gt;=Settings!$C$13,"Legalized",IF($P506&gt;=Settings!$C$12,"Registered",IF($O506&gt;0,"In Progress","Not Started"))))))</f>
        <v/>
      </c>
      <c r="S506" s="32">
        <f>IF($B506="","",COUNTIF(G506:N506,"Received"))</f>
        <v/>
      </c>
      <c r="T506" s="32">
        <f>IF($B506="","",COUNTIF(G506:N506,"Needs Correction"))</f>
        <v/>
      </c>
      <c r="U506" s="33">
        <f>IF($B506="","",IF($D506&lt;&gt;"Yes","",IF($Q506&gt;=Settings!$C$13,"None",MID(IF(AND(G506&lt;&gt;"Accepted",G506&lt;&gt;"Not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Confirmed",IF($Q507&gt;=Settings!$C$13,"Legalized",IF($P507&gt;=Settings!$C$12,"Registered",IF($O507&gt;0,"In Progress","Not Started"))))))</f>
        <v/>
      </c>
      <c r="S507" s="32">
        <f>IF($B507="","",COUNTIF(G507:N507,"Received"))</f>
        <v/>
      </c>
      <c r="T507" s="32">
        <f>IF($B507="","",COUNTIF(G507:N507,"Needs Correction"))</f>
        <v/>
      </c>
      <c r="U507" s="33">
        <f>IF($B507="","",IF($D507&lt;&gt;"Yes","",IF($Q507&gt;=Settings!$C$13,"None",MID(IF(AND(G507&lt;&gt;"Accepted",G507&lt;&gt;"Not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Confirmed",IF($Q508&gt;=Settings!$C$13,"Legalized",IF($P508&gt;=Settings!$C$12,"Registered",IF($O508&gt;0,"In Progress","Not Started"))))))</f>
        <v/>
      </c>
      <c r="S508" s="32">
        <f>IF($B508="","",COUNTIF(G508:N508,"Received"))</f>
        <v/>
      </c>
      <c r="T508" s="32">
        <f>IF($B508="","",COUNTIF(G508:N508,"Needs Correction"))</f>
        <v/>
      </c>
      <c r="U508" s="33">
        <f>IF($B508="","",IF($D508&lt;&gt;"Yes","",IF($Q508&gt;=Settings!$C$13,"None",MID(IF(AND(G508&lt;&gt;"Accepted",G508&lt;&gt;"Not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Confirmed",IF($Q509&gt;=Settings!$C$13,"Legalized",IF($P509&gt;=Settings!$C$12,"Registered",IF($O509&gt;0,"In Progress","Not Started"))))))</f>
        <v/>
      </c>
      <c r="S509" s="32">
        <f>IF($B509="","",COUNTIF(G509:N509,"Received"))</f>
        <v/>
      </c>
      <c r="T509" s="32">
        <f>IF($B509="","",COUNTIF(G509:N509,"Needs Correction"))</f>
        <v/>
      </c>
      <c r="U509" s="33">
        <f>IF($B509="","",IF($D509&lt;&gt;"Yes","",IF($Q509&gt;=Settings!$C$13,"None",MID(IF(AND(G509&lt;&gt;"Accepted",G509&lt;&gt;"Not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Confirmed",IF($Q510&gt;=Settings!$C$13,"Legalized",IF($P510&gt;=Settings!$C$12,"Registered",IF($O510&gt;0,"In Progress","Not Started"))))))</f>
        <v/>
      </c>
      <c r="S510" s="32">
        <f>IF($B510="","",COUNTIF(G510:N510,"Received"))</f>
        <v/>
      </c>
      <c r="T510" s="32">
        <f>IF($B510="","",COUNTIF(G510:N510,"Needs Correction"))</f>
        <v/>
      </c>
      <c r="U510" s="33">
        <f>IF($B510="","",IF($D510&lt;&gt;"Yes","",IF($Q510&gt;=Settings!$C$13,"None",MID(IF(AND(G510&lt;&gt;"Accepted",G510&lt;&gt;"Not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Confirmed",IF($Q511&gt;=Settings!$C$13,"Legalized",IF($P511&gt;=Settings!$C$12,"Registered",IF($O511&gt;0,"In Progress","Not Started"))))))</f>
        <v/>
      </c>
      <c r="S511" s="32">
        <f>IF($B511="","",COUNTIF(G511:N511,"Received"))</f>
        <v/>
      </c>
      <c r="T511" s="32">
        <f>IF($B511="","",COUNTIF(G511:N511,"Needs Correction"))</f>
        <v/>
      </c>
      <c r="U511" s="33">
        <f>IF($B511="","",IF($D511&lt;&gt;"Yes","",IF($Q511&gt;=Settings!$C$13,"None",MID(IF(AND(G511&lt;&gt;"Accepted",G511&lt;&gt;"Not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Confirmed",IF($Q512&gt;=Settings!$C$13,"Legalized",IF($P512&gt;=Settings!$C$12,"Registered",IF($O512&gt;0,"In Progress","Not Started"))))))</f>
        <v/>
      </c>
      <c r="S512" s="32">
        <f>IF($B512="","",COUNTIF(G512:N512,"Received"))</f>
        <v/>
      </c>
      <c r="T512" s="32">
        <f>IF($B512="","",COUNTIF(G512:N512,"Needs Correction"))</f>
        <v/>
      </c>
      <c r="U512" s="33">
        <f>IF($B512="","",IF($D512&lt;&gt;"Yes","",IF($Q512&gt;=Settings!$C$13,"None",MID(IF(AND(G512&lt;&gt;"Accepted",G512&lt;&gt;"Not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Confirmed",IF($Q513&gt;=Settings!$C$13,"Legalized",IF($P513&gt;=Settings!$C$12,"Registered",IF($O513&gt;0,"In Progress","Not Started"))))))</f>
        <v/>
      </c>
      <c r="S513" s="32">
        <f>IF($B513="","",COUNTIF(G513:N513,"Received"))</f>
        <v/>
      </c>
      <c r="T513" s="32">
        <f>IF($B513="","",COUNTIF(G513:N513,"Needs Correction"))</f>
        <v/>
      </c>
      <c r="U513" s="33">
        <f>IF($B513="","",IF($D513&lt;&gt;"Yes","",IF($Q513&gt;=Settings!$C$13,"None",MID(IF(AND(G513&lt;&gt;"Accepted",G513&lt;&gt;"Not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Confirmed",IF($Q514&gt;=Settings!$C$13,"Legalized",IF($P514&gt;=Settings!$C$12,"Registered",IF($O514&gt;0,"In Progress","Not Started"))))))</f>
        <v/>
      </c>
      <c r="S514" s="32">
        <f>IF($B514="","",COUNTIF(G514:N514,"Received"))</f>
        <v/>
      </c>
      <c r="T514" s="32">
        <f>IF($B514="","",COUNTIF(G514:N514,"Needs Correction"))</f>
        <v/>
      </c>
      <c r="U514" s="33">
        <f>IF($B514="","",IF($D514&lt;&gt;"Yes","",IF($Q514&gt;=Settings!$C$13,"None",MID(IF(AND(G514&lt;&gt;"Accepted",G514&lt;&gt;"Not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Confirmed",IF($Q515&gt;=Settings!$C$13,"Legalized",IF($P515&gt;=Settings!$C$12,"Registered",IF($O515&gt;0,"In Progress","Not Started"))))))</f>
        <v/>
      </c>
      <c r="S515" s="32">
        <f>IF($B515="","",COUNTIF(G515:N515,"Received"))</f>
        <v/>
      </c>
      <c r="T515" s="32">
        <f>IF($B515="","",COUNTIF(G515:N515,"Needs Correction"))</f>
        <v/>
      </c>
      <c r="U515" s="33">
        <f>IF($B515="","",IF($D515&lt;&gt;"Yes","",IF($Q515&gt;=Settings!$C$13,"None",MID(IF(AND(G515&lt;&gt;"Accepted",G515&lt;&gt;"Not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Confirmed",IF($Q516&gt;=Settings!$C$13,"Legalized",IF($P516&gt;=Settings!$C$12,"Registered",IF($O516&gt;0,"In Progress","Not Started"))))))</f>
        <v/>
      </c>
      <c r="S516" s="32">
        <f>IF($B516="","",COUNTIF(G516:N516,"Received"))</f>
        <v/>
      </c>
      <c r="T516" s="32">
        <f>IF($B516="","",COUNTIF(G516:N516,"Needs Correction"))</f>
        <v/>
      </c>
      <c r="U516" s="33">
        <f>IF($B516="","",IF($D516&lt;&gt;"Yes","",IF($Q516&gt;=Settings!$C$13,"None",MID(IF(AND(G516&lt;&gt;"Accepted",G516&lt;&gt;"Not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Confirmed",IF($Q517&gt;=Settings!$C$13,"Legalized",IF($P517&gt;=Settings!$C$12,"Registered",IF($O517&gt;0,"In Progress","Not Started"))))))</f>
        <v/>
      </c>
      <c r="S517" s="32">
        <f>IF($B517="","",COUNTIF(G517:N517,"Received"))</f>
        <v/>
      </c>
      <c r="T517" s="32">
        <f>IF($B517="","",COUNTIF(G517:N517,"Needs Correction"))</f>
        <v/>
      </c>
      <c r="U517" s="33">
        <f>IF($B517="","",IF($D517&lt;&gt;"Yes","",IF($Q517&gt;=Settings!$C$13,"None",MID(IF(AND(G517&lt;&gt;"Accepted",G517&lt;&gt;"Not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Confirmed",IF($Q518&gt;=Settings!$C$13,"Legalized",IF($P518&gt;=Settings!$C$12,"Registered",IF($O518&gt;0,"In Progress","Not Started"))))))</f>
        <v/>
      </c>
      <c r="S518" s="32">
        <f>IF($B518="","",COUNTIF(G518:N518,"Received"))</f>
        <v/>
      </c>
      <c r="T518" s="32">
        <f>IF($B518="","",COUNTIF(G518:N518,"Needs Correction"))</f>
        <v/>
      </c>
      <c r="U518" s="33">
        <f>IF($B518="","",IF($D518&lt;&gt;"Yes","",IF($Q518&gt;=Settings!$C$13,"None",MID(IF(AND(G518&lt;&gt;"Accepted",G518&lt;&gt;"Not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Confirmed",IF($Q519&gt;=Settings!$C$13,"Legalized",IF($P519&gt;=Settings!$C$12,"Registered",IF($O519&gt;0,"In Progress","Not Started"))))))</f>
        <v/>
      </c>
      <c r="S519" s="32">
        <f>IF($B519="","",COUNTIF(G519:N519,"Received"))</f>
        <v/>
      </c>
      <c r="T519" s="32">
        <f>IF($B519="","",COUNTIF(G519:N519,"Needs Correction"))</f>
        <v/>
      </c>
      <c r="U519" s="33">
        <f>IF($B519="","",IF($D519&lt;&gt;"Yes","",IF($Q519&gt;=Settings!$C$13,"None",MID(IF(AND(G519&lt;&gt;"Accepted",G519&lt;&gt;"Not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Confirmed",IF($Q520&gt;=Settings!$C$13,"Legalized",IF($P520&gt;=Settings!$C$12,"Registered",IF($O520&gt;0,"In Progress","Not Started"))))))</f>
        <v/>
      </c>
      <c r="S520" s="32">
        <f>IF($B520="","",COUNTIF(G520:N520,"Received"))</f>
        <v/>
      </c>
      <c r="T520" s="32">
        <f>IF($B520="","",COUNTIF(G520:N520,"Needs Correction"))</f>
        <v/>
      </c>
      <c r="U520" s="33">
        <f>IF($B520="","",IF($D520&lt;&gt;"Yes","",IF($Q520&gt;=Settings!$C$13,"None",MID(IF(AND(G520&lt;&gt;"Accepted",G520&lt;&gt;"Not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Confirmed",IF($Q521&gt;=Settings!$C$13,"Legalized",IF($P521&gt;=Settings!$C$12,"Registered",IF($O521&gt;0,"In Progress","Not Started"))))))</f>
        <v/>
      </c>
      <c r="S521" s="32">
        <f>IF($B521="","",COUNTIF(G521:N521,"Received"))</f>
        <v/>
      </c>
      <c r="T521" s="32">
        <f>IF($B521="","",COUNTIF(G521:N521,"Needs Correction"))</f>
        <v/>
      </c>
      <c r="U521" s="33">
        <f>IF($B521="","",IF($D521&lt;&gt;"Yes","",IF($Q521&gt;=Settings!$C$13,"None",MID(IF(AND(G521&lt;&gt;"Accepted",G521&lt;&gt;"Not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Confirmed",IF($Q522&gt;=Settings!$C$13,"Legalized",IF($P522&gt;=Settings!$C$12,"Registered",IF($O522&gt;0,"In Progress","Not Started"))))))</f>
        <v/>
      </c>
      <c r="S522" s="32">
        <f>IF($B522="","",COUNTIF(G522:N522,"Received"))</f>
        <v/>
      </c>
      <c r="T522" s="32">
        <f>IF($B522="","",COUNTIF(G522:N522,"Needs Correction"))</f>
        <v/>
      </c>
      <c r="U522" s="33">
        <f>IF($B522="","",IF($D522&lt;&gt;"Yes","",IF($Q522&gt;=Settings!$C$13,"None",MID(IF(AND(G522&lt;&gt;"Accepted",G522&lt;&gt;"Not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Confirmed",IF($Q523&gt;=Settings!$C$13,"Legalized",IF($P523&gt;=Settings!$C$12,"Registered",IF($O523&gt;0,"In Progress","Not Started"))))))</f>
        <v/>
      </c>
      <c r="S523" s="32">
        <f>IF($B523="","",COUNTIF(G523:N523,"Received"))</f>
        <v/>
      </c>
      <c r="T523" s="32">
        <f>IF($B523="","",COUNTIF(G523:N523,"Needs Correction"))</f>
        <v/>
      </c>
      <c r="U523" s="33">
        <f>IF($B523="","",IF($D523&lt;&gt;"Yes","",IF($Q523&gt;=Settings!$C$13,"None",MID(IF(AND(G523&lt;&gt;"Accepted",G523&lt;&gt;"Not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Confirmed",IF($Q524&gt;=Settings!$C$13,"Legalized",IF($P524&gt;=Settings!$C$12,"Registered",IF($O524&gt;0,"In Progress","Not Started"))))))</f>
        <v/>
      </c>
      <c r="S524" s="32">
        <f>IF($B524="","",COUNTIF(G524:N524,"Received"))</f>
        <v/>
      </c>
      <c r="T524" s="32">
        <f>IF($B524="","",COUNTIF(G524:N524,"Needs Correction"))</f>
        <v/>
      </c>
      <c r="U524" s="33">
        <f>IF($B524="","",IF($D524&lt;&gt;"Yes","",IF($Q524&gt;=Settings!$C$13,"None",MID(IF(AND(G524&lt;&gt;"Accepted",G524&lt;&gt;"Not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Confirmed",IF($Q525&gt;=Settings!$C$13,"Legalized",IF($P525&gt;=Settings!$C$12,"Registered",IF($O525&gt;0,"In Progress","Not Started"))))))</f>
        <v/>
      </c>
      <c r="S525" s="32">
        <f>IF($B525="","",COUNTIF(G525:N525,"Received"))</f>
        <v/>
      </c>
      <c r="T525" s="32">
        <f>IF($B525="","",COUNTIF(G525:N525,"Needs Correction"))</f>
        <v/>
      </c>
      <c r="U525" s="33">
        <f>IF($B525="","",IF($D525&lt;&gt;"Yes","",IF($Q525&gt;=Settings!$C$13,"None",MID(IF(AND(G525&lt;&gt;"Accepted",G525&lt;&gt;"Not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Confirmed",IF($Q526&gt;=Settings!$C$13,"Legalized",IF($P526&gt;=Settings!$C$12,"Registered",IF($O526&gt;0,"In Progress","Not Started"))))))</f>
        <v/>
      </c>
      <c r="S526" s="32">
        <f>IF($B526="","",COUNTIF(G526:N526,"Received"))</f>
        <v/>
      </c>
      <c r="T526" s="32">
        <f>IF($B526="","",COUNTIF(G526:N526,"Needs Correction"))</f>
        <v/>
      </c>
      <c r="U526" s="33">
        <f>IF($B526="","",IF($D526&lt;&gt;"Yes","",IF($Q526&gt;=Settings!$C$13,"None",MID(IF(AND(G526&lt;&gt;"Accepted",G526&lt;&gt;"Not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Confirmed",IF($Q527&gt;=Settings!$C$13,"Legalized",IF($P527&gt;=Settings!$C$12,"Registered",IF($O527&gt;0,"In Progress","Not Started"))))))</f>
        <v/>
      </c>
      <c r="S527" s="32">
        <f>IF($B527="","",COUNTIF(G527:N527,"Received"))</f>
        <v/>
      </c>
      <c r="T527" s="32">
        <f>IF($B527="","",COUNTIF(G527:N527,"Needs Correction"))</f>
        <v/>
      </c>
      <c r="U527" s="33">
        <f>IF($B527="","",IF($D527&lt;&gt;"Yes","",IF($Q527&gt;=Settings!$C$13,"None",MID(IF(AND(G527&lt;&gt;"Accepted",G527&lt;&gt;"Not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Confirmed",IF($Q528&gt;=Settings!$C$13,"Legalized",IF($P528&gt;=Settings!$C$12,"Registered",IF($O528&gt;0,"In Progress","Not Started"))))))</f>
        <v/>
      </c>
      <c r="S528" s="32">
        <f>IF($B528="","",COUNTIF(G528:N528,"Received"))</f>
        <v/>
      </c>
      <c r="T528" s="32">
        <f>IF($B528="","",COUNTIF(G528:N528,"Needs Correction"))</f>
        <v/>
      </c>
      <c r="U528" s="33">
        <f>IF($B528="","",IF($D528&lt;&gt;"Yes","",IF($Q528&gt;=Settings!$C$13,"None",MID(IF(AND(G528&lt;&gt;"Accepted",G528&lt;&gt;"Not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Confirmed",IF($Q529&gt;=Settings!$C$13,"Legalized",IF($P529&gt;=Settings!$C$12,"Registered",IF($O529&gt;0,"In Progress","Not Started"))))))</f>
        <v/>
      </c>
      <c r="S529" s="32">
        <f>IF($B529="","",COUNTIF(G529:N529,"Received"))</f>
        <v/>
      </c>
      <c r="T529" s="32">
        <f>IF($B529="","",COUNTIF(G529:N529,"Needs Correction"))</f>
        <v/>
      </c>
      <c r="U529" s="33">
        <f>IF($B529="","",IF($D529&lt;&gt;"Yes","",IF($Q529&gt;=Settings!$C$13,"None",MID(IF(AND(G529&lt;&gt;"Accepted",G529&lt;&gt;"Not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Confirmed",IF($Q530&gt;=Settings!$C$13,"Legalized",IF($P530&gt;=Settings!$C$12,"Registered",IF($O530&gt;0,"In Progress","Not Started"))))))</f>
        <v/>
      </c>
      <c r="S530" s="32">
        <f>IF($B530="","",COUNTIF(G530:N530,"Received"))</f>
        <v/>
      </c>
      <c r="T530" s="32">
        <f>IF($B530="","",COUNTIF(G530:N530,"Needs Correction"))</f>
        <v/>
      </c>
      <c r="U530" s="33">
        <f>IF($B530="","",IF($D530&lt;&gt;"Yes","",IF($Q530&gt;=Settings!$C$13,"None",MID(IF(AND(G530&lt;&gt;"Accepted",G530&lt;&gt;"Not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Confirmed",IF($Q531&gt;=Settings!$C$13,"Legalized",IF($P531&gt;=Settings!$C$12,"Registered",IF($O531&gt;0,"In Progress","Not Started"))))))</f>
        <v/>
      </c>
      <c r="S531" s="32">
        <f>IF($B531="","",COUNTIF(G531:N531,"Received"))</f>
        <v/>
      </c>
      <c r="T531" s="32">
        <f>IF($B531="","",COUNTIF(G531:N531,"Needs Correction"))</f>
        <v/>
      </c>
      <c r="U531" s="33">
        <f>IF($B531="","",IF($D531&lt;&gt;"Yes","",IF($Q531&gt;=Settings!$C$13,"None",MID(IF(AND(G531&lt;&gt;"Accepted",G531&lt;&gt;"Not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Confirmed",IF($Q532&gt;=Settings!$C$13,"Legalized",IF($P532&gt;=Settings!$C$12,"Registered",IF($O532&gt;0,"In Progress","Not Started"))))))</f>
        <v/>
      </c>
      <c r="S532" s="32">
        <f>IF($B532="","",COUNTIF(G532:N532,"Received"))</f>
        <v/>
      </c>
      <c r="T532" s="32">
        <f>IF($B532="","",COUNTIF(G532:N532,"Needs Correction"))</f>
        <v/>
      </c>
      <c r="U532" s="33">
        <f>IF($B532="","",IF($D532&lt;&gt;"Yes","",IF($Q532&gt;=Settings!$C$13,"None",MID(IF(AND(G532&lt;&gt;"Accepted",G532&lt;&gt;"Not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Confirmed",IF($Q533&gt;=Settings!$C$13,"Legalized",IF($P533&gt;=Settings!$C$12,"Registered",IF($O533&gt;0,"In Progress","Not Started"))))))</f>
        <v/>
      </c>
      <c r="S533" s="32">
        <f>IF($B533="","",COUNTIF(G533:N533,"Received"))</f>
        <v/>
      </c>
      <c r="T533" s="32">
        <f>IF($B533="","",COUNTIF(G533:N533,"Needs Correction"))</f>
        <v/>
      </c>
      <c r="U533" s="33">
        <f>IF($B533="","",IF($D533&lt;&gt;"Yes","",IF($Q533&gt;=Settings!$C$13,"None",MID(IF(AND(G533&lt;&gt;"Accepted",G533&lt;&gt;"Not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Confirmed",IF($Q534&gt;=Settings!$C$13,"Legalized",IF($P534&gt;=Settings!$C$12,"Registered",IF($O534&gt;0,"In Progress","Not Started"))))))</f>
        <v/>
      </c>
      <c r="S534" s="32">
        <f>IF($B534="","",COUNTIF(G534:N534,"Received"))</f>
        <v/>
      </c>
      <c r="T534" s="32">
        <f>IF($B534="","",COUNTIF(G534:N534,"Needs Correction"))</f>
        <v/>
      </c>
      <c r="U534" s="33">
        <f>IF($B534="","",IF($D534&lt;&gt;"Yes","",IF($Q534&gt;=Settings!$C$13,"None",MID(IF(AND(G534&lt;&gt;"Accepted",G534&lt;&gt;"Not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Confirmed",IF($Q535&gt;=Settings!$C$13,"Legalized",IF($P535&gt;=Settings!$C$12,"Registered",IF($O535&gt;0,"In Progress","Not Started"))))))</f>
        <v/>
      </c>
      <c r="S535" s="32">
        <f>IF($B535="","",COUNTIF(G535:N535,"Received"))</f>
        <v/>
      </c>
      <c r="T535" s="32">
        <f>IF($B535="","",COUNTIF(G535:N535,"Needs Correction"))</f>
        <v/>
      </c>
      <c r="U535" s="33">
        <f>IF($B535="","",IF($D535&lt;&gt;"Yes","",IF($Q535&gt;=Settings!$C$13,"None",MID(IF(AND(G535&lt;&gt;"Accepted",G535&lt;&gt;"Not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Confirmed",IF($Q536&gt;=Settings!$C$13,"Legalized",IF($P536&gt;=Settings!$C$12,"Registered",IF($O536&gt;0,"In Progress","Not Started"))))))</f>
        <v/>
      </c>
      <c r="S536" s="32">
        <f>IF($B536="","",COUNTIF(G536:N536,"Received"))</f>
        <v/>
      </c>
      <c r="T536" s="32">
        <f>IF($B536="","",COUNTIF(G536:N536,"Needs Correction"))</f>
        <v/>
      </c>
      <c r="U536" s="33">
        <f>IF($B536="","",IF($D536&lt;&gt;"Yes","",IF($Q536&gt;=Settings!$C$13,"None",MID(IF(AND(G536&lt;&gt;"Accepted",G536&lt;&gt;"Not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Confirmed",IF($Q537&gt;=Settings!$C$13,"Legalized",IF($P537&gt;=Settings!$C$12,"Registered",IF($O537&gt;0,"In Progress","Not Started"))))))</f>
        <v/>
      </c>
      <c r="S537" s="32">
        <f>IF($B537="","",COUNTIF(G537:N537,"Received"))</f>
        <v/>
      </c>
      <c r="T537" s="32">
        <f>IF($B537="","",COUNTIF(G537:N537,"Needs Correction"))</f>
        <v/>
      </c>
      <c r="U537" s="33">
        <f>IF($B537="","",IF($D537&lt;&gt;"Yes","",IF($Q537&gt;=Settings!$C$13,"None",MID(IF(AND(G537&lt;&gt;"Accepted",G537&lt;&gt;"Not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Confirmed",IF($Q538&gt;=Settings!$C$13,"Legalized",IF($P538&gt;=Settings!$C$12,"Registered",IF($O538&gt;0,"In Progress","Not Started"))))))</f>
        <v/>
      </c>
      <c r="S538" s="32">
        <f>IF($B538="","",COUNTIF(G538:N538,"Received"))</f>
        <v/>
      </c>
      <c r="T538" s="32">
        <f>IF($B538="","",COUNTIF(G538:N538,"Needs Correction"))</f>
        <v/>
      </c>
      <c r="U538" s="33">
        <f>IF($B538="","",IF($D538&lt;&gt;"Yes","",IF($Q538&gt;=Settings!$C$13,"None",MID(IF(AND(G538&lt;&gt;"Accepted",G538&lt;&gt;"Not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Confirmed",IF($Q539&gt;=Settings!$C$13,"Legalized",IF($P539&gt;=Settings!$C$12,"Registered",IF($O539&gt;0,"In Progress","Not Started"))))))</f>
        <v/>
      </c>
      <c r="S539" s="32">
        <f>IF($B539="","",COUNTIF(G539:N539,"Received"))</f>
        <v/>
      </c>
      <c r="T539" s="32">
        <f>IF($B539="","",COUNTIF(G539:N539,"Needs Correction"))</f>
        <v/>
      </c>
      <c r="U539" s="33">
        <f>IF($B539="","",IF($D539&lt;&gt;"Yes","",IF($Q539&gt;=Settings!$C$13,"None",MID(IF(AND(G539&lt;&gt;"Accepted",G539&lt;&gt;"Not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Confirmed",IF($Q540&gt;=Settings!$C$13,"Legalized",IF($P540&gt;=Settings!$C$12,"Registered",IF($O540&gt;0,"In Progress","Not Started"))))))</f>
        <v/>
      </c>
      <c r="S540" s="32">
        <f>IF($B540="","",COUNTIF(G540:N540,"Received"))</f>
        <v/>
      </c>
      <c r="T540" s="32">
        <f>IF($B540="","",COUNTIF(G540:N540,"Needs Correction"))</f>
        <v/>
      </c>
      <c r="U540" s="33">
        <f>IF($B540="","",IF($D540&lt;&gt;"Yes","",IF($Q540&gt;=Settings!$C$13,"None",MID(IF(AND(G540&lt;&gt;"Accepted",G540&lt;&gt;"Not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Confirmed",IF($Q541&gt;=Settings!$C$13,"Legalized",IF($P541&gt;=Settings!$C$12,"Registered",IF($O541&gt;0,"In Progress","Not Started"))))))</f>
        <v/>
      </c>
      <c r="S541" s="32">
        <f>IF($B541="","",COUNTIF(G541:N541,"Received"))</f>
        <v/>
      </c>
      <c r="T541" s="32">
        <f>IF($B541="","",COUNTIF(G541:N541,"Needs Correction"))</f>
        <v/>
      </c>
      <c r="U541" s="33">
        <f>IF($B541="","",IF($D541&lt;&gt;"Yes","",IF($Q541&gt;=Settings!$C$13,"None",MID(IF(AND(G541&lt;&gt;"Accepted",G541&lt;&gt;"Not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Confirmed",IF($Q542&gt;=Settings!$C$13,"Legalized",IF($P542&gt;=Settings!$C$12,"Registered",IF($O542&gt;0,"In Progress","Not Started"))))))</f>
        <v/>
      </c>
      <c r="S542" s="32">
        <f>IF($B542="","",COUNTIF(G542:N542,"Received"))</f>
        <v/>
      </c>
      <c r="T542" s="32">
        <f>IF($B542="","",COUNTIF(G542:N542,"Needs Correction"))</f>
        <v/>
      </c>
      <c r="U542" s="33">
        <f>IF($B542="","",IF($D542&lt;&gt;"Yes","",IF($Q542&gt;=Settings!$C$13,"None",MID(IF(AND(G542&lt;&gt;"Accepted",G542&lt;&gt;"Not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Confirmed",IF($Q543&gt;=Settings!$C$13,"Legalized",IF($P543&gt;=Settings!$C$12,"Registered",IF($O543&gt;0,"In Progress","Not Started"))))))</f>
        <v/>
      </c>
      <c r="S543" s="32">
        <f>IF($B543="","",COUNTIF(G543:N543,"Received"))</f>
        <v/>
      </c>
      <c r="T543" s="32">
        <f>IF($B543="","",COUNTIF(G543:N543,"Needs Correction"))</f>
        <v/>
      </c>
      <c r="U543" s="33">
        <f>IF($B543="","",IF($D543&lt;&gt;"Yes","",IF($Q543&gt;=Settings!$C$13,"None",MID(IF(AND(G543&lt;&gt;"Accepted",G543&lt;&gt;"Not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Confirmed",IF($Q544&gt;=Settings!$C$13,"Legalized",IF($P544&gt;=Settings!$C$12,"Registered",IF($O544&gt;0,"In Progress","Not Started"))))))</f>
        <v/>
      </c>
      <c r="S544" s="32">
        <f>IF($B544="","",COUNTIF(G544:N544,"Received"))</f>
        <v/>
      </c>
      <c r="T544" s="32">
        <f>IF($B544="","",COUNTIF(G544:N544,"Needs Correction"))</f>
        <v/>
      </c>
      <c r="U544" s="33">
        <f>IF($B544="","",IF($D544&lt;&gt;"Yes","",IF($Q544&gt;=Settings!$C$13,"None",MID(IF(AND(G544&lt;&gt;"Accepted",G544&lt;&gt;"Not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Confirmed",IF($Q545&gt;=Settings!$C$13,"Legalized",IF($P545&gt;=Settings!$C$12,"Registered",IF($O545&gt;0,"In Progress","Not Started"))))))</f>
        <v/>
      </c>
      <c r="S545" s="32">
        <f>IF($B545="","",COUNTIF(G545:N545,"Received"))</f>
        <v/>
      </c>
      <c r="T545" s="32">
        <f>IF($B545="","",COUNTIF(G545:N545,"Needs Correction"))</f>
        <v/>
      </c>
      <c r="U545" s="33">
        <f>IF($B545="","",IF($D545&lt;&gt;"Yes","",IF($Q545&gt;=Settings!$C$13,"None",MID(IF(AND(G545&lt;&gt;"Accepted",G545&lt;&gt;"Not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Confirmed",IF($Q546&gt;=Settings!$C$13,"Legalized",IF($P546&gt;=Settings!$C$12,"Registered",IF($O546&gt;0,"In Progress","Not Started"))))))</f>
        <v/>
      </c>
      <c r="S546" s="32">
        <f>IF($B546="","",COUNTIF(G546:N546,"Received"))</f>
        <v/>
      </c>
      <c r="T546" s="32">
        <f>IF($B546="","",COUNTIF(G546:N546,"Needs Correction"))</f>
        <v/>
      </c>
      <c r="U546" s="33">
        <f>IF($B546="","",IF($D546&lt;&gt;"Yes","",IF($Q546&gt;=Settings!$C$13,"None",MID(IF(AND(G546&lt;&gt;"Accepted",G546&lt;&gt;"Not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Confirmed",IF($Q547&gt;=Settings!$C$13,"Legalized",IF($P547&gt;=Settings!$C$12,"Registered",IF($O547&gt;0,"In Progress","Not Started"))))))</f>
        <v/>
      </c>
      <c r="S547" s="32">
        <f>IF($B547="","",COUNTIF(G547:N547,"Received"))</f>
        <v/>
      </c>
      <c r="T547" s="32">
        <f>IF($B547="","",COUNTIF(G547:N547,"Needs Correction"))</f>
        <v/>
      </c>
      <c r="U547" s="33">
        <f>IF($B547="","",IF($D547&lt;&gt;"Yes","",IF($Q547&gt;=Settings!$C$13,"None",MID(IF(AND(G547&lt;&gt;"Accepted",G547&lt;&gt;"Not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Confirmed",IF($Q548&gt;=Settings!$C$13,"Legalized",IF($P548&gt;=Settings!$C$12,"Registered",IF($O548&gt;0,"In Progress","Not Started"))))))</f>
        <v/>
      </c>
      <c r="S548" s="32">
        <f>IF($B548="","",COUNTIF(G548:N548,"Received"))</f>
        <v/>
      </c>
      <c r="T548" s="32">
        <f>IF($B548="","",COUNTIF(G548:N548,"Needs Correction"))</f>
        <v/>
      </c>
      <c r="U548" s="33">
        <f>IF($B548="","",IF($D548&lt;&gt;"Yes","",IF($Q548&gt;=Settings!$C$13,"None",MID(IF(AND(G548&lt;&gt;"Accepted",G548&lt;&gt;"Not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Confirmed",IF($Q549&gt;=Settings!$C$13,"Legalized",IF($P549&gt;=Settings!$C$12,"Registered",IF($O549&gt;0,"In Progress","Not Started"))))))</f>
        <v/>
      </c>
      <c r="S549" s="32">
        <f>IF($B549="","",COUNTIF(G549:N549,"Received"))</f>
        <v/>
      </c>
      <c r="T549" s="32">
        <f>IF($B549="","",COUNTIF(G549:N549,"Needs Correction"))</f>
        <v/>
      </c>
      <c r="U549" s="33">
        <f>IF($B549="","",IF($D549&lt;&gt;"Yes","",IF($Q549&gt;=Settings!$C$13,"None",MID(IF(AND(G549&lt;&gt;"Accepted",G549&lt;&gt;"Not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Confirmed",IF($Q550&gt;=Settings!$C$13,"Legalized",IF($P550&gt;=Settings!$C$12,"Registered",IF($O550&gt;0,"In Progress","Not Started"))))))</f>
        <v/>
      </c>
      <c r="S550" s="32">
        <f>IF($B550="","",COUNTIF(G550:N550,"Received"))</f>
        <v/>
      </c>
      <c r="T550" s="32">
        <f>IF($B550="","",COUNTIF(G550:N550,"Needs Correction"))</f>
        <v/>
      </c>
      <c r="U550" s="33">
        <f>IF($B550="","",IF($D550&lt;&gt;"Yes","",IF($Q550&gt;=Settings!$C$13,"None",MID(IF(AND(G550&lt;&gt;"Accepted",G550&lt;&gt;"Not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Confirmed",IF($Q551&gt;=Settings!$C$13,"Legalized",IF($P551&gt;=Settings!$C$12,"Registered",IF($O551&gt;0,"In Progress","Not Started"))))))</f>
        <v/>
      </c>
      <c r="S551" s="32">
        <f>IF($B551="","",COUNTIF(G551:N551,"Received"))</f>
        <v/>
      </c>
      <c r="T551" s="32">
        <f>IF($B551="","",COUNTIF(G551:N551,"Needs Correction"))</f>
        <v/>
      </c>
      <c r="U551" s="33">
        <f>IF($B551="","",IF($D551&lt;&gt;"Yes","",IF($Q551&gt;=Settings!$C$13,"None",MID(IF(AND(G551&lt;&gt;"Accepted",G551&lt;&gt;"Not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Confirmed",IF($Q552&gt;=Settings!$C$13,"Legalized",IF($P552&gt;=Settings!$C$12,"Registered",IF($O552&gt;0,"In Progress","Not Started"))))))</f>
        <v/>
      </c>
      <c r="S552" s="32">
        <f>IF($B552="","",COUNTIF(G552:N552,"Received"))</f>
        <v/>
      </c>
      <c r="T552" s="32">
        <f>IF($B552="","",COUNTIF(G552:N552,"Needs Correction"))</f>
        <v/>
      </c>
      <c r="U552" s="33">
        <f>IF($B552="","",IF($D552&lt;&gt;"Yes","",IF($Q552&gt;=Settings!$C$13,"None",MID(IF(AND(G552&lt;&gt;"Accepted",G552&lt;&gt;"Not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Confirmed",IF($Q553&gt;=Settings!$C$13,"Legalized",IF($P553&gt;=Settings!$C$12,"Registered",IF($O553&gt;0,"In Progress","Not Started"))))))</f>
        <v/>
      </c>
      <c r="S553" s="32">
        <f>IF($B553="","",COUNTIF(G553:N553,"Received"))</f>
        <v/>
      </c>
      <c r="T553" s="32">
        <f>IF($B553="","",COUNTIF(G553:N553,"Needs Correction"))</f>
        <v/>
      </c>
      <c r="U553" s="33">
        <f>IF($B553="","",IF($D553&lt;&gt;"Yes","",IF($Q553&gt;=Settings!$C$13,"None",MID(IF(AND(G553&lt;&gt;"Accepted",G553&lt;&gt;"Not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Confirmed",IF($Q554&gt;=Settings!$C$13,"Legalized",IF($P554&gt;=Settings!$C$12,"Registered",IF($O554&gt;0,"In Progress","Not Started"))))))</f>
        <v/>
      </c>
      <c r="S554" s="32">
        <f>IF($B554="","",COUNTIF(G554:N554,"Received"))</f>
        <v/>
      </c>
      <c r="T554" s="32">
        <f>IF($B554="","",COUNTIF(G554:N554,"Needs Correction"))</f>
        <v/>
      </c>
      <c r="U554" s="33">
        <f>IF($B554="","",IF($D554&lt;&gt;"Yes","",IF($Q554&gt;=Settings!$C$13,"None",MID(IF(AND(G554&lt;&gt;"Accepted",G554&lt;&gt;"Not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Confirmed",IF($Q555&gt;=Settings!$C$13,"Legalized",IF($P555&gt;=Settings!$C$12,"Registered",IF($O555&gt;0,"In Progress","Not Started"))))))</f>
        <v/>
      </c>
      <c r="S555" s="32">
        <f>IF($B555="","",COUNTIF(G555:N555,"Received"))</f>
        <v/>
      </c>
      <c r="T555" s="32">
        <f>IF($B555="","",COUNTIF(G555:N555,"Needs Correction"))</f>
        <v/>
      </c>
      <c r="U555" s="33">
        <f>IF($B555="","",IF($D555&lt;&gt;"Yes","",IF($Q555&gt;=Settings!$C$13,"None",MID(IF(AND(G555&lt;&gt;"Accepted",G555&lt;&gt;"Not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Confirmed",IF($Q556&gt;=Settings!$C$13,"Legalized",IF($P556&gt;=Settings!$C$12,"Registered",IF($O556&gt;0,"In Progress","Not Started"))))))</f>
        <v/>
      </c>
      <c r="S556" s="32">
        <f>IF($B556="","",COUNTIF(G556:N556,"Received"))</f>
        <v/>
      </c>
      <c r="T556" s="32">
        <f>IF($B556="","",COUNTIF(G556:N556,"Needs Correction"))</f>
        <v/>
      </c>
      <c r="U556" s="33">
        <f>IF($B556="","",IF($D556&lt;&gt;"Yes","",IF($Q556&gt;=Settings!$C$13,"None",MID(IF(AND(G556&lt;&gt;"Accepted",G556&lt;&gt;"Not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Confirmed",IF($Q557&gt;=Settings!$C$13,"Legalized",IF($P557&gt;=Settings!$C$12,"Registered",IF($O557&gt;0,"In Progress","Not Started"))))))</f>
        <v/>
      </c>
      <c r="S557" s="32">
        <f>IF($B557="","",COUNTIF(G557:N557,"Received"))</f>
        <v/>
      </c>
      <c r="T557" s="32">
        <f>IF($B557="","",COUNTIF(G557:N557,"Needs Correction"))</f>
        <v/>
      </c>
      <c r="U557" s="33">
        <f>IF($B557="","",IF($D557&lt;&gt;"Yes","",IF($Q557&gt;=Settings!$C$13,"None",MID(IF(AND(G557&lt;&gt;"Accepted",G557&lt;&gt;"Not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Confirmed",IF($Q558&gt;=Settings!$C$13,"Legalized",IF($P558&gt;=Settings!$C$12,"Registered",IF($O558&gt;0,"In Progress","Not Started"))))))</f>
        <v/>
      </c>
      <c r="S558" s="32">
        <f>IF($B558="","",COUNTIF(G558:N558,"Received"))</f>
        <v/>
      </c>
      <c r="T558" s="32">
        <f>IF($B558="","",COUNTIF(G558:N558,"Needs Correction"))</f>
        <v/>
      </c>
      <c r="U558" s="33">
        <f>IF($B558="","",IF($D558&lt;&gt;"Yes","",IF($Q558&gt;=Settings!$C$13,"None",MID(IF(AND(G558&lt;&gt;"Accepted",G558&lt;&gt;"Not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Confirmed",IF($Q559&gt;=Settings!$C$13,"Legalized",IF($P559&gt;=Settings!$C$12,"Registered",IF($O559&gt;0,"In Progress","Not Started"))))))</f>
        <v/>
      </c>
      <c r="S559" s="32">
        <f>IF($B559="","",COUNTIF(G559:N559,"Received"))</f>
        <v/>
      </c>
      <c r="T559" s="32">
        <f>IF($B559="","",COUNTIF(G559:N559,"Needs Correction"))</f>
        <v/>
      </c>
      <c r="U559" s="33">
        <f>IF($B559="","",IF($D559&lt;&gt;"Yes","",IF($Q559&gt;=Settings!$C$13,"None",MID(IF(AND(G559&lt;&gt;"Accepted",G559&lt;&gt;"Not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Confirmed",IF($Q560&gt;=Settings!$C$13,"Legalized",IF($P560&gt;=Settings!$C$12,"Registered",IF($O560&gt;0,"In Progress","Not Started"))))))</f>
        <v/>
      </c>
      <c r="S560" s="32">
        <f>IF($B560="","",COUNTIF(G560:N560,"Received"))</f>
        <v/>
      </c>
      <c r="T560" s="32">
        <f>IF($B560="","",COUNTIF(G560:N560,"Needs Correction"))</f>
        <v/>
      </c>
      <c r="U560" s="33">
        <f>IF($B560="","",IF($D560&lt;&gt;"Yes","",IF($Q560&gt;=Settings!$C$13,"None",MID(IF(AND(G560&lt;&gt;"Accepted",G560&lt;&gt;"Not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Confirmed",IF($Q561&gt;=Settings!$C$13,"Legalized",IF($P561&gt;=Settings!$C$12,"Registered",IF($O561&gt;0,"In Progress","Not Started"))))))</f>
        <v/>
      </c>
      <c r="S561" s="32">
        <f>IF($B561="","",COUNTIF(G561:N561,"Received"))</f>
        <v/>
      </c>
      <c r="T561" s="32">
        <f>IF($B561="","",COUNTIF(G561:N561,"Needs Correction"))</f>
        <v/>
      </c>
      <c r="U561" s="33">
        <f>IF($B561="","",IF($D561&lt;&gt;"Yes","",IF($Q561&gt;=Settings!$C$13,"None",MID(IF(AND(G561&lt;&gt;"Accepted",G561&lt;&gt;"Not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Confirmed",IF($Q562&gt;=Settings!$C$13,"Legalized",IF($P562&gt;=Settings!$C$12,"Registered",IF($O562&gt;0,"In Progress","Not Started"))))))</f>
        <v/>
      </c>
      <c r="S562" s="32">
        <f>IF($B562="","",COUNTIF(G562:N562,"Received"))</f>
        <v/>
      </c>
      <c r="T562" s="32">
        <f>IF($B562="","",COUNTIF(G562:N562,"Needs Correction"))</f>
        <v/>
      </c>
      <c r="U562" s="33">
        <f>IF($B562="","",IF($D562&lt;&gt;"Yes","",IF($Q562&gt;=Settings!$C$13,"None",MID(IF(AND(G562&lt;&gt;"Accepted",G562&lt;&gt;"Not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Confirmed",IF($Q563&gt;=Settings!$C$13,"Legalized",IF($P563&gt;=Settings!$C$12,"Registered",IF($O563&gt;0,"In Progress","Not Started"))))))</f>
        <v/>
      </c>
      <c r="S563" s="32">
        <f>IF($B563="","",COUNTIF(G563:N563,"Received"))</f>
        <v/>
      </c>
      <c r="T563" s="32">
        <f>IF($B563="","",COUNTIF(G563:N563,"Needs Correction"))</f>
        <v/>
      </c>
      <c r="U563" s="33">
        <f>IF($B563="","",IF($D563&lt;&gt;"Yes","",IF($Q563&gt;=Settings!$C$13,"None",MID(IF(AND(G563&lt;&gt;"Accepted",G563&lt;&gt;"Not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Confirmed",IF($Q564&gt;=Settings!$C$13,"Legalized",IF($P564&gt;=Settings!$C$12,"Registered",IF($O564&gt;0,"In Progress","Not Started"))))))</f>
        <v/>
      </c>
      <c r="S564" s="32">
        <f>IF($B564="","",COUNTIF(G564:N564,"Received"))</f>
        <v/>
      </c>
      <c r="T564" s="32">
        <f>IF($B564="","",COUNTIF(G564:N564,"Needs Correction"))</f>
        <v/>
      </c>
      <c r="U564" s="33">
        <f>IF($B564="","",IF($D564&lt;&gt;"Yes","",IF($Q564&gt;=Settings!$C$13,"None",MID(IF(AND(G564&lt;&gt;"Accepted",G564&lt;&gt;"Not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Confirmed",IF($Q565&gt;=Settings!$C$13,"Legalized",IF($P565&gt;=Settings!$C$12,"Registered",IF($O565&gt;0,"In Progress","Not Started"))))))</f>
        <v/>
      </c>
      <c r="S565" s="32">
        <f>IF($B565="","",COUNTIF(G565:N565,"Received"))</f>
        <v/>
      </c>
      <c r="T565" s="32">
        <f>IF($B565="","",COUNTIF(G565:N565,"Needs Correction"))</f>
        <v/>
      </c>
      <c r="U565" s="33">
        <f>IF($B565="","",IF($D565&lt;&gt;"Yes","",IF($Q565&gt;=Settings!$C$13,"None",MID(IF(AND(G565&lt;&gt;"Accepted",G565&lt;&gt;"Not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Confirmed",IF($Q566&gt;=Settings!$C$13,"Legalized",IF($P566&gt;=Settings!$C$12,"Registered",IF($O566&gt;0,"In Progress","Not Started"))))))</f>
        <v/>
      </c>
      <c r="S566" s="32">
        <f>IF($B566="","",COUNTIF(G566:N566,"Received"))</f>
        <v/>
      </c>
      <c r="T566" s="32">
        <f>IF($B566="","",COUNTIF(G566:N566,"Needs Correction"))</f>
        <v/>
      </c>
      <c r="U566" s="33">
        <f>IF($B566="","",IF($D566&lt;&gt;"Yes","",IF($Q566&gt;=Settings!$C$13,"None",MID(IF(AND(G566&lt;&gt;"Accepted",G566&lt;&gt;"Not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Confirmed",IF($Q567&gt;=Settings!$C$13,"Legalized",IF($P567&gt;=Settings!$C$12,"Registered",IF($O567&gt;0,"In Progress","Not Started"))))))</f>
        <v/>
      </c>
      <c r="S567" s="32">
        <f>IF($B567="","",COUNTIF(G567:N567,"Received"))</f>
        <v/>
      </c>
      <c r="T567" s="32">
        <f>IF($B567="","",COUNTIF(G567:N567,"Needs Correction"))</f>
        <v/>
      </c>
      <c r="U567" s="33">
        <f>IF($B567="","",IF($D567&lt;&gt;"Yes","",IF($Q567&gt;=Settings!$C$13,"None",MID(IF(AND(G567&lt;&gt;"Accepted",G567&lt;&gt;"Not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Confirmed",IF($Q568&gt;=Settings!$C$13,"Legalized",IF($P568&gt;=Settings!$C$12,"Registered",IF($O568&gt;0,"In Progress","Not Started"))))))</f>
        <v/>
      </c>
      <c r="S568" s="32">
        <f>IF($B568="","",COUNTIF(G568:N568,"Received"))</f>
        <v/>
      </c>
      <c r="T568" s="32">
        <f>IF($B568="","",COUNTIF(G568:N568,"Needs Correction"))</f>
        <v/>
      </c>
      <c r="U568" s="33">
        <f>IF($B568="","",IF($D568&lt;&gt;"Yes","",IF($Q568&gt;=Settings!$C$13,"None",MID(IF(AND(G568&lt;&gt;"Accepted",G568&lt;&gt;"Not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Confirmed",IF($Q569&gt;=Settings!$C$13,"Legalized",IF($P569&gt;=Settings!$C$12,"Registered",IF($O569&gt;0,"In Progress","Not Started"))))))</f>
        <v/>
      </c>
      <c r="S569" s="32">
        <f>IF($B569="","",COUNTIF(G569:N569,"Received"))</f>
        <v/>
      </c>
      <c r="T569" s="32">
        <f>IF($B569="","",COUNTIF(G569:N569,"Needs Correction"))</f>
        <v/>
      </c>
      <c r="U569" s="33">
        <f>IF($B569="","",IF($D569&lt;&gt;"Yes","",IF($Q569&gt;=Settings!$C$13,"None",MID(IF(AND(G569&lt;&gt;"Accepted",G569&lt;&gt;"Not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Confirmed",IF($Q570&gt;=Settings!$C$13,"Legalized",IF($P570&gt;=Settings!$C$12,"Registered",IF($O570&gt;0,"In Progress","Not Started"))))))</f>
        <v/>
      </c>
      <c r="S570" s="32">
        <f>IF($B570="","",COUNTIF(G570:N570,"Received"))</f>
        <v/>
      </c>
      <c r="T570" s="32">
        <f>IF($B570="","",COUNTIF(G570:N570,"Needs Correction"))</f>
        <v/>
      </c>
      <c r="U570" s="33">
        <f>IF($B570="","",IF($D570&lt;&gt;"Yes","",IF($Q570&gt;=Settings!$C$13,"None",MID(IF(AND(G570&lt;&gt;"Accepted",G570&lt;&gt;"Not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Confirmed",IF($Q571&gt;=Settings!$C$13,"Legalized",IF($P571&gt;=Settings!$C$12,"Registered",IF($O571&gt;0,"In Progress","Not Started"))))))</f>
        <v/>
      </c>
      <c r="S571" s="32">
        <f>IF($B571="","",COUNTIF(G571:N571,"Received"))</f>
        <v/>
      </c>
      <c r="T571" s="32">
        <f>IF($B571="","",COUNTIF(G571:N571,"Needs Correction"))</f>
        <v/>
      </c>
      <c r="U571" s="33">
        <f>IF($B571="","",IF($D571&lt;&gt;"Yes","",IF($Q571&gt;=Settings!$C$13,"None",MID(IF(AND(G571&lt;&gt;"Accepted",G571&lt;&gt;"Not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Confirmed",IF($Q572&gt;=Settings!$C$13,"Legalized",IF($P572&gt;=Settings!$C$12,"Registered",IF($O572&gt;0,"In Progress","Not Started"))))))</f>
        <v/>
      </c>
      <c r="S572" s="32">
        <f>IF($B572="","",COUNTIF(G572:N572,"Received"))</f>
        <v/>
      </c>
      <c r="T572" s="32">
        <f>IF($B572="","",COUNTIF(G572:N572,"Needs Correction"))</f>
        <v/>
      </c>
      <c r="U572" s="33">
        <f>IF($B572="","",IF($D572&lt;&gt;"Yes","",IF($Q572&gt;=Settings!$C$13,"None",MID(IF(AND(G572&lt;&gt;"Accepted",G572&lt;&gt;"Not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Confirmed",IF($Q573&gt;=Settings!$C$13,"Legalized",IF($P573&gt;=Settings!$C$12,"Registered",IF($O573&gt;0,"In Progress","Not Started"))))))</f>
        <v/>
      </c>
      <c r="S573" s="32">
        <f>IF($B573="","",COUNTIF(G573:N573,"Received"))</f>
        <v/>
      </c>
      <c r="T573" s="32">
        <f>IF($B573="","",COUNTIF(G573:N573,"Needs Correction"))</f>
        <v/>
      </c>
      <c r="U573" s="33">
        <f>IF($B573="","",IF($D573&lt;&gt;"Yes","",IF($Q573&gt;=Settings!$C$13,"None",MID(IF(AND(G573&lt;&gt;"Accepted",G573&lt;&gt;"Not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Confirmed",IF($Q574&gt;=Settings!$C$13,"Legalized",IF($P574&gt;=Settings!$C$12,"Registered",IF($O574&gt;0,"In Progress","Not Started"))))))</f>
        <v/>
      </c>
      <c r="S574" s="32">
        <f>IF($B574="","",COUNTIF(G574:N574,"Received"))</f>
        <v/>
      </c>
      <c r="T574" s="32">
        <f>IF($B574="","",COUNTIF(G574:N574,"Needs Correction"))</f>
        <v/>
      </c>
      <c r="U574" s="33">
        <f>IF($B574="","",IF($D574&lt;&gt;"Yes","",IF($Q574&gt;=Settings!$C$13,"None",MID(IF(AND(G574&lt;&gt;"Accepted",G574&lt;&gt;"Not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Confirmed",IF($Q575&gt;=Settings!$C$13,"Legalized",IF($P575&gt;=Settings!$C$12,"Registered",IF($O575&gt;0,"In Progress","Not Started"))))))</f>
        <v/>
      </c>
      <c r="S575" s="32">
        <f>IF($B575="","",COUNTIF(G575:N575,"Received"))</f>
        <v/>
      </c>
      <c r="T575" s="32">
        <f>IF($B575="","",COUNTIF(G575:N575,"Needs Correction"))</f>
        <v/>
      </c>
      <c r="U575" s="33">
        <f>IF($B575="","",IF($D575&lt;&gt;"Yes","",IF($Q575&gt;=Settings!$C$13,"None",MID(IF(AND(G575&lt;&gt;"Accepted",G575&lt;&gt;"Not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Confirmed",IF($Q576&gt;=Settings!$C$13,"Legalized",IF($P576&gt;=Settings!$C$12,"Registered",IF($O576&gt;0,"In Progress","Not Started"))))))</f>
        <v/>
      </c>
      <c r="S576" s="32">
        <f>IF($B576="","",COUNTIF(G576:N576,"Received"))</f>
        <v/>
      </c>
      <c r="T576" s="32">
        <f>IF($B576="","",COUNTIF(G576:N576,"Needs Correction"))</f>
        <v/>
      </c>
      <c r="U576" s="33">
        <f>IF($B576="","",IF($D576&lt;&gt;"Yes","",IF($Q576&gt;=Settings!$C$13,"None",MID(IF(AND(G576&lt;&gt;"Accepted",G576&lt;&gt;"Not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Confirmed",IF($Q577&gt;=Settings!$C$13,"Legalized",IF($P577&gt;=Settings!$C$12,"Registered",IF($O577&gt;0,"In Progress","Not Started"))))))</f>
        <v/>
      </c>
      <c r="S577" s="32">
        <f>IF($B577="","",COUNTIF(G577:N577,"Received"))</f>
        <v/>
      </c>
      <c r="T577" s="32">
        <f>IF($B577="","",COUNTIF(G577:N577,"Needs Correction"))</f>
        <v/>
      </c>
      <c r="U577" s="33">
        <f>IF($B577="","",IF($D577&lt;&gt;"Yes","",IF($Q577&gt;=Settings!$C$13,"None",MID(IF(AND(G577&lt;&gt;"Accepted",G577&lt;&gt;"Not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Confirmed",IF($Q578&gt;=Settings!$C$13,"Legalized",IF($P578&gt;=Settings!$C$12,"Registered",IF($O578&gt;0,"In Progress","Not Started"))))))</f>
        <v/>
      </c>
      <c r="S578" s="32">
        <f>IF($B578="","",COUNTIF(G578:N578,"Received"))</f>
        <v/>
      </c>
      <c r="T578" s="32">
        <f>IF($B578="","",COUNTIF(G578:N578,"Needs Correction"))</f>
        <v/>
      </c>
      <c r="U578" s="33">
        <f>IF($B578="","",IF($D578&lt;&gt;"Yes","",IF($Q578&gt;=Settings!$C$13,"None",MID(IF(AND(G578&lt;&gt;"Accepted",G578&lt;&gt;"Not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Confirmed",IF($Q579&gt;=Settings!$C$13,"Legalized",IF($P579&gt;=Settings!$C$12,"Registered",IF($O579&gt;0,"In Progress","Not Started"))))))</f>
        <v/>
      </c>
      <c r="S579" s="32">
        <f>IF($B579="","",COUNTIF(G579:N579,"Received"))</f>
        <v/>
      </c>
      <c r="T579" s="32">
        <f>IF($B579="","",COUNTIF(G579:N579,"Needs Correction"))</f>
        <v/>
      </c>
      <c r="U579" s="33">
        <f>IF($B579="","",IF($D579&lt;&gt;"Yes","",IF($Q579&gt;=Settings!$C$13,"None",MID(IF(AND(G579&lt;&gt;"Accepted",G579&lt;&gt;"Not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Confirmed",IF($Q580&gt;=Settings!$C$13,"Legalized",IF($P580&gt;=Settings!$C$12,"Registered",IF($O580&gt;0,"In Progress","Not Started"))))))</f>
        <v/>
      </c>
      <c r="S580" s="32">
        <f>IF($B580="","",COUNTIF(G580:N580,"Received"))</f>
        <v/>
      </c>
      <c r="T580" s="32">
        <f>IF($B580="","",COUNTIF(G580:N580,"Needs Correction"))</f>
        <v/>
      </c>
      <c r="U580" s="33">
        <f>IF($B580="","",IF($D580&lt;&gt;"Yes","",IF($Q580&gt;=Settings!$C$13,"None",MID(IF(AND(G580&lt;&gt;"Accepted",G580&lt;&gt;"Not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Confirmed",IF($Q581&gt;=Settings!$C$13,"Legalized",IF($P581&gt;=Settings!$C$12,"Registered",IF($O581&gt;0,"In Progress","Not Started"))))))</f>
        <v/>
      </c>
      <c r="S581" s="32">
        <f>IF($B581="","",COUNTIF(G581:N581,"Received"))</f>
        <v/>
      </c>
      <c r="T581" s="32">
        <f>IF($B581="","",COUNTIF(G581:N581,"Needs Correction"))</f>
        <v/>
      </c>
      <c r="U581" s="33">
        <f>IF($B581="","",IF($D581&lt;&gt;"Yes","",IF($Q581&gt;=Settings!$C$13,"None",MID(IF(AND(G581&lt;&gt;"Accepted",G581&lt;&gt;"Not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Confirmed",IF($Q582&gt;=Settings!$C$13,"Legalized",IF($P582&gt;=Settings!$C$12,"Registered",IF($O582&gt;0,"In Progress","Not Started"))))))</f>
        <v/>
      </c>
      <c r="S582" s="32">
        <f>IF($B582="","",COUNTIF(G582:N582,"Received"))</f>
        <v/>
      </c>
      <c r="T582" s="32">
        <f>IF($B582="","",COUNTIF(G582:N582,"Needs Correction"))</f>
        <v/>
      </c>
      <c r="U582" s="33">
        <f>IF($B582="","",IF($D582&lt;&gt;"Yes","",IF($Q582&gt;=Settings!$C$13,"None",MID(IF(AND(G582&lt;&gt;"Accepted",G582&lt;&gt;"Not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Confirmed",IF($Q583&gt;=Settings!$C$13,"Legalized",IF($P583&gt;=Settings!$C$12,"Registered",IF($O583&gt;0,"In Progress","Not Started"))))))</f>
        <v/>
      </c>
      <c r="S583" s="32">
        <f>IF($B583="","",COUNTIF(G583:N583,"Received"))</f>
        <v/>
      </c>
      <c r="T583" s="32">
        <f>IF($B583="","",COUNTIF(G583:N583,"Needs Correction"))</f>
        <v/>
      </c>
      <c r="U583" s="33">
        <f>IF($B583="","",IF($D583&lt;&gt;"Yes","",IF($Q583&gt;=Settings!$C$13,"None",MID(IF(AND(G583&lt;&gt;"Accepted",G583&lt;&gt;"Not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Confirmed",IF($Q584&gt;=Settings!$C$13,"Legalized",IF($P584&gt;=Settings!$C$12,"Registered",IF($O584&gt;0,"In Progress","Not Started"))))))</f>
        <v/>
      </c>
      <c r="S584" s="32">
        <f>IF($B584="","",COUNTIF(G584:N584,"Received"))</f>
        <v/>
      </c>
      <c r="T584" s="32">
        <f>IF($B584="","",COUNTIF(G584:N584,"Needs Correction"))</f>
        <v/>
      </c>
      <c r="U584" s="33">
        <f>IF($B584="","",IF($D584&lt;&gt;"Yes","",IF($Q584&gt;=Settings!$C$13,"None",MID(IF(AND(G584&lt;&gt;"Accepted",G584&lt;&gt;"Not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Confirmed",IF($Q585&gt;=Settings!$C$13,"Legalized",IF($P585&gt;=Settings!$C$12,"Registered",IF($O585&gt;0,"In Progress","Not Started"))))))</f>
        <v/>
      </c>
      <c r="S585" s="32">
        <f>IF($B585="","",COUNTIF(G585:N585,"Received"))</f>
        <v/>
      </c>
      <c r="T585" s="32">
        <f>IF($B585="","",COUNTIF(G585:N585,"Needs Correction"))</f>
        <v/>
      </c>
      <c r="U585" s="33">
        <f>IF($B585="","",IF($D585&lt;&gt;"Yes","",IF($Q585&gt;=Settings!$C$13,"None",MID(IF(AND(G585&lt;&gt;"Accepted",G585&lt;&gt;"Not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Confirmed",IF($Q586&gt;=Settings!$C$13,"Legalized",IF($P586&gt;=Settings!$C$12,"Registered",IF($O586&gt;0,"In Progress","Not Started"))))))</f>
        <v/>
      </c>
      <c r="S586" s="32">
        <f>IF($B586="","",COUNTIF(G586:N586,"Received"))</f>
        <v/>
      </c>
      <c r="T586" s="32">
        <f>IF($B586="","",COUNTIF(G586:N586,"Needs Correction"))</f>
        <v/>
      </c>
      <c r="U586" s="33">
        <f>IF($B586="","",IF($D586&lt;&gt;"Yes","",IF($Q586&gt;=Settings!$C$13,"None",MID(IF(AND(G586&lt;&gt;"Accepted",G586&lt;&gt;"Not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Confirmed",IF($Q587&gt;=Settings!$C$13,"Legalized",IF($P587&gt;=Settings!$C$12,"Registered",IF($O587&gt;0,"In Progress","Not Started"))))))</f>
        <v/>
      </c>
      <c r="S587" s="32">
        <f>IF($B587="","",COUNTIF(G587:N587,"Received"))</f>
        <v/>
      </c>
      <c r="T587" s="32">
        <f>IF($B587="","",COUNTIF(G587:N587,"Needs Correction"))</f>
        <v/>
      </c>
      <c r="U587" s="33">
        <f>IF($B587="","",IF($D587&lt;&gt;"Yes","",IF($Q587&gt;=Settings!$C$13,"None",MID(IF(AND(G587&lt;&gt;"Accepted",G587&lt;&gt;"Not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Confirmed",IF($Q588&gt;=Settings!$C$13,"Legalized",IF($P588&gt;=Settings!$C$12,"Registered",IF($O588&gt;0,"In Progress","Not Started"))))))</f>
        <v/>
      </c>
      <c r="S588" s="32">
        <f>IF($B588="","",COUNTIF(G588:N588,"Received"))</f>
        <v/>
      </c>
      <c r="T588" s="32">
        <f>IF($B588="","",COUNTIF(G588:N588,"Needs Correction"))</f>
        <v/>
      </c>
      <c r="U588" s="33">
        <f>IF($B588="","",IF($D588&lt;&gt;"Yes","",IF($Q588&gt;=Settings!$C$13,"None",MID(IF(AND(G588&lt;&gt;"Accepted",G588&lt;&gt;"Not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Confirmed",IF($Q589&gt;=Settings!$C$13,"Legalized",IF($P589&gt;=Settings!$C$12,"Registered",IF($O589&gt;0,"In Progress","Not Started"))))))</f>
        <v/>
      </c>
      <c r="S589" s="32">
        <f>IF($B589="","",COUNTIF(G589:N589,"Received"))</f>
        <v/>
      </c>
      <c r="T589" s="32">
        <f>IF($B589="","",COUNTIF(G589:N589,"Needs Correction"))</f>
        <v/>
      </c>
      <c r="U589" s="33">
        <f>IF($B589="","",IF($D589&lt;&gt;"Yes","",IF($Q589&gt;=Settings!$C$13,"None",MID(IF(AND(G589&lt;&gt;"Accepted",G589&lt;&gt;"Not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Confirmed",IF($Q590&gt;=Settings!$C$13,"Legalized",IF($P590&gt;=Settings!$C$12,"Registered",IF($O590&gt;0,"In Progress","Not Started"))))))</f>
        <v/>
      </c>
      <c r="S590" s="32">
        <f>IF($B590="","",COUNTIF(G590:N590,"Received"))</f>
        <v/>
      </c>
      <c r="T590" s="32">
        <f>IF($B590="","",COUNTIF(G590:N590,"Needs Correction"))</f>
        <v/>
      </c>
      <c r="U590" s="33">
        <f>IF($B590="","",IF($D590&lt;&gt;"Yes","",IF($Q590&gt;=Settings!$C$13,"None",MID(IF(AND(G590&lt;&gt;"Accepted",G590&lt;&gt;"Not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Confirmed",IF($Q591&gt;=Settings!$C$13,"Legalized",IF($P591&gt;=Settings!$C$12,"Registered",IF($O591&gt;0,"In Progress","Not Started"))))))</f>
        <v/>
      </c>
      <c r="S591" s="32">
        <f>IF($B591="","",COUNTIF(G591:N591,"Received"))</f>
        <v/>
      </c>
      <c r="T591" s="32">
        <f>IF($B591="","",COUNTIF(G591:N591,"Needs Correction"))</f>
        <v/>
      </c>
      <c r="U591" s="33">
        <f>IF($B591="","",IF($D591&lt;&gt;"Yes","",IF($Q591&gt;=Settings!$C$13,"None",MID(IF(AND(G591&lt;&gt;"Accepted",G591&lt;&gt;"Not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Confirmed",IF($Q592&gt;=Settings!$C$13,"Legalized",IF($P592&gt;=Settings!$C$12,"Registered",IF($O592&gt;0,"In Progress","Not Started"))))))</f>
        <v/>
      </c>
      <c r="S592" s="32">
        <f>IF($B592="","",COUNTIF(G592:N592,"Received"))</f>
        <v/>
      </c>
      <c r="T592" s="32">
        <f>IF($B592="","",COUNTIF(G592:N592,"Needs Correction"))</f>
        <v/>
      </c>
      <c r="U592" s="33">
        <f>IF($B592="","",IF($D592&lt;&gt;"Yes","",IF($Q592&gt;=Settings!$C$13,"None",MID(IF(AND(G592&lt;&gt;"Accepted",G592&lt;&gt;"Not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Confirmed",IF($Q593&gt;=Settings!$C$13,"Legalized",IF($P593&gt;=Settings!$C$12,"Registered",IF($O593&gt;0,"In Progress","Not Started"))))))</f>
        <v/>
      </c>
      <c r="S593" s="32">
        <f>IF($B593="","",COUNTIF(G593:N593,"Received"))</f>
        <v/>
      </c>
      <c r="T593" s="32">
        <f>IF($B593="","",COUNTIF(G593:N593,"Needs Correction"))</f>
        <v/>
      </c>
      <c r="U593" s="33">
        <f>IF($B593="","",IF($D593&lt;&gt;"Yes","",IF($Q593&gt;=Settings!$C$13,"None",MID(IF(AND(G593&lt;&gt;"Accepted",G593&lt;&gt;"Not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Confirmed",IF($Q594&gt;=Settings!$C$13,"Legalized",IF($P594&gt;=Settings!$C$12,"Registered",IF($O594&gt;0,"In Progress","Not Started"))))))</f>
        <v/>
      </c>
      <c r="S594" s="32">
        <f>IF($B594="","",COUNTIF(G594:N594,"Received"))</f>
        <v/>
      </c>
      <c r="T594" s="32">
        <f>IF($B594="","",COUNTIF(G594:N594,"Needs Correction"))</f>
        <v/>
      </c>
      <c r="U594" s="33">
        <f>IF($B594="","",IF($D594&lt;&gt;"Yes","",IF($Q594&gt;=Settings!$C$13,"None",MID(IF(AND(G594&lt;&gt;"Accepted",G594&lt;&gt;"Not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Confirmed",IF($Q595&gt;=Settings!$C$13,"Legalized",IF($P595&gt;=Settings!$C$12,"Registered",IF($O595&gt;0,"In Progress","Not Started"))))))</f>
        <v/>
      </c>
      <c r="S595" s="32">
        <f>IF($B595="","",COUNTIF(G595:N595,"Received"))</f>
        <v/>
      </c>
      <c r="T595" s="32">
        <f>IF($B595="","",COUNTIF(G595:N595,"Needs Correction"))</f>
        <v/>
      </c>
      <c r="U595" s="33">
        <f>IF($B595="","",IF($D595&lt;&gt;"Yes","",IF($Q595&gt;=Settings!$C$13,"None",MID(IF(AND(G595&lt;&gt;"Accepted",G595&lt;&gt;"Not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Confirmed",IF($Q596&gt;=Settings!$C$13,"Legalized",IF($P596&gt;=Settings!$C$12,"Registered",IF($O596&gt;0,"In Progress","Not Started"))))))</f>
        <v/>
      </c>
      <c r="S596" s="32">
        <f>IF($B596="","",COUNTIF(G596:N596,"Received"))</f>
        <v/>
      </c>
      <c r="T596" s="32">
        <f>IF($B596="","",COUNTIF(G596:N596,"Needs Correction"))</f>
        <v/>
      </c>
      <c r="U596" s="33">
        <f>IF($B596="","",IF($D596&lt;&gt;"Yes","",IF($Q596&gt;=Settings!$C$13,"None",MID(IF(AND(G596&lt;&gt;"Accepted",G596&lt;&gt;"Not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Confirmed",IF($Q597&gt;=Settings!$C$13,"Legalized",IF($P597&gt;=Settings!$C$12,"Registered",IF($O597&gt;0,"In Progress","Not Started"))))))</f>
        <v/>
      </c>
      <c r="S597" s="32">
        <f>IF($B597="","",COUNTIF(G597:N597,"Received"))</f>
        <v/>
      </c>
      <c r="T597" s="32">
        <f>IF($B597="","",COUNTIF(G597:N597,"Needs Correction"))</f>
        <v/>
      </c>
      <c r="U597" s="33">
        <f>IF($B597="","",IF($D597&lt;&gt;"Yes","",IF($Q597&gt;=Settings!$C$13,"None",MID(IF(AND(G597&lt;&gt;"Accepted",G597&lt;&gt;"Not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Confirmed",IF($Q598&gt;=Settings!$C$13,"Legalized",IF($P598&gt;=Settings!$C$12,"Registered",IF($O598&gt;0,"In Progress","Not Started"))))))</f>
        <v/>
      </c>
      <c r="S598" s="32">
        <f>IF($B598="","",COUNTIF(G598:N598,"Received"))</f>
        <v/>
      </c>
      <c r="T598" s="32">
        <f>IF($B598="","",COUNTIF(G598:N598,"Needs Correction"))</f>
        <v/>
      </c>
      <c r="U598" s="33">
        <f>IF($B598="","",IF($D598&lt;&gt;"Yes","",IF($Q598&gt;=Settings!$C$13,"None",MID(IF(AND(G598&lt;&gt;"Accepted",G598&lt;&gt;"Not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Confirmed",IF($Q599&gt;=Settings!$C$13,"Legalized",IF($P599&gt;=Settings!$C$12,"Registered",IF($O599&gt;0,"In Progress","Not Started"))))))</f>
        <v/>
      </c>
      <c r="S599" s="32">
        <f>IF($B599="","",COUNTIF(G599:N599,"Received"))</f>
        <v/>
      </c>
      <c r="T599" s="32">
        <f>IF($B599="","",COUNTIF(G599:N599,"Needs Correction"))</f>
        <v/>
      </c>
      <c r="U599" s="33">
        <f>IF($B599="","",IF($D599&lt;&gt;"Yes","",IF($Q599&gt;=Settings!$C$13,"None",MID(IF(AND(G599&lt;&gt;"Accepted",G599&lt;&gt;"Not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Confirmed",IF($Q600&gt;=Settings!$C$13,"Legalized",IF($P600&gt;=Settings!$C$12,"Registered",IF($O600&gt;0,"In Progress","Not Started"))))))</f>
        <v/>
      </c>
      <c r="S600" s="32">
        <f>IF($B600="","",COUNTIF(G600:N600,"Received"))</f>
        <v/>
      </c>
      <c r="T600" s="32">
        <f>IF($B600="","",COUNTIF(G600:N600,"Needs Correction"))</f>
        <v/>
      </c>
      <c r="U600" s="33">
        <f>IF($B600="","",IF($D600&lt;&gt;"Yes","",IF($Q600&gt;=Settings!$C$13,"None",MID(IF(AND(G600&lt;&gt;"Accepted",G600&lt;&gt;"Not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D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s>
  <sheetData>
    <row r="1" ht="30" customHeight="1" s="21">
      <c r="A1" s="28" t="inlineStr">
        <is>
          <t>Name</t>
        </is>
      </c>
      <c r="B1" s="28" t="inlineStr">
        <is>
          <t>Role</t>
        </is>
      </c>
      <c r="C1" s="28" t="inlineStr">
        <is>
          <t>Passcode status</t>
        </is>
      </c>
      <c r="D1" s="36" t="inlineStr">
        <is>
          <t>Email</t>
        </is>
      </c>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t="inlineStr">
        <is>
          <t>Ashford ES</t>
        </is>
      </c>
      <c r="B2" t="inlineStr">
        <is>
          <t>NES Elementary</t>
        </is>
      </c>
      <c r="C2" t="inlineStr">
        <is>
          <t>UNIT 1</t>
        </is>
      </c>
      <c r="D2" t="inlineStr"/>
      <c r="E2" t="inlineStr"/>
      <c r="F2" t="inlineStr"/>
    </row>
    <row r="3">
      <c r="A3" t="inlineStr">
        <is>
          <t>Anderson ES</t>
        </is>
      </c>
      <c r="B3" t="inlineStr">
        <is>
          <t>NES Elementary</t>
        </is>
      </c>
      <c r="C3" t="inlineStr">
        <is>
          <t>UNIT 1</t>
        </is>
      </c>
      <c r="D3" t="inlineStr"/>
      <c r="E3" t="inlineStr"/>
      <c r="F3" t="inlineStr"/>
    </row>
    <row r="4">
      <c r="A4" t="inlineStr">
        <is>
          <t>Codwell ES</t>
        </is>
      </c>
      <c r="B4" t="inlineStr">
        <is>
          <t>NES Elementary</t>
        </is>
      </c>
      <c r="C4" t="inlineStr">
        <is>
          <t>UNIT 1</t>
        </is>
      </c>
      <c r="D4" t="inlineStr"/>
      <c r="E4" t="inlineStr"/>
      <c r="F4" t="inlineStr"/>
    </row>
    <row r="5">
      <c r="A5" t="inlineStr">
        <is>
          <t>Almeda ES</t>
        </is>
      </c>
      <c r="B5" t="inlineStr">
        <is>
          <t>NES Elementary</t>
        </is>
      </c>
      <c r="C5" t="inlineStr">
        <is>
          <t>UNIT 1</t>
        </is>
      </c>
      <c r="D5" t="inlineStr"/>
      <c r="E5" t="inlineStr"/>
      <c r="F5" t="inlineStr"/>
    </row>
    <row r="6">
      <c r="A6" t="inlineStr">
        <is>
          <t>Foster ES</t>
        </is>
      </c>
      <c r="B6" t="inlineStr">
        <is>
          <t>NES Elementary</t>
        </is>
      </c>
      <c r="C6" t="inlineStr">
        <is>
          <t>UNIT 1</t>
        </is>
      </c>
      <c r="D6" t="inlineStr"/>
      <c r="E6" t="inlineStr"/>
      <c r="F6" t="inlineStr"/>
    </row>
    <row r="7">
      <c r="A7" t="inlineStr">
        <is>
          <t>Askew ES</t>
        </is>
      </c>
      <c r="B7" t="inlineStr">
        <is>
          <t>NES Elementary</t>
        </is>
      </c>
      <c r="C7" t="inlineStr">
        <is>
          <t>UNIT 1</t>
        </is>
      </c>
      <c r="D7" t="inlineStr"/>
      <c r="E7" t="inlineStr"/>
      <c r="F7" t="inlineStr"/>
    </row>
    <row r="8">
      <c r="A8" t="inlineStr">
        <is>
          <t>Bastian ES</t>
        </is>
      </c>
      <c r="B8" t="inlineStr">
        <is>
          <t>NES Elementary</t>
        </is>
      </c>
      <c r="C8" t="inlineStr">
        <is>
          <t>UNIT 1</t>
        </is>
      </c>
      <c r="D8" t="inlineStr"/>
      <c r="E8" t="inlineStr"/>
      <c r="F8" t="inlineStr"/>
    </row>
    <row r="9">
      <c r="A9" t="inlineStr">
        <is>
          <t>Frost ES</t>
        </is>
      </c>
      <c r="B9" t="inlineStr">
        <is>
          <t>NES Elementary</t>
        </is>
      </c>
      <c r="C9" t="inlineStr">
        <is>
          <t>UNIT 1</t>
        </is>
      </c>
      <c r="D9" t="inlineStr"/>
      <c r="E9" t="inlineStr"/>
      <c r="F9" t="inlineStr"/>
    </row>
    <row r="10">
      <c r="A10" t="inlineStr">
        <is>
          <t>Gregg ES</t>
        </is>
      </c>
      <c r="B10" t="inlineStr">
        <is>
          <t>NES Elementary</t>
        </is>
      </c>
      <c r="C10" t="inlineStr">
        <is>
          <t>UNIT 1</t>
        </is>
      </c>
      <c r="D10" t="inlineStr"/>
      <c r="E10" t="inlineStr"/>
      <c r="F10" t="inlineStr"/>
    </row>
    <row r="11">
      <c r="A11" t="inlineStr">
        <is>
          <t>Law ES</t>
        </is>
      </c>
      <c r="B11" t="inlineStr">
        <is>
          <t>NES Elementary</t>
        </is>
      </c>
      <c r="C11" t="inlineStr">
        <is>
          <t>UNIT 1</t>
        </is>
      </c>
      <c r="D11" t="inlineStr"/>
      <c r="E11" t="inlineStr"/>
      <c r="F11" t="inlineStr"/>
    </row>
    <row r="12">
      <c r="A12" t="inlineStr">
        <is>
          <t>Benavides ES</t>
        </is>
      </c>
      <c r="B12" t="inlineStr">
        <is>
          <t>NES Elementary</t>
        </is>
      </c>
      <c r="C12" t="inlineStr">
        <is>
          <t>UNIT 1</t>
        </is>
      </c>
      <c r="D12" t="inlineStr"/>
      <c r="E12" t="inlineStr"/>
      <c r="F12" t="inlineStr"/>
    </row>
    <row r="13">
      <c r="A13" t="inlineStr">
        <is>
          <t>Foerster ES</t>
        </is>
      </c>
      <c r="B13" t="inlineStr">
        <is>
          <t>NES Elementary</t>
        </is>
      </c>
      <c r="C13" t="inlineStr">
        <is>
          <t>UNIT 1</t>
        </is>
      </c>
      <c r="D13" t="inlineStr"/>
      <c r="E13" t="inlineStr"/>
      <c r="F13" t="inlineStr"/>
    </row>
    <row r="14">
      <c r="A14" t="inlineStr">
        <is>
          <t>Mitchell ES</t>
        </is>
      </c>
      <c r="B14" t="inlineStr">
        <is>
          <t>NES Elementary</t>
        </is>
      </c>
      <c r="C14" t="inlineStr">
        <is>
          <t>UNIT 1</t>
        </is>
      </c>
      <c r="D14" t="inlineStr"/>
      <c r="E14" t="inlineStr"/>
      <c r="F14" t="inlineStr"/>
    </row>
    <row r="15">
      <c r="A15" t="inlineStr">
        <is>
          <t>Grissom ES</t>
        </is>
      </c>
      <c r="B15" t="inlineStr">
        <is>
          <t>NES Elementary</t>
        </is>
      </c>
      <c r="C15" t="inlineStr">
        <is>
          <t>UNIT 1</t>
        </is>
      </c>
      <c r="D15" t="inlineStr"/>
      <c r="E15" t="inlineStr"/>
      <c r="F15" t="inlineStr"/>
    </row>
    <row r="16">
      <c r="A16" t="inlineStr">
        <is>
          <t>Lockhart ES</t>
        </is>
      </c>
      <c r="B16" t="inlineStr">
        <is>
          <t>NES Elementary</t>
        </is>
      </c>
      <c r="C16" t="inlineStr">
        <is>
          <t>UNIT 1</t>
        </is>
      </c>
      <c r="D16" t="inlineStr"/>
      <c r="E16" t="inlineStr"/>
      <c r="F16" t="inlineStr"/>
    </row>
    <row r="17">
      <c r="A17" t="inlineStr">
        <is>
          <t>Bonham ES</t>
        </is>
      </c>
      <c r="B17" t="inlineStr">
        <is>
          <t>NES Elementary</t>
        </is>
      </c>
      <c r="C17" t="inlineStr">
        <is>
          <t>UNIT 1</t>
        </is>
      </c>
      <c r="D17" t="inlineStr"/>
      <c r="E17" t="inlineStr">
        <is>
          <t>No (charter withdrawn)</t>
        </is>
      </c>
      <c r="F17" t="inlineStr">
        <is>
          <t>Charter Withdrawn</t>
        </is>
      </c>
    </row>
    <row r="18">
      <c r="A18" t="inlineStr">
        <is>
          <t>Milne ES</t>
        </is>
      </c>
      <c r="B18" t="inlineStr">
        <is>
          <t>NES Elementary</t>
        </is>
      </c>
      <c r="C18" t="inlineStr">
        <is>
          <t>UNIT 1</t>
        </is>
      </c>
      <c r="D18" t="inlineStr"/>
      <c r="E18" t="inlineStr"/>
      <c r="F18" t="inlineStr"/>
    </row>
    <row r="19">
      <c r="A19" t="inlineStr">
        <is>
          <t>Reynolds ES</t>
        </is>
      </c>
      <c r="B19" t="inlineStr">
        <is>
          <t>NES Elementary</t>
        </is>
      </c>
      <c r="C19" t="inlineStr">
        <is>
          <t>UNIT 1</t>
        </is>
      </c>
      <c r="D19" t="inlineStr"/>
      <c r="E19" t="inlineStr"/>
      <c r="F19" t="inlineStr"/>
    </row>
    <row r="20">
      <c r="A20" t="inlineStr">
        <is>
          <t>Hobby ES (@Lawson MS)</t>
        </is>
      </c>
      <c r="B20" t="inlineStr">
        <is>
          <t>NES Elementary</t>
        </is>
      </c>
      <c r="C20" t="inlineStr">
        <is>
          <t>UNIT 1</t>
        </is>
      </c>
      <c r="D20" t="inlineStr"/>
      <c r="E20" t="inlineStr"/>
      <c r="F20" t="inlineStr"/>
    </row>
    <row r="21">
      <c r="A21" t="inlineStr">
        <is>
          <t>Longfellow ES</t>
        </is>
      </c>
      <c r="B21" t="inlineStr">
        <is>
          <t>NES Elementary</t>
        </is>
      </c>
      <c r="C21" t="inlineStr">
        <is>
          <t>UNIT 1</t>
        </is>
      </c>
      <c r="D21" t="inlineStr"/>
      <c r="E21" t="inlineStr"/>
      <c r="F21" t="inlineStr"/>
    </row>
    <row r="22">
      <c r="A22" t="inlineStr">
        <is>
          <t>Gross ES</t>
        </is>
      </c>
      <c r="B22" t="inlineStr">
        <is>
          <t>NES Elementary</t>
        </is>
      </c>
      <c r="C22" t="inlineStr">
        <is>
          <t>UNIT 1</t>
        </is>
      </c>
      <c r="D22" t="inlineStr"/>
      <c r="E22" t="inlineStr"/>
      <c r="F22" t="inlineStr"/>
    </row>
    <row r="23">
      <c r="A23" t="inlineStr">
        <is>
          <t>Neff ES</t>
        </is>
      </c>
      <c r="B23" t="inlineStr">
        <is>
          <t>NES Elementary</t>
        </is>
      </c>
      <c r="C23" t="inlineStr">
        <is>
          <t>UNIT 1</t>
        </is>
      </c>
      <c r="D23" t="inlineStr"/>
      <c r="E23" t="inlineStr"/>
      <c r="F23" t="inlineStr"/>
    </row>
    <row r="24">
      <c r="A24" t="inlineStr">
        <is>
          <t>Whidby ES</t>
        </is>
      </c>
      <c r="B24" t="inlineStr">
        <is>
          <t>NES Elementary</t>
        </is>
      </c>
      <c r="C24" t="inlineStr">
        <is>
          <t>UNIT 1</t>
        </is>
      </c>
      <c r="D24" t="inlineStr"/>
      <c r="E24" t="inlineStr"/>
      <c r="F24" t="inlineStr"/>
    </row>
    <row r="25">
      <c r="A25" t="inlineStr">
        <is>
          <t>Montgomery ES</t>
        </is>
      </c>
      <c r="B25" t="inlineStr">
        <is>
          <t>NES Elementary</t>
        </is>
      </c>
      <c r="C25" t="inlineStr">
        <is>
          <t>UNIT 1</t>
        </is>
      </c>
      <c r="D25" t="inlineStr"/>
      <c r="E25" t="inlineStr"/>
      <c r="F25" t="inlineStr"/>
    </row>
    <row r="26">
      <c r="A26" t="inlineStr">
        <is>
          <t>Thompson ES</t>
        </is>
      </c>
      <c r="B26" t="inlineStr">
        <is>
          <t>NES Elementary</t>
        </is>
      </c>
      <c r="C26" t="inlineStr">
        <is>
          <t>UNIT 1</t>
        </is>
      </c>
      <c r="D26" t="inlineStr"/>
      <c r="E26" t="inlineStr"/>
      <c r="F26" t="inlineStr"/>
    </row>
    <row r="27">
      <c r="A27" t="inlineStr">
        <is>
          <t>Walnut Bend ES</t>
        </is>
      </c>
      <c r="B27" t="inlineStr">
        <is>
          <t>NES Elementary</t>
        </is>
      </c>
      <c r="C27" t="inlineStr">
        <is>
          <t>UNIT 1</t>
        </is>
      </c>
      <c r="D27" t="inlineStr"/>
      <c r="E27" t="inlineStr"/>
      <c r="F27" t="inlineStr"/>
    </row>
    <row r="28">
      <c r="A28" t="inlineStr">
        <is>
          <t>Tinsley ES</t>
        </is>
      </c>
      <c r="B28" t="inlineStr">
        <is>
          <t>NES Elementary</t>
        </is>
      </c>
      <c r="C28" t="inlineStr">
        <is>
          <t>UNIT 1</t>
        </is>
      </c>
      <c r="D28" t="inlineStr"/>
      <c r="E28" t="inlineStr"/>
      <c r="F28" t="inlineStr"/>
    </row>
    <row r="29">
      <c r="A29" t="inlineStr">
        <is>
          <t>Woodson ES</t>
        </is>
      </c>
      <c r="B29" t="inlineStr">
        <is>
          <t>NES Elementary</t>
        </is>
      </c>
      <c r="C29" t="inlineStr">
        <is>
          <t>UNIT 1</t>
        </is>
      </c>
      <c r="D29" t="inlineStr">
        <is>
          <t>Woodson</t>
        </is>
      </c>
      <c r="E29" t="inlineStr"/>
      <c r="F29" t="inlineStr"/>
    </row>
    <row r="30">
      <c r="A30" t="inlineStr">
        <is>
          <t>Petersen ES</t>
        </is>
      </c>
      <c r="B30" t="inlineStr">
        <is>
          <t>NES Elementary</t>
        </is>
      </c>
      <c r="C30" t="inlineStr">
        <is>
          <t>UNIT 1</t>
        </is>
      </c>
      <c r="D30" t="inlineStr"/>
      <c r="E30" t="inlineStr"/>
      <c r="F30" t="inlineStr"/>
    </row>
    <row r="31">
      <c r="A31" t="inlineStr">
        <is>
          <t>White, Ed. ES</t>
        </is>
      </c>
      <c r="B31" t="inlineStr">
        <is>
          <t>NES Elementary</t>
        </is>
      </c>
      <c r="C31" t="inlineStr">
        <is>
          <t>UNIT 1</t>
        </is>
      </c>
      <c r="D31" t="inlineStr"/>
      <c r="E31" t="inlineStr"/>
      <c r="F31" t="inlineStr"/>
    </row>
    <row r="32">
      <c r="A32" t="inlineStr">
        <is>
          <t>Valley West ES</t>
        </is>
      </c>
      <c r="B32" t="inlineStr">
        <is>
          <t>NES Elementary</t>
        </is>
      </c>
      <c r="C32" t="inlineStr">
        <is>
          <t>UNIT 1</t>
        </is>
      </c>
      <c r="D32" t="inlineStr"/>
      <c r="E32" t="inlineStr"/>
      <c r="F32" t="inlineStr"/>
    </row>
    <row r="33">
      <c r="A33" t="inlineStr">
        <is>
          <t>Reagan K-8</t>
        </is>
      </c>
      <c r="B33" t="inlineStr">
        <is>
          <t>NES Elementary</t>
        </is>
      </c>
      <c r="C33" t="inlineStr">
        <is>
          <t>UNIT 1</t>
        </is>
      </c>
      <c r="D33" t="inlineStr"/>
      <c r="E33" t="inlineStr"/>
      <c r="F33" t="inlineStr"/>
    </row>
    <row r="34">
      <c r="A34" t="inlineStr">
        <is>
          <t>Benbrook ES</t>
        </is>
      </c>
      <c r="B34" t="inlineStr">
        <is>
          <t>NES Elementary</t>
        </is>
      </c>
      <c r="C34" t="inlineStr">
        <is>
          <t>UNIT 2</t>
        </is>
      </c>
      <c r="D34" t="inlineStr"/>
      <c r="E34" t="inlineStr"/>
      <c r="F34" t="inlineStr"/>
    </row>
    <row r="35">
      <c r="A35" t="inlineStr">
        <is>
          <t>Bonner ES</t>
        </is>
      </c>
      <c r="B35" t="inlineStr">
        <is>
          <t>NES Elementary</t>
        </is>
      </c>
      <c r="C35" t="inlineStr">
        <is>
          <t>UNIT 2</t>
        </is>
      </c>
      <c r="D35" t="inlineStr"/>
      <c r="E35" t="inlineStr"/>
      <c r="F35" t="inlineStr"/>
    </row>
    <row r="36">
      <c r="A36" t="inlineStr">
        <is>
          <t>Bell ES</t>
        </is>
      </c>
      <c r="B36" t="inlineStr">
        <is>
          <t>NES Elementary</t>
        </is>
      </c>
      <c r="C36" t="inlineStr">
        <is>
          <t>UNIT 2</t>
        </is>
      </c>
      <c r="D36" t="inlineStr"/>
      <c r="E36" t="inlineStr"/>
      <c r="F36" t="inlineStr"/>
    </row>
    <row r="37">
      <c r="A37" t="inlineStr">
        <is>
          <t>Barrick ES</t>
        </is>
      </c>
      <c r="B37" t="inlineStr">
        <is>
          <t>NES Elementary</t>
        </is>
      </c>
      <c r="C37" t="inlineStr">
        <is>
          <t>UNIT 2</t>
        </is>
      </c>
      <c r="D37" t="inlineStr"/>
      <c r="E37" t="inlineStr"/>
      <c r="F37" t="inlineStr"/>
    </row>
    <row r="38">
      <c r="A38" t="inlineStr">
        <is>
          <t>Cook ES</t>
        </is>
      </c>
      <c r="B38" t="inlineStr">
        <is>
          <t>NES Elementary</t>
        </is>
      </c>
      <c r="C38" t="inlineStr">
        <is>
          <t>UNIT 2</t>
        </is>
      </c>
      <c r="D38" t="inlineStr"/>
      <c r="E38" t="inlineStr"/>
      <c r="F38" t="inlineStr"/>
    </row>
    <row r="39">
      <c r="A39" t="inlineStr">
        <is>
          <t>Durkee ES</t>
        </is>
      </c>
      <c r="B39" t="inlineStr">
        <is>
          <t>NES Elementary</t>
        </is>
      </c>
      <c r="C39" t="inlineStr">
        <is>
          <t>UNIT 2</t>
        </is>
      </c>
      <c r="D39" t="inlineStr"/>
      <c r="E39" t="inlineStr"/>
      <c r="F39" t="inlineStr"/>
    </row>
    <row r="40">
      <c r="A40" t="inlineStr">
        <is>
          <t>Brookline ES</t>
        </is>
      </c>
      <c r="B40" t="inlineStr">
        <is>
          <t>NES Elementary</t>
        </is>
      </c>
      <c r="C40" t="inlineStr">
        <is>
          <t>UNIT 2</t>
        </is>
      </c>
      <c r="D40" t="inlineStr"/>
      <c r="E40" t="inlineStr"/>
      <c r="F40" t="inlineStr"/>
    </row>
    <row r="41">
      <c r="A41" t="inlineStr">
        <is>
          <t>Kelso ES</t>
        </is>
      </c>
      <c r="B41" t="inlineStr">
        <is>
          <t>NES Elementary</t>
        </is>
      </c>
      <c r="C41" t="inlineStr">
        <is>
          <t>UNIT 2</t>
        </is>
      </c>
      <c r="D41" t="inlineStr"/>
      <c r="E41" t="inlineStr"/>
      <c r="F41" t="inlineStr"/>
    </row>
    <row r="42">
      <c r="A42" t="inlineStr">
        <is>
          <t>Berry ES</t>
        </is>
      </c>
      <c r="B42" t="inlineStr">
        <is>
          <t>NES Elementary</t>
        </is>
      </c>
      <c r="C42" t="inlineStr">
        <is>
          <t>UNIT 2</t>
        </is>
      </c>
      <c r="D42" t="inlineStr"/>
      <c r="E42" t="inlineStr"/>
      <c r="F42" t="inlineStr"/>
    </row>
    <row r="43">
      <c r="A43" t="inlineStr">
        <is>
          <t>Elmore ES</t>
        </is>
      </c>
      <c r="B43" t="inlineStr">
        <is>
          <t>NES Elementary</t>
        </is>
      </c>
      <c r="C43" t="inlineStr">
        <is>
          <t>UNIT 2</t>
        </is>
      </c>
      <c r="D43" t="inlineStr"/>
      <c r="E43" t="inlineStr"/>
      <c r="F43" t="inlineStr"/>
    </row>
    <row r="44">
      <c r="A44" t="inlineStr">
        <is>
          <t>Highland Height ES</t>
        </is>
      </c>
      <c r="B44" t="inlineStr">
        <is>
          <t>NES Elementary</t>
        </is>
      </c>
      <c r="C44" t="inlineStr">
        <is>
          <t>UNIT 2</t>
        </is>
      </c>
      <c r="D44" t="inlineStr">
        <is>
          <t>Highland Heights ES</t>
        </is>
      </c>
      <c r="E44" t="inlineStr"/>
      <c r="F44" t="inlineStr"/>
    </row>
    <row r="45">
      <c r="A45" t="inlineStr">
        <is>
          <t>Golfcrest ES</t>
        </is>
      </c>
      <c r="B45" t="inlineStr">
        <is>
          <t>NES Elementary</t>
        </is>
      </c>
      <c r="C45" t="inlineStr">
        <is>
          <t>UNIT 2</t>
        </is>
      </c>
      <c r="D45" t="inlineStr"/>
      <c r="E45" t="inlineStr"/>
      <c r="F45" t="inlineStr"/>
    </row>
    <row r="46">
      <c r="A46" t="inlineStr">
        <is>
          <t>Lewis ES</t>
        </is>
      </c>
      <c r="B46" t="inlineStr">
        <is>
          <t>NES Elementary</t>
        </is>
      </c>
      <c r="C46" t="inlineStr">
        <is>
          <t>UNIT 2</t>
        </is>
      </c>
      <c r="D46" t="inlineStr"/>
      <c r="E46" t="inlineStr"/>
      <c r="F46" t="inlineStr"/>
    </row>
    <row r="47">
      <c r="A47" t="inlineStr">
        <is>
          <t>Kennedy ES</t>
        </is>
      </c>
      <c r="B47" t="inlineStr">
        <is>
          <t>NES Elementary</t>
        </is>
      </c>
      <c r="C47" t="inlineStr">
        <is>
          <t>UNIT 2</t>
        </is>
      </c>
      <c r="D47" t="inlineStr"/>
      <c r="E47" t="inlineStr"/>
      <c r="F47" t="inlineStr"/>
    </row>
    <row r="48">
      <c r="A48" t="inlineStr">
        <is>
          <t>Hilliard ES</t>
        </is>
      </c>
      <c r="B48" t="inlineStr">
        <is>
          <t>NES Elementary</t>
        </is>
      </c>
      <c r="C48" t="inlineStr">
        <is>
          <t>UNIT 2</t>
        </is>
      </c>
      <c r="D48" t="inlineStr"/>
      <c r="E48" t="inlineStr"/>
      <c r="F48" t="inlineStr"/>
    </row>
    <row r="49">
      <c r="A49" t="inlineStr">
        <is>
          <t>Smith ES</t>
        </is>
      </c>
      <c r="B49" t="inlineStr">
        <is>
          <t>NES Elementary</t>
        </is>
      </c>
      <c r="C49" t="inlineStr">
        <is>
          <t>UNIT 2</t>
        </is>
      </c>
      <c r="D49" t="inlineStr"/>
      <c r="E49" t="inlineStr"/>
      <c r="F49" t="inlineStr"/>
    </row>
    <row r="50">
      <c r="A50" t="inlineStr">
        <is>
          <t>Hartsfield ES</t>
        </is>
      </c>
      <c r="B50" t="inlineStr">
        <is>
          <t>NES Elementary</t>
        </is>
      </c>
      <c r="C50" t="inlineStr">
        <is>
          <t>UNIT 2</t>
        </is>
      </c>
      <c r="D50" t="inlineStr"/>
      <c r="E50" t="inlineStr"/>
      <c r="F50" t="inlineStr"/>
    </row>
    <row r="51">
      <c r="A51" t="inlineStr">
        <is>
          <t>Mading ES</t>
        </is>
      </c>
      <c r="B51" t="inlineStr">
        <is>
          <t>NES Elementary</t>
        </is>
      </c>
      <c r="C51" t="inlineStr">
        <is>
          <t>UNIT 2</t>
        </is>
      </c>
      <c r="D51" t="inlineStr"/>
      <c r="E51" t="inlineStr"/>
      <c r="F51" t="inlineStr"/>
    </row>
    <row r="52">
      <c r="A52" t="inlineStr">
        <is>
          <t>Coop ES</t>
        </is>
      </c>
      <c r="B52" t="inlineStr">
        <is>
          <t>NES Elementary</t>
        </is>
      </c>
      <c r="C52" t="inlineStr">
        <is>
          <t>UNIT 2</t>
        </is>
      </c>
      <c r="D52" t="inlineStr"/>
      <c r="E52" t="inlineStr"/>
      <c r="F52" t="inlineStr"/>
    </row>
    <row r="53">
      <c r="A53" t="inlineStr">
        <is>
          <t>Marshall ES</t>
        </is>
      </c>
      <c r="B53" t="inlineStr">
        <is>
          <t>NES Elementary</t>
        </is>
      </c>
      <c r="C53" t="inlineStr">
        <is>
          <t>UNIT 2</t>
        </is>
      </c>
      <c r="D53" t="inlineStr"/>
      <c r="E53" t="inlineStr"/>
      <c r="F53" t="inlineStr"/>
    </row>
    <row r="54">
      <c r="A54" t="inlineStr">
        <is>
          <t>Stevens ES</t>
        </is>
      </c>
      <c r="B54" t="inlineStr">
        <is>
          <t>NES Elementary</t>
        </is>
      </c>
      <c r="C54" t="inlineStr">
        <is>
          <t>UNIT 2</t>
        </is>
      </c>
      <c r="D54" t="inlineStr"/>
      <c r="E54" t="inlineStr"/>
      <c r="F54" t="inlineStr"/>
    </row>
    <row r="55">
      <c r="A55" t="inlineStr">
        <is>
          <t>Rucker ES</t>
        </is>
      </c>
      <c r="B55" t="inlineStr">
        <is>
          <t>NES Elementary</t>
        </is>
      </c>
      <c r="C55" t="inlineStr">
        <is>
          <t>UNIT 2</t>
        </is>
      </c>
      <c r="D55" t="inlineStr"/>
      <c r="E55" t="inlineStr"/>
      <c r="F55" t="inlineStr"/>
    </row>
    <row r="56">
      <c r="A56" t="inlineStr">
        <is>
          <t>Seguin ES</t>
        </is>
      </c>
      <c r="B56" t="inlineStr">
        <is>
          <t>NES Elementary</t>
        </is>
      </c>
      <c r="C56" t="inlineStr">
        <is>
          <t>UNIT 2</t>
        </is>
      </c>
      <c r="D56" t="inlineStr"/>
      <c r="E56" t="inlineStr"/>
      <c r="F56" t="inlineStr"/>
    </row>
    <row r="57">
      <c r="A57" t="inlineStr">
        <is>
          <t>Garcia ES</t>
        </is>
      </c>
      <c r="B57" t="inlineStr">
        <is>
          <t>NES Elementary</t>
        </is>
      </c>
      <c r="C57" t="inlineStr">
        <is>
          <t>UNIT 2</t>
        </is>
      </c>
      <c r="D57" t="inlineStr"/>
      <c r="E57" t="inlineStr"/>
      <c r="F57" t="inlineStr"/>
    </row>
    <row r="58">
      <c r="A58" t="inlineStr">
        <is>
          <t>McGowen ES</t>
        </is>
      </c>
      <c r="B58" t="inlineStr">
        <is>
          <t>NES Elementary</t>
        </is>
      </c>
      <c r="C58" t="inlineStr">
        <is>
          <t>UNIT 2</t>
        </is>
      </c>
      <c r="D58" t="inlineStr"/>
      <c r="E58" t="inlineStr"/>
      <c r="F58" t="inlineStr"/>
    </row>
    <row r="59">
      <c r="A59" t="inlineStr">
        <is>
          <t>Wainwright ES</t>
        </is>
      </c>
      <c r="B59" t="inlineStr">
        <is>
          <t>NES Elementary</t>
        </is>
      </c>
      <c r="C59" t="inlineStr">
        <is>
          <t>UNIT 2</t>
        </is>
      </c>
      <c r="D59" t="inlineStr"/>
      <c r="E59" t="inlineStr">
        <is>
          <t>No (charter withdrawn)</t>
        </is>
      </c>
      <c r="F59" t="inlineStr">
        <is>
          <t>Charter Withdrawn</t>
        </is>
      </c>
    </row>
    <row r="60">
      <c r="A60" t="inlineStr">
        <is>
          <t>Sanchez ES</t>
        </is>
      </c>
      <c r="B60" t="inlineStr">
        <is>
          <t>NES Elementary</t>
        </is>
      </c>
      <c r="C60" t="inlineStr">
        <is>
          <t>UNIT 2</t>
        </is>
      </c>
      <c r="D60" t="inlineStr"/>
      <c r="E60" t="inlineStr"/>
      <c r="F60" t="inlineStr"/>
    </row>
    <row r="61">
      <c r="A61" t="inlineStr">
        <is>
          <t>Young ES</t>
        </is>
      </c>
      <c r="B61" t="inlineStr">
        <is>
          <t>NES Elementary</t>
        </is>
      </c>
      <c r="C61" t="inlineStr">
        <is>
          <t>UNIT 2</t>
        </is>
      </c>
      <c r="D61" t="inlineStr"/>
      <c r="E61" t="inlineStr"/>
      <c r="F61" t="inlineStr"/>
    </row>
    <row r="62">
      <c r="A62" t="inlineStr">
        <is>
          <t>Northline ES</t>
        </is>
      </c>
      <c r="B62" t="inlineStr">
        <is>
          <t>NES Elementary</t>
        </is>
      </c>
      <c r="C62" t="inlineStr">
        <is>
          <t>UNIT 2</t>
        </is>
      </c>
      <c r="D62" t="inlineStr"/>
      <c r="E62" t="inlineStr"/>
      <c r="F62" t="inlineStr"/>
    </row>
    <row r="63">
      <c r="A63" t="inlineStr">
        <is>
          <t>Paige ES</t>
        </is>
      </c>
      <c r="B63" t="inlineStr">
        <is>
          <t>NES Elementary</t>
        </is>
      </c>
      <c r="C63" t="inlineStr">
        <is>
          <t>UNIT 2</t>
        </is>
      </c>
      <c r="D63" t="inlineStr"/>
      <c r="E63" t="inlineStr"/>
      <c r="F63" t="inlineStr"/>
    </row>
    <row r="64">
      <c r="A64" t="inlineStr">
        <is>
          <t>Wesley ES</t>
        </is>
      </c>
      <c r="B64" t="inlineStr">
        <is>
          <t>NES Elementary</t>
        </is>
      </c>
      <c r="C64" t="inlineStr">
        <is>
          <t>UNIT 2</t>
        </is>
      </c>
      <c r="D64" t="inlineStr"/>
      <c r="E64" t="inlineStr"/>
      <c r="F64" t="inlineStr"/>
    </row>
    <row r="65">
      <c r="A65" t="inlineStr">
        <is>
          <t>Osborne ES</t>
        </is>
      </c>
      <c r="B65" t="inlineStr">
        <is>
          <t>NES Elementary</t>
        </is>
      </c>
      <c r="C65" t="inlineStr">
        <is>
          <t>UNIT 2</t>
        </is>
      </c>
      <c r="D65" t="inlineStr"/>
      <c r="E65" t="inlineStr"/>
      <c r="F65" t="inlineStr"/>
    </row>
    <row r="66">
      <c r="A66" t="inlineStr">
        <is>
          <t>Shadydale ES</t>
        </is>
      </c>
      <c r="B66" t="inlineStr">
        <is>
          <t>NES Elementary</t>
        </is>
      </c>
      <c r="C66" t="inlineStr">
        <is>
          <t>UNIT 2</t>
        </is>
      </c>
      <c r="D66" t="inlineStr"/>
      <c r="E66" t="inlineStr"/>
      <c r="F66" t="inlineStr"/>
    </row>
    <row r="67">
      <c r="A67" t="inlineStr">
        <is>
          <t>Cage ES (@Lantrip ES)</t>
        </is>
      </c>
      <c r="B67" t="inlineStr">
        <is>
          <t>NES Elementary</t>
        </is>
      </c>
      <c r="C67" t="inlineStr">
        <is>
          <t>UNIT 3</t>
        </is>
      </c>
      <c r="D67" t="inlineStr"/>
      <c r="E67" t="inlineStr"/>
      <c r="F67" t="inlineStr"/>
    </row>
    <row r="68">
      <c r="A68" t="inlineStr">
        <is>
          <t>Burnet ES</t>
        </is>
      </c>
      <c r="B68" t="inlineStr">
        <is>
          <t>NES Elementary</t>
        </is>
      </c>
      <c r="C68" t="inlineStr">
        <is>
          <t>UNIT 3</t>
        </is>
      </c>
      <c r="D68" t="inlineStr"/>
      <c r="E68" t="inlineStr"/>
      <c r="F68" t="inlineStr"/>
    </row>
    <row r="69">
      <c r="A69" t="inlineStr">
        <is>
          <t>Atherton ES</t>
        </is>
      </c>
      <c r="B69" t="inlineStr">
        <is>
          <t>NES Elementary</t>
        </is>
      </c>
      <c r="C69" t="inlineStr">
        <is>
          <t>UNIT 3</t>
        </is>
      </c>
      <c r="D69" t="inlineStr"/>
      <c r="E69" t="inlineStr"/>
      <c r="F69" t="inlineStr"/>
    </row>
    <row r="70">
      <c r="A70" t="inlineStr">
        <is>
          <t>Dogan ES</t>
        </is>
      </c>
      <c r="B70" t="inlineStr">
        <is>
          <t>NES Elementary</t>
        </is>
      </c>
      <c r="C70" t="inlineStr">
        <is>
          <t>UNIT 3</t>
        </is>
      </c>
      <c r="D70" t="inlineStr"/>
      <c r="E70" t="inlineStr"/>
      <c r="F70" t="inlineStr"/>
    </row>
    <row r="71">
      <c r="A71" t="inlineStr">
        <is>
          <t>Blackshear ES</t>
        </is>
      </c>
      <c r="B71" t="inlineStr">
        <is>
          <t>NES Elementary</t>
        </is>
      </c>
      <c r="C71" t="inlineStr">
        <is>
          <t>UNIT 3</t>
        </is>
      </c>
      <c r="D71" t="inlineStr"/>
      <c r="E71" t="inlineStr"/>
      <c r="F71" t="inlineStr"/>
    </row>
    <row r="72">
      <c r="A72" t="inlineStr">
        <is>
          <t>Harris RP ES</t>
        </is>
      </c>
      <c r="B72" t="inlineStr">
        <is>
          <t>NES Elementary</t>
        </is>
      </c>
      <c r="C72" t="inlineStr">
        <is>
          <t>UNIT 3</t>
        </is>
      </c>
      <c r="D72" t="inlineStr"/>
      <c r="E72" t="inlineStr"/>
      <c r="F72" t="inlineStr"/>
    </row>
    <row r="73">
      <c r="A73" t="inlineStr">
        <is>
          <t>Carrillo ES</t>
        </is>
      </c>
      <c r="B73" t="inlineStr">
        <is>
          <t>NES Elementary</t>
        </is>
      </c>
      <c r="C73" t="inlineStr">
        <is>
          <t>UNIT 3</t>
        </is>
      </c>
      <c r="D73" t="inlineStr"/>
      <c r="E73" t="inlineStr"/>
      <c r="F73" t="inlineStr"/>
    </row>
    <row r="74">
      <c r="A74" t="inlineStr">
        <is>
          <t>Browning ES</t>
        </is>
      </c>
      <c r="B74" t="inlineStr">
        <is>
          <t>NES Elementary</t>
        </is>
      </c>
      <c r="C74" t="inlineStr">
        <is>
          <t>UNIT 3</t>
        </is>
      </c>
      <c r="D74" t="inlineStr"/>
      <c r="E74" t="inlineStr">
        <is>
          <t>Yes</t>
        </is>
      </c>
      <c r="F74" t="inlineStr">
        <is>
          <t>Inactive</t>
        </is>
      </c>
    </row>
    <row r="75">
      <c r="A75" t="inlineStr">
        <is>
          <t>Eliot ES</t>
        </is>
      </c>
      <c r="B75" t="inlineStr">
        <is>
          <t>NES Elementary</t>
        </is>
      </c>
      <c r="C75" t="inlineStr">
        <is>
          <t>UNIT 3</t>
        </is>
      </c>
      <c r="D75" t="inlineStr"/>
      <c r="E75" t="inlineStr"/>
      <c r="F75" t="inlineStr"/>
    </row>
    <row r="76">
      <c r="A76" t="inlineStr">
        <is>
          <t>Martinez R. ES</t>
        </is>
      </c>
      <c r="B76" t="inlineStr">
        <is>
          <t>NES Elementary</t>
        </is>
      </c>
      <c r="C76" t="inlineStr">
        <is>
          <t>UNIT 3</t>
        </is>
      </c>
      <c r="D76" t="inlineStr"/>
      <c r="E76" t="inlineStr"/>
      <c r="F76" t="inlineStr"/>
    </row>
    <row r="77">
      <c r="A77" t="inlineStr">
        <is>
          <t>Kashmere Gardens ES</t>
        </is>
      </c>
      <c r="B77" t="inlineStr">
        <is>
          <t>NES Elementary</t>
        </is>
      </c>
      <c r="C77" t="inlineStr">
        <is>
          <t>UNIT 3</t>
        </is>
      </c>
      <c r="D77" t="inlineStr"/>
      <c r="E77" t="inlineStr"/>
      <c r="F77" t="inlineStr"/>
    </row>
    <row r="78">
      <c r="A78" t="inlineStr">
        <is>
          <t>De Zavala ES</t>
        </is>
      </c>
      <c r="B78" t="inlineStr">
        <is>
          <t>NES Elementary</t>
        </is>
      </c>
      <c r="C78" t="inlineStr">
        <is>
          <t>UNIT 3</t>
        </is>
      </c>
      <c r="D78" t="inlineStr">
        <is>
          <t>DeZavala ES</t>
        </is>
      </c>
      <c r="E78" t="inlineStr"/>
      <c r="F78" t="inlineStr"/>
    </row>
    <row r="79">
      <c r="A79" t="inlineStr">
        <is>
          <t>Bruce ES</t>
        </is>
      </c>
      <c r="B79" t="inlineStr">
        <is>
          <t>NES Elementary</t>
        </is>
      </c>
      <c r="C79" t="inlineStr">
        <is>
          <t>UNIT 3</t>
        </is>
      </c>
      <c r="D79" t="inlineStr"/>
      <c r="E79" t="inlineStr"/>
      <c r="F79" t="inlineStr"/>
    </row>
    <row r="80">
      <c r="A80" t="inlineStr">
        <is>
          <t>Gregory Lincoln ES</t>
        </is>
      </c>
      <c r="B80" t="inlineStr">
        <is>
          <t>NES Elementary</t>
        </is>
      </c>
      <c r="C80" t="inlineStr">
        <is>
          <t>UNIT 3</t>
        </is>
      </c>
      <c r="D80" t="inlineStr"/>
      <c r="E80" t="inlineStr"/>
      <c r="F80" t="inlineStr"/>
    </row>
    <row r="81">
      <c r="A81" t="inlineStr">
        <is>
          <t>Martinez, C. ES</t>
        </is>
      </c>
      <c r="B81" t="inlineStr">
        <is>
          <t>NES Elementary</t>
        </is>
      </c>
      <c r="C81" t="inlineStr">
        <is>
          <t>UNIT 3</t>
        </is>
      </c>
      <c r="D81" t="inlineStr"/>
      <c r="E81" t="inlineStr"/>
      <c r="F81" t="inlineStr"/>
    </row>
    <row r="82">
      <c r="A82" t="inlineStr">
        <is>
          <t>Gallegos ES</t>
        </is>
      </c>
      <c r="B82" t="inlineStr">
        <is>
          <t>NES Elementary</t>
        </is>
      </c>
      <c r="C82" t="inlineStr">
        <is>
          <t>UNIT 3</t>
        </is>
      </c>
      <c r="D82" t="inlineStr"/>
      <c r="E82" t="inlineStr"/>
      <c r="F82" t="inlineStr"/>
    </row>
    <row r="83">
      <c r="A83" t="inlineStr">
        <is>
          <t>Crockett ES</t>
        </is>
      </c>
      <c r="B83" t="inlineStr">
        <is>
          <t>NES Elementary</t>
        </is>
      </c>
      <c r="C83" t="inlineStr">
        <is>
          <t>UNIT 3</t>
        </is>
      </c>
      <c r="D83" t="inlineStr"/>
      <c r="E83" t="inlineStr"/>
      <c r="F83" t="inlineStr"/>
    </row>
    <row r="84">
      <c r="A84" t="inlineStr">
        <is>
          <t>Isaacs ES</t>
        </is>
      </c>
      <c r="B84" t="inlineStr">
        <is>
          <t>NES Elementary</t>
        </is>
      </c>
      <c r="C84" t="inlineStr">
        <is>
          <t>UNIT 3</t>
        </is>
      </c>
      <c r="D84" t="inlineStr"/>
      <c r="E84" t="inlineStr"/>
      <c r="F84" t="inlineStr"/>
    </row>
    <row r="85">
      <c r="A85" t="inlineStr">
        <is>
          <t>Oates ES</t>
        </is>
      </c>
      <c r="B85" t="inlineStr">
        <is>
          <t>NES Elementary</t>
        </is>
      </c>
      <c r="C85" t="inlineStr">
        <is>
          <t>UNIT 3</t>
        </is>
      </c>
      <c r="D85" t="inlineStr"/>
      <c r="E85" t="inlineStr"/>
      <c r="F85" t="inlineStr"/>
    </row>
    <row r="86">
      <c r="A86" t="inlineStr">
        <is>
          <t>Harris, JR ES</t>
        </is>
      </c>
      <c r="B86" t="inlineStr">
        <is>
          <t>NES Elementary</t>
        </is>
      </c>
      <c r="C86" t="inlineStr">
        <is>
          <t>UNIT 3</t>
        </is>
      </c>
      <c r="D86" t="inlineStr"/>
      <c r="E86" t="inlineStr"/>
      <c r="F86" t="inlineStr"/>
    </row>
    <row r="87">
      <c r="A87" t="inlineStr">
        <is>
          <t>Peck ES</t>
        </is>
      </c>
      <c r="B87" t="inlineStr">
        <is>
          <t>NES Elementary</t>
        </is>
      </c>
      <c r="C87" t="inlineStr">
        <is>
          <t>UNIT 3</t>
        </is>
      </c>
      <c r="D87" t="inlineStr"/>
      <c r="E87" t="inlineStr"/>
      <c r="F87" t="inlineStr"/>
    </row>
    <row r="88">
      <c r="A88" t="inlineStr">
        <is>
          <t>Pugh ES</t>
        </is>
      </c>
      <c r="B88" t="inlineStr">
        <is>
          <t>NES Elementary</t>
        </is>
      </c>
      <c r="C88" t="inlineStr">
        <is>
          <t>UNIT 3</t>
        </is>
      </c>
      <c r="D88" t="inlineStr"/>
      <c r="E88" t="inlineStr"/>
      <c r="F88" t="inlineStr"/>
    </row>
    <row r="89">
      <c r="A89" t="inlineStr">
        <is>
          <t>Pleasantville ES</t>
        </is>
      </c>
      <c r="B89" t="inlineStr">
        <is>
          <t>NES Elementary</t>
        </is>
      </c>
      <c r="C89" t="inlineStr">
        <is>
          <t>UNIT 3</t>
        </is>
      </c>
      <c r="D89" t="inlineStr"/>
      <c r="E89" t="inlineStr"/>
      <c r="F89" t="inlineStr"/>
    </row>
    <row r="90">
      <c r="A90" t="inlineStr">
        <is>
          <t>Jefferson ES</t>
        </is>
      </c>
      <c r="B90" t="inlineStr">
        <is>
          <t>NES Elementary</t>
        </is>
      </c>
      <c r="C90" t="inlineStr">
        <is>
          <t>UNIT 3</t>
        </is>
      </c>
      <c r="D90" t="inlineStr"/>
      <c r="E90" t="inlineStr"/>
      <c r="F90" t="inlineStr"/>
    </row>
    <row r="91">
      <c r="A91" t="inlineStr">
        <is>
          <t>Ketelsen ES</t>
        </is>
      </c>
      <c r="B91" t="inlineStr">
        <is>
          <t>NES Elementary</t>
        </is>
      </c>
      <c r="C91" t="inlineStr">
        <is>
          <t>UNIT 3</t>
        </is>
      </c>
      <c r="D91" t="inlineStr"/>
      <c r="E91" t="inlineStr">
        <is>
          <t>Yes</t>
        </is>
      </c>
      <c r="F91" t="inlineStr">
        <is>
          <t>Inactive</t>
        </is>
      </c>
    </row>
    <row r="92">
      <c r="A92" t="inlineStr">
        <is>
          <t>Scroggins ES</t>
        </is>
      </c>
      <c r="B92" t="inlineStr">
        <is>
          <t>NES Elementary</t>
        </is>
      </c>
      <c r="C92" t="inlineStr">
        <is>
          <t>UNIT 3</t>
        </is>
      </c>
      <c r="D92" t="inlineStr"/>
      <c r="E92" t="inlineStr"/>
      <c r="F92" t="inlineStr"/>
    </row>
    <row r="93">
      <c r="A93" t="inlineStr">
        <is>
          <t>Robinson ES</t>
        </is>
      </c>
      <c r="B93" t="inlineStr">
        <is>
          <t>NES Elementary</t>
        </is>
      </c>
      <c r="C93" t="inlineStr">
        <is>
          <t>UNIT 3</t>
        </is>
      </c>
      <c r="D93" t="inlineStr"/>
      <c r="E93" t="inlineStr"/>
      <c r="F93" t="inlineStr"/>
    </row>
    <row r="94">
      <c r="A94" t="inlineStr">
        <is>
          <t>Southmayd ES</t>
        </is>
      </c>
      <c r="B94" t="inlineStr">
        <is>
          <t>NES Elementary</t>
        </is>
      </c>
      <c r="C94" t="inlineStr">
        <is>
          <t>UNIT 3</t>
        </is>
      </c>
      <c r="D94" t="inlineStr"/>
      <c r="E94" t="inlineStr"/>
      <c r="F94" t="inlineStr"/>
    </row>
    <row r="95">
      <c r="A95" t="inlineStr">
        <is>
          <t>Looscan ES</t>
        </is>
      </c>
      <c r="B95" t="inlineStr">
        <is>
          <t>NES Elementary</t>
        </is>
      </c>
      <c r="C95" t="inlineStr">
        <is>
          <t>UNIT 3</t>
        </is>
      </c>
      <c r="D95" t="inlineStr"/>
      <c r="E95" t="inlineStr"/>
      <c r="F95" t="inlineStr"/>
    </row>
    <row r="96">
      <c r="A96" t="inlineStr">
        <is>
          <t>Whittier ES</t>
        </is>
      </c>
      <c r="B96" t="inlineStr">
        <is>
          <t>NES Elementary</t>
        </is>
      </c>
      <c r="C96" t="inlineStr">
        <is>
          <t>UNIT 3</t>
        </is>
      </c>
      <c r="D96" t="inlineStr"/>
      <c r="E96" t="inlineStr"/>
      <c r="F96" t="inlineStr"/>
    </row>
    <row r="97">
      <c r="A97" t="inlineStr">
        <is>
          <t>Fleming/McReynolds (@ Leland MS )</t>
        </is>
      </c>
      <c r="B97" t="inlineStr">
        <is>
          <t>NES Secondary</t>
        </is>
      </c>
      <c r="C97" t="inlineStr">
        <is>
          <t>UNIT 1</t>
        </is>
      </c>
      <c r="D97" t="inlineStr">
        <is>
          <t>McReynolds MS</t>
        </is>
      </c>
      <c r="E97" t="inlineStr"/>
      <c r="F97" t="inlineStr"/>
    </row>
    <row r="98">
      <c r="A98" t="inlineStr">
        <is>
          <t>Clifton MS</t>
        </is>
      </c>
      <c r="B98" t="inlineStr">
        <is>
          <t>NES Secondary</t>
        </is>
      </c>
      <c r="C98" t="inlineStr">
        <is>
          <t>UNIT 1</t>
        </is>
      </c>
      <c r="D98" t="inlineStr"/>
      <c r="E98" t="inlineStr"/>
      <c r="F98" t="inlineStr"/>
    </row>
    <row r="99">
      <c r="A99" t="inlineStr">
        <is>
          <t>Forest Brook MS</t>
        </is>
      </c>
      <c r="B99" t="inlineStr">
        <is>
          <t>NES Secondary</t>
        </is>
      </c>
      <c r="C99" t="inlineStr">
        <is>
          <t>UNIT 1</t>
        </is>
      </c>
      <c r="D99" t="inlineStr"/>
      <c r="E99" t="inlineStr"/>
      <c r="F99" t="inlineStr"/>
    </row>
    <row r="100">
      <c r="A100" t="inlineStr">
        <is>
          <t>Holland MS</t>
        </is>
      </c>
      <c r="B100" t="inlineStr">
        <is>
          <t>NES Secondary</t>
        </is>
      </c>
      <c r="C100" t="inlineStr">
        <is>
          <t>UNIT 1</t>
        </is>
      </c>
      <c r="D100" t="inlineStr"/>
      <c r="E100" t="inlineStr"/>
      <c r="F100" t="inlineStr"/>
    </row>
    <row r="101">
      <c r="A101" t="inlineStr">
        <is>
          <t>Fonville MS</t>
        </is>
      </c>
      <c r="B101" t="inlineStr">
        <is>
          <t>NES Secondary</t>
        </is>
      </c>
      <c r="C101" t="inlineStr">
        <is>
          <t>UNIT 1</t>
        </is>
      </c>
      <c r="D101" t="inlineStr"/>
      <c r="E101" t="inlineStr"/>
      <c r="F101" t="inlineStr"/>
    </row>
    <row r="102">
      <c r="A102" t="inlineStr">
        <is>
          <t>Kashmere HS</t>
        </is>
      </c>
      <c r="B102" t="inlineStr">
        <is>
          <t>NES Secondary</t>
        </is>
      </c>
      <c r="C102" t="inlineStr">
        <is>
          <t>UNIT 1</t>
        </is>
      </c>
      <c r="D102" t="inlineStr"/>
      <c r="E102" t="inlineStr"/>
      <c r="F102" t="inlineStr"/>
    </row>
    <row r="103">
      <c r="A103" t="inlineStr">
        <is>
          <t>Marshall MS</t>
        </is>
      </c>
      <c r="B103" t="inlineStr">
        <is>
          <t>NES Secondary</t>
        </is>
      </c>
      <c r="C103" t="inlineStr">
        <is>
          <t>UNIT 1</t>
        </is>
      </c>
      <c r="D103" t="inlineStr"/>
      <c r="E103" t="inlineStr"/>
      <c r="F103" t="inlineStr"/>
    </row>
    <row r="104">
      <c r="A104" t="inlineStr">
        <is>
          <t>Furr HS</t>
        </is>
      </c>
      <c r="B104" t="inlineStr">
        <is>
          <t>NES Secondary</t>
        </is>
      </c>
      <c r="C104" t="inlineStr">
        <is>
          <t>UNIT 1</t>
        </is>
      </c>
      <c r="D104" t="inlineStr"/>
      <c r="E104" t="inlineStr"/>
      <c r="F104" t="inlineStr"/>
    </row>
    <row r="105">
      <c r="A105" t="inlineStr">
        <is>
          <t>Key MS</t>
        </is>
      </c>
      <c r="B105" t="inlineStr">
        <is>
          <t>NES Secondary</t>
        </is>
      </c>
      <c r="C105" t="inlineStr">
        <is>
          <t>UNIT 1</t>
        </is>
      </c>
      <c r="D105" t="inlineStr"/>
      <c r="E105" t="inlineStr"/>
      <c r="F105" t="inlineStr"/>
    </row>
    <row r="106">
      <c r="A106" t="inlineStr">
        <is>
          <t>North Forest HS</t>
        </is>
      </c>
      <c r="B106" t="inlineStr">
        <is>
          <t>NES Secondary</t>
        </is>
      </c>
      <c r="C106" t="inlineStr">
        <is>
          <t>UNIT 1</t>
        </is>
      </c>
      <c r="D106" t="inlineStr"/>
      <c r="E106" t="inlineStr"/>
      <c r="F106" t="inlineStr"/>
    </row>
    <row r="107">
      <c r="A107" t="inlineStr">
        <is>
          <t>Henry MS</t>
        </is>
      </c>
      <c r="B107" t="inlineStr">
        <is>
          <t>NES Secondary</t>
        </is>
      </c>
      <c r="C107" t="inlineStr">
        <is>
          <t>UNIT 1</t>
        </is>
      </c>
      <c r="D107" t="inlineStr"/>
      <c r="E107" t="inlineStr"/>
      <c r="F107" t="inlineStr"/>
    </row>
    <row r="108">
      <c r="A108" t="inlineStr">
        <is>
          <t>Northside HS</t>
        </is>
      </c>
      <c r="B108" t="inlineStr">
        <is>
          <t>NES Secondary</t>
        </is>
      </c>
      <c r="C108" t="inlineStr">
        <is>
          <t>UNIT 1</t>
        </is>
      </c>
      <c r="D108" t="inlineStr"/>
      <c r="E108" t="inlineStr">
        <is>
          <t>No (charter withdrawn)</t>
        </is>
      </c>
      <c r="F108" t="inlineStr">
        <is>
          <t>Charter Withdrawn</t>
        </is>
      </c>
    </row>
    <row r="109">
      <c r="A109" t="inlineStr">
        <is>
          <t>Washington HS</t>
        </is>
      </c>
      <c r="B109" t="inlineStr">
        <is>
          <t>NES Secondary</t>
        </is>
      </c>
      <c r="C109" t="inlineStr">
        <is>
          <t>UNIT 1</t>
        </is>
      </c>
      <c r="D109" t="inlineStr"/>
      <c r="E109" t="inlineStr"/>
      <c r="F109" t="inlineStr"/>
    </row>
    <row r="110">
      <c r="A110" t="inlineStr">
        <is>
          <t>Houston MSTC</t>
        </is>
      </c>
      <c r="B110" t="inlineStr">
        <is>
          <t>NES Secondary</t>
        </is>
      </c>
      <c r="C110" t="inlineStr">
        <is>
          <t>UNIT 1</t>
        </is>
      </c>
      <c r="D110" t="inlineStr">
        <is>
          <t>Houston MSTC HS</t>
        </is>
      </c>
      <c r="E110" t="inlineStr"/>
      <c r="F110" t="inlineStr"/>
    </row>
    <row r="111">
      <c r="A111" t="inlineStr">
        <is>
          <t>Scarborough HS</t>
        </is>
      </c>
      <c r="B111" t="inlineStr">
        <is>
          <t>NES Secondary</t>
        </is>
      </c>
      <c r="C111" t="inlineStr">
        <is>
          <t>UNIT 1</t>
        </is>
      </c>
      <c r="D111" t="inlineStr"/>
      <c r="E111" t="inlineStr"/>
      <c r="F111" t="inlineStr"/>
    </row>
    <row r="112">
      <c r="A112" t="inlineStr">
        <is>
          <t>McWilliams MS</t>
        </is>
      </c>
      <c r="B112" t="inlineStr">
        <is>
          <t>NES Secondary</t>
        </is>
      </c>
      <c r="C112" t="inlineStr">
        <is>
          <t>UNIT 1</t>
        </is>
      </c>
      <c r="D112" t="inlineStr">
        <is>
          <t>Williams MS</t>
        </is>
      </c>
      <c r="E112" t="inlineStr"/>
      <c r="F112" t="inlineStr"/>
    </row>
    <row r="113">
      <c r="A113" t="inlineStr">
        <is>
          <t>Lawson MS</t>
        </is>
      </c>
      <c r="B113" t="inlineStr">
        <is>
          <t>NES Secondary</t>
        </is>
      </c>
      <c r="C113" t="inlineStr">
        <is>
          <t>UNIT 2</t>
        </is>
      </c>
      <c r="D113" t="inlineStr"/>
      <c r="E113" t="inlineStr"/>
      <c r="F113" t="inlineStr"/>
    </row>
    <row r="114">
      <c r="A114" t="inlineStr">
        <is>
          <t>Hartman MS</t>
        </is>
      </c>
      <c r="B114" t="inlineStr">
        <is>
          <t>NES Secondary</t>
        </is>
      </c>
      <c r="C114" t="inlineStr">
        <is>
          <t>UNIT 2</t>
        </is>
      </c>
      <c r="D114" t="inlineStr"/>
      <c r="E114" t="inlineStr"/>
      <c r="F114" t="inlineStr"/>
    </row>
    <row r="115">
      <c r="A115" t="inlineStr">
        <is>
          <t>Cullen MS</t>
        </is>
      </c>
      <c r="B115" t="inlineStr">
        <is>
          <t>NES Secondary</t>
        </is>
      </c>
      <c r="C115" t="inlineStr">
        <is>
          <t>UNIT 2</t>
        </is>
      </c>
      <c r="D115" t="inlineStr"/>
      <c r="E115" t="inlineStr"/>
      <c r="F115" t="inlineStr"/>
    </row>
    <row r="116">
      <c r="A116" t="inlineStr">
        <is>
          <t>Austin HS</t>
        </is>
      </c>
      <c r="B116" t="inlineStr">
        <is>
          <t>NES Secondary</t>
        </is>
      </c>
      <c r="C116" t="inlineStr">
        <is>
          <t>UNIT 2</t>
        </is>
      </c>
      <c r="D116" t="inlineStr"/>
      <c r="E116" t="inlineStr"/>
      <c r="F116" t="inlineStr"/>
    </row>
    <row r="117">
      <c r="A117" t="inlineStr">
        <is>
          <t>Long Acad</t>
        </is>
      </c>
      <c r="B117" t="inlineStr">
        <is>
          <t>NES Secondary</t>
        </is>
      </c>
      <c r="C117" t="inlineStr">
        <is>
          <t>UNIT 2</t>
        </is>
      </c>
      <c r="D117" t="inlineStr"/>
      <c r="E117" t="inlineStr"/>
      <c r="F117" t="inlineStr"/>
    </row>
    <row r="118">
      <c r="A118" t="inlineStr">
        <is>
          <t>Sharpstown HS</t>
        </is>
      </c>
      <c r="B118" t="inlineStr">
        <is>
          <t>NES Secondary</t>
        </is>
      </c>
      <c r="C118" t="inlineStr">
        <is>
          <t>UNIT 2</t>
        </is>
      </c>
      <c r="D118" t="inlineStr"/>
      <c r="E118" t="inlineStr"/>
      <c r="F118" t="inlineStr"/>
    </row>
    <row r="119">
      <c r="A119" t="inlineStr">
        <is>
          <t>Deady MS</t>
        </is>
      </c>
      <c r="B119" t="inlineStr">
        <is>
          <t>NES Secondary</t>
        </is>
      </c>
      <c r="C119" t="inlineStr">
        <is>
          <t>UNIT 2</t>
        </is>
      </c>
      <c r="D119" t="inlineStr"/>
      <c r="E119" t="inlineStr"/>
      <c r="F119" t="inlineStr"/>
    </row>
    <row r="120">
      <c r="A120" t="inlineStr">
        <is>
          <t>Chrysalis MS</t>
        </is>
      </c>
      <c r="B120" t="inlineStr">
        <is>
          <t>NES Secondary</t>
        </is>
      </c>
      <c r="C120" t="inlineStr">
        <is>
          <t>UNIT 2</t>
        </is>
      </c>
      <c r="D120" t="inlineStr"/>
      <c r="E120" t="inlineStr"/>
      <c r="F120" t="inlineStr"/>
    </row>
    <row r="121">
      <c r="A121" t="inlineStr">
        <is>
          <t>Madison HS</t>
        </is>
      </c>
      <c r="B121" t="inlineStr">
        <is>
          <t>NES Secondary</t>
        </is>
      </c>
      <c r="C121" t="inlineStr">
        <is>
          <t>UNIT 2</t>
        </is>
      </c>
      <c r="D121" t="inlineStr"/>
      <c r="E121" t="inlineStr"/>
      <c r="F121" t="inlineStr"/>
    </row>
    <row r="122">
      <c r="A122" t="inlineStr">
        <is>
          <t>Sugar Grove MS</t>
        </is>
      </c>
      <c r="B122" t="inlineStr">
        <is>
          <t>NES Secondary</t>
        </is>
      </c>
      <c r="C122" t="inlineStr">
        <is>
          <t>UNIT 2</t>
        </is>
      </c>
      <c r="D122" t="inlineStr"/>
      <c r="E122" t="inlineStr"/>
      <c r="F122" t="inlineStr"/>
    </row>
    <row r="123">
      <c r="A123" t="inlineStr">
        <is>
          <t>Fondren MS</t>
        </is>
      </c>
      <c r="B123" t="inlineStr">
        <is>
          <t>NES Secondary</t>
        </is>
      </c>
      <c r="C123" t="inlineStr">
        <is>
          <t>UNIT 2</t>
        </is>
      </c>
      <c r="D123" t="inlineStr"/>
      <c r="E123" t="inlineStr"/>
      <c r="F123" t="inlineStr"/>
    </row>
    <row r="124">
      <c r="A124" t="inlineStr">
        <is>
          <t>Edison MS</t>
        </is>
      </c>
      <c r="B124" t="inlineStr">
        <is>
          <t>NES Secondary</t>
        </is>
      </c>
      <c r="C124" t="inlineStr">
        <is>
          <t>UNIT 2</t>
        </is>
      </c>
      <c r="D124" t="inlineStr"/>
      <c r="E124" t="inlineStr"/>
      <c r="F124" t="inlineStr"/>
    </row>
    <row r="125">
      <c r="A125" t="inlineStr">
        <is>
          <t>Revere MS</t>
        </is>
      </c>
      <c r="B125" t="inlineStr">
        <is>
          <t>NES Secondary</t>
        </is>
      </c>
      <c r="C125" t="inlineStr">
        <is>
          <t>UNIT 2</t>
        </is>
      </c>
      <c r="D125" t="inlineStr"/>
      <c r="E125" t="inlineStr"/>
      <c r="F125" t="inlineStr"/>
    </row>
    <row r="126">
      <c r="A126" t="inlineStr">
        <is>
          <t>Welch MS</t>
        </is>
      </c>
      <c r="B126" t="inlineStr">
        <is>
          <t>NES Secondary</t>
        </is>
      </c>
      <c r="C126" t="inlineStr">
        <is>
          <t>UNIT 2</t>
        </is>
      </c>
      <c r="D126" t="inlineStr"/>
      <c r="E126" t="inlineStr"/>
      <c r="F126" t="inlineStr"/>
    </row>
    <row r="127">
      <c r="A127" t="inlineStr">
        <is>
          <t>Ortiz MS</t>
        </is>
      </c>
      <c r="B127" t="inlineStr">
        <is>
          <t>NES Secondary</t>
        </is>
      </c>
      <c r="C127" t="inlineStr">
        <is>
          <t>UNIT 2</t>
        </is>
      </c>
      <c r="D127" t="inlineStr"/>
      <c r="E127" t="inlineStr"/>
      <c r="F127" t="inlineStr"/>
    </row>
    <row r="128">
      <c r="A128" t="inlineStr">
        <is>
          <t>Navarro MS</t>
        </is>
      </c>
      <c r="B128" t="inlineStr">
        <is>
          <t>NES Secondary</t>
        </is>
      </c>
      <c r="C128" t="inlineStr">
        <is>
          <t>UNIT 2</t>
        </is>
      </c>
      <c r="D128" t="inlineStr"/>
      <c r="E128" t="inlineStr"/>
      <c r="F128" t="inlineStr"/>
    </row>
    <row r="129">
      <c r="A129" t="inlineStr">
        <is>
          <t>Thomas MS</t>
        </is>
      </c>
      <c r="B129" t="inlineStr">
        <is>
          <t>NES Secondary</t>
        </is>
      </c>
      <c r="C129" t="inlineStr">
        <is>
          <t>UNIT 2</t>
        </is>
      </c>
      <c r="D129" t="inlineStr"/>
      <c r="E129" t="inlineStr"/>
      <c r="F129" t="inlineStr"/>
    </row>
    <row r="130">
      <c r="A130" t="inlineStr">
        <is>
          <t>Westbury HS</t>
        </is>
      </c>
      <c r="B130" t="inlineStr">
        <is>
          <t>NES Secondary</t>
        </is>
      </c>
      <c r="C130" t="inlineStr">
        <is>
          <t>UNIT 2</t>
        </is>
      </c>
      <c r="D130" t="inlineStr"/>
      <c r="E130" t="inlineStr"/>
      <c r="F130" t="inlineStr"/>
    </row>
    <row r="131">
      <c r="A131" t="inlineStr">
        <is>
          <t>Sterling HS</t>
        </is>
      </c>
      <c r="B131" t="inlineStr">
        <is>
          <t>NES Secondary</t>
        </is>
      </c>
      <c r="C131" t="inlineStr">
        <is>
          <t>UNIT 2</t>
        </is>
      </c>
      <c r="D131" t="inlineStr"/>
      <c r="E131" t="inlineStr"/>
      <c r="F131" t="inlineStr"/>
    </row>
    <row r="132">
      <c r="A132" t="inlineStr">
        <is>
          <t>Yates HS</t>
        </is>
      </c>
      <c r="B132" t="inlineStr">
        <is>
          <t>NES Secondary</t>
        </is>
      </c>
      <c r="C132" t="inlineStr">
        <is>
          <t>UNIT 2</t>
        </is>
      </c>
      <c r="D132" t="inlineStr"/>
      <c r="E132" t="inlineStr"/>
      <c r="F132" t="inlineStr"/>
    </row>
    <row r="133">
      <c r="A133" t="inlineStr">
        <is>
          <t>Wisdom HS</t>
        </is>
      </c>
      <c r="B133" t="inlineStr">
        <is>
          <t>NES Secondary</t>
        </is>
      </c>
      <c r="C133" t="inlineStr">
        <is>
          <t>UNIT 2</t>
        </is>
      </c>
      <c r="D133" t="inlineStr"/>
      <c r="E133" t="inlineStr"/>
      <c r="F133" t="inlineStr"/>
    </row>
    <row r="134">
      <c r="A134" t="inlineStr">
        <is>
          <t>Wheatley HS</t>
        </is>
      </c>
      <c r="B134" t="inlineStr">
        <is>
          <t>NES Secondary</t>
        </is>
      </c>
      <c r="C134" t="inlineStr">
        <is>
          <t>UNIT 2</t>
        </is>
      </c>
      <c r="D134" t="inlineStr"/>
      <c r="E134" t="inlineStr"/>
      <c r="F134" t="inlineStr"/>
    </row>
    <row r="135">
      <c r="A135" t="inlineStr">
        <is>
          <t>Worthing HS</t>
        </is>
      </c>
      <c r="B135" t="inlineStr">
        <is>
          <t>NES Secondary</t>
        </is>
      </c>
      <c r="C135" t="inlineStr">
        <is>
          <t>UNIT 2</t>
        </is>
      </c>
      <c r="D135" t="inlineStr"/>
      <c r="E135" t="inlineStr"/>
      <c r="F135" t="inlineStr"/>
    </row>
    <row r="136">
      <c r="A136" t="inlineStr">
        <is>
          <t>Fondern ES</t>
        </is>
      </c>
      <c r="B136" t="inlineStr">
        <is>
          <t>EAS Elementary</t>
        </is>
      </c>
      <c r="C136" t="inlineStr">
        <is>
          <t>UNIT 1</t>
        </is>
      </c>
      <c r="D136" t="inlineStr"/>
      <c r="E136" t="inlineStr"/>
      <c r="F136" t="inlineStr"/>
    </row>
    <row r="137">
      <c r="A137" t="inlineStr">
        <is>
          <t>Bellfort ECC</t>
        </is>
      </c>
      <c r="B137" t="inlineStr">
        <is>
          <t>EAS Elementary</t>
        </is>
      </c>
      <c r="C137" t="inlineStr">
        <is>
          <t>UNIT 1</t>
        </is>
      </c>
      <c r="D137" t="inlineStr"/>
      <c r="E137" t="inlineStr"/>
      <c r="F137" t="inlineStr"/>
    </row>
    <row r="138">
      <c r="A138" t="inlineStr">
        <is>
          <t>Arabic Immersion</t>
        </is>
      </c>
      <c r="B138" t="inlineStr">
        <is>
          <t>EAS Elementary</t>
        </is>
      </c>
      <c r="C138" t="inlineStr">
        <is>
          <t>UNIT 1</t>
        </is>
      </c>
      <c r="D138" t="inlineStr"/>
      <c r="E138" t="inlineStr"/>
      <c r="F138" t="inlineStr"/>
    </row>
    <row r="139">
      <c r="A139" t="inlineStr">
        <is>
          <t>Hines-Caldwell ES</t>
        </is>
      </c>
      <c r="B139" t="inlineStr">
        <is>
          <t>EAS Elementary</t>
        </is>
      </c>
      <c r="C139" t="inlineStr">
        <is>
          <t>UNIT 1</t>
        </is>
      </c>
      <c r="D139" t="inlineStr"/>
      <c r="E139" t="inlineStr"/>
      <c r="F139" t="inlineStr"/>
    </row>
    <row r="140">
      <c r="A140" t="inlineStr">
        <is>
          <t>Farias ECC</t>
        </is>
      </c>
      <c r="B140" t="inlineStr">
        <is>
          <t>EAS Elementary</t>
        </is>
      </c>
      <c r="C140" t="inlineStr">
        <is>
          <t>UNIT 1</t>
        </is>
      </c>
      <c r="D140" t="inlineStr"/>
      <c r="E140" t="inlineStr"/>
      <c r="F140" t="inlineStr"/>
    </row>
    <row r="141">
      <c r="A141" t="inlineStr">
        <is>
          <t>Baker Montessori</t>
        </is>
      </c>
      <c r="B141" t="inlineStr">
        <is>
          <t>EAS Elementary</t>
        </is>
      </c>
      <c r="C141" t="inlineStr">
        <is>
          <t>UNIT 1</t>
        </is>
      </c>
      <c r="D141" t="inlineStr"/>
      <c r="E141" t="inlineStr"/>
      <c r="F141" t="inlineStr"/>
    </row>
    <row r="142">
      <c r="A142" t="inlineStr">
        <is>
          <t>JP Henderson ES</t>
        </is>
      </c>
      <c r="B142" t="inlineStr">
        <is>
          <t>EAS Elementary</t>
        </is>
      </c>
      <c r="C142" t="inlineStr">
        <is>
          <t>UNIT 1</t>
        </is>
      </c>
      <c r="D142" t="inlineStr">
        <is>
          <t>Henderson JP ES</t>
        </is>
      </c>
      <c r="E142" t="inlineStr"/>
      <c r="F142" t="inlineStr"/>
    </row>
    <row r="143">
      <c r="A143" t="inlineStr">
        <is>
          <t>Fonwood ECC</t>
        </is>
      </c>
      <c r="B143" t="inlineStr">
        <is>
          <t>EAS Elementary</t>
        </is>
      </c>
      <c r="C143" t="inlineStr">
        <is>
          <t>UNIT 1</t>
        </is>
      </c>
      <c r="D143" t="inlineStr"/>
      <c r="E143" t="inlineStr"/>
      <c r="F143" t="inlineStr"/>
    </row>
    <row r="144">
      <c r="A144" t="inlineStr">
        <is>
          <t>Briarmeadow</t>
        </is>
      </c>
      <c r="B144" t="inlineStr">
        <is>
          <t>EAS Elementary</t>
        </is>
      </c>
      <c r="C144" t="inlineStr">
        <is>
          <t>UNIT 1</t>
        </is>
      </c>
      <c r="D144" t="inlineStr"/>
      <c r="E144" t="inlineStr"/>
      <c r="F144" t="inlineStr"/>
    </row>
    <row r="145">
      <c r="A145" t="inlineStr">
        <is>
          <t>Lantrip ES</t>
        </is>
      </c>
      <c r="B145" t="inlineStr">
        <is>
          <t>EAS Elementary</t>
        </is>
      </c>
      <c r="C145" t="inlineStr">
        <is>
          <t>UNIT 1</t>
        </is>
      </c>
      <c r="D145" t="inlineStr"/>
      <c r="E145" t="inlineStr"/>
      <c r="F145" t="inlineStr"/>
    </row>
    <row r="146">
      <c r="A146" t="inlineStr">
        <is>
          <t>Halpin ECC</t>
        </is>
      </c>
      <c r="B146" t="inlineStr">
        <is>
          <t>EAS Elementary</t>
        </is>
      </c>
      <c r="C146" t="inlineStr">
        <is>
          <t>UNIT 1</t>
        </is>
      </c>
      <c r="D146" t="inlineStr"/>
      <c r="E146" t="inlineStr"/>
      <c r="F146" t="inlineStr"/>
    </row>
    <row r="147">
      <c r="A147" t="inlineStr">
        <is>
          <t>Garden Oaks K - 8</t>
        </is>
      </c>
      <c r="B147" t="inlineStr">
        <is>
          <t>EAS Elementary</t>
        </is>
      </c>
      <c r="C147" t="inlineStr">
        <is>
          <t>UNIT 1</t>
        </is>
      </c>
      <c r="D147" t="inlineStr">
        <is>
          <t>Garden Oaks</t>
        </is>
      </c>
      <c r="E147" t="inlineStr"/>
      <c r="F147" t="inlineStr"/>
    </row>
    <row r="148">
      <c r="A148" t="inlineStr">
        <is>
          <t>Red ES</t>
        </is>
      </c>
      <c r="B148" t="inlineStr">
        <is>
          <t>EAS Elementary</t>
        </is>
      </c>
      <c r="C148" t="inlineStr">
        <is>
          <t>UNIT 1</t>
        </is>
      </c>
      <c r="D148" t="inlineStr"/>
      <c r="E148" t="inlineStr"/>
      <c r="F148" t="inlineStr"/>
    </row>
    <row r="149">
      <c r="A149" t="inlineStr">
        <is>
          <t>Laurenzo ECC</t>
        </is>
      </c>
      <c r="B149" t="inlineStr">
        <is>
          <t>EAS Elementary</t>
        </is>
      </c>
      <c r="C149" t="inlineStr">
        <is>
          <t>UNIT 1</t>
        </is>
      </c>
      <c r="D149" t="inlineStr"/>
      <c r="E149" t="inlineStr"/>
      <c r="F149" t="inlineStr"/>
    </row>
    <row r="150">
      <c r="A150" t="inlineStr">
        <is>
          <t>Mandarin Immersion</t>
        </is>
      </c>
      <c r="B150" t="inlineStr">
        <is>
          <t>EAS Elementary</t>
        </is>
      </c>
      <c r="C150" t="inlineStr">
        <is>
          <t>UNIT 1</t>
        </is>
      </c>
      <c r="D150" t="inlineStr">
        <is>
          <t>Mandarin Immersion Magnet</t>
        </is>
      </c>
      <c r="E150" t="inlineStr"/>
      <c r="F150" t="inlineStr"/>
    </row>
    <row r="151">
      <c r="A151" t="inlineStr">
        <is>
          <t>Sherman ES</t>
        </is>
      </c>
      <c r="B151" t="inlineStr">
        <is>
          <t>EAS Elementary</t>
        </is>
      </c>
      <c r="C151" t="inlineStr">
        <is>
          <t>UNIT 1</t>
        </is>
      </c>
      <c r="D151" t="inlineStr"/>
      <c r="E151" t="inlineStr"/>
      <c r="F151" t="inlineStr"/>
    </row>
    <row r="152">
      <c r="A152" t="inlineStr">
        <is>
          <t>Mistral ECC</t>
        </is>
      </c>
      <c r="B152" t="inlineStr">
        <is>
          <t>EAS Elementary</t>
        </is>
      </c>
      <c r="C152" t="inlineStr">
        <is>
          <t>UNIT 1</t>
        </is>
      </c>
      <c r="D152" t="inlineStr"/>
      <c r="E152" t="inlineStr"/>
      <c r="F152" t="inlineStr"/>
    </row>
    <row r="153">
      <c r="A153" t="inlineStr">
        <is>
          <t>Pilgrim Acad</t>
        </is>
      </c>
      <c r="B153" t="inlineStr">
        <is>
          <t>EAS Elementary</t>
        </is>
      </c>
      <c r="C153" t="inlineStr">
        <is>
          <t>UNIT 1</t>
        </is>
      </c>
      <c r="D153" t="inlineStr"/>
      <c r="E153" t="inlineStr"/>
      <c r="F153" t="inlineStr"/>
    </row>
    <row r="154">
      <c r="A154" t="inlineStr">
        <is>
          <t>Tijerina ES</t>
        </is>
      </c>
      <c r="B154" t="inlineStr">
        <is>
          <t>EAS Elementary</t>
        </is>
      </c>
      <c r="C154" t="inlineStr">
        <is>
          <t>UNIT 1</t>
        </is>
      </c>
      <c r="D154" t="inlineStr"/>
      <c r="E154" t="inlineStr">
        <is>
          <t>Yes</t>
        </is>
      </c>
      <c r="F154" t="inlineStr">
        <is>
          <t>Inactive</t>
        </is>
      </c>
    </row>
    <row r="155">
      <c r="A155" t="inlineStr">
        <is>
          <t>MLK ECC</t>
        </is>
      </c>
      <c r="B155" t="inlineStr">
        <is>
          <t>EAS Elementary</t>
        </is>
      </c>
      <c r="C155" t="inlineStr">
        <is>
          <t>UNIT 1</t>
        </is>
      </c>
      <c r="D155" t="inlineStr"/>
      <c r="E155" t="inlineStr"/>
      <c r="F155" t="inlineStr"/>
    </row>
    <row r="156">
      <c r="A156" t="inlineStr">
        <is>
          <t>Rice School</t>
        </is>
      </c>
      <c r="B156" t="inlineStr">
        <is>
          <t>EAS Elementary</t>
        </is>
      </c>
      <c r="C156" t="inlineStr">
        <is>
          <t>UNIT 1</t>
        </is>
      </c>
      <c r="D156" t="inlineStr">
        <is>
          <t>Rice School PK-8</t>
        </is>
      </c>
      <c r="E156" t="inlineStr"/>
      <c r="F156" t="inlineStr"/>
    </row>
    <row r="157">
      <c r="A157" t="inlineStr">
        <is>
          <t>Windsor Village ES</t>
        </is>
      </c>
      <c r="B157" t="inlineStr">
        <is>
          <t>EAS Elementary</t>
        </is>
      </c>
      <c r="C157" t="inlineStr">
        <is>
          <t>UNIT 1</t>
        </is>
      </c>
      <c r="D157" t="inlineStr"/>
      <c r="E157" t="inlineStr"/>
      <c r="F157" t="inlineStr"/>
    </row>
    <row r="158">
      <c r="A158" t="inlineStr">
        <is>
          <t>Neff ECC</t>
        </is>
      </c>
      <c r="B158" t="inlineStr">
        <is>
          <t>EAS Elementary</t>
        </is>
      </c>
      <c r="C158" t="inlineStr">
        <is>
          <t>UNIT 1</t>
        </is>
      </c>
      <c r="D158" t="inlineStr"/>
      <c r="E158" t="inlineStr"/>
      <c r="F158" t="inlineStr"/>
    </row>
    <row r="159">
      <c r="A159" t="inlineStr">
        <is>
          <t>Wharton</t>
        </is>
      </c>
      <c r="B159" t="inlineStr">
        <is>
          <t>EAS Elementary</t>
        </is>
      </c>
      <c r="C159" t="inlineStr">
        <is>
          <t>UNIT 1</t>
        </is>
      </c>
      <c r="D159" t="inlineStr">
        <is>
          <t>Wharton K-8</t>
        </is>
      </c>
      <c r="E159" t="inlineStr"/>
      <c r="F159" t="inlineStr"/>
    </row>
    <row r="160">
      <c r="A160" t="inlineStr">
        <is>
          <t>Braeburn ES</t>
        </is>
      </c>
      <c r="B160" t="inlineStr">
        <is>
          <t>EAS Elementary</t>
        </is>
      </c>
      <c r="C160" t="inlineStr">
        <is>
          <t>UNIT 2</t>
        </is>
      </c>
      <c r="D160" t="inlineStr"/>
      <c r="E160" t="inlineStr"/>
      <c r="F160" t="inlineStr"/>
    </row>
    <row r="161">
      <c r="A161" t="inlineStr">
        <is>
          <t>Bush ES</t>
        </is>
      </c>
      <c r="B161" t="inlineStr">
        <is>
          <t>EAS Elementary</t>
        </is>
      </c>
      <c r="C161" t="inlineStr">
        <is>
          <t>UNIT 2</t>
        </is>
      </c>
      <c r="D161" t="inlineStr"/>
      <c r="E161" t="inlineStr"/>
      <c r="F161" t="inlineStr"/>
    </row>
    <row r="162">
      <c r="A162" t="inlineStr">
        <is>
          <t>Crespo ES</t>
        </is>
      </c>
      <c r="B162" t="inlineStr">
        <is>
          <t>EAS Elementary</t>
        </is>
      </c>
      <c r="C162" t="inlineStr">
        <is>
          <t>UNIT 2</t>
        </is>
      </c>
      <c r="D162" t="inlineStr"/>
      <c r="E162" t="inlineStr"/>
      <c r="F162" t="inlineStr"/>
    </row>
    <row r="163">
      <c r="A163" t="inlineStr">
        <is>
          <t>MacGregor ES</t>
        </is>
      </c>
      <c r="B163" t="inlineStr">
        <is>
          <t>EAS Elementary</t>
        </is>
      </c>
      <c r="C163" t="inlineStr">
        <is>
          <t>UNIT 2</t>
        </is>
      </c>
      <c r="D163" t="inlineStr"/>
      <c r="E163" t="inlineStr"/>
      <c r="F163" t="inlineStr"/>
    </row>
    <row r="164">
      <c r="A164" t="inlineStr">
        <is>
          <t>Cunningham ES</t>
        </is>
      </c>
      <c r="B164" t="inlineStr">
        <is>
          <t>EAS Elementary</t>
        </is>
      </c>
      <c r="C164" t="inlineStr">
        <is>
          <t>UNIT 2</t>
        </is>
      </c>
      <c r="D164" t="inlineStr"/>
      <c r="E164" t="inlineStr"/>
      <c r="F164" t="inlineStr"/>
    </row>
    <row r="165">
      <c r="A165" t="inlineStr">
        <is>
          <t>Emerson ES</t>
        </is>
      </c>
      <c r="B165" t="inlineStr">
        <is>
          <t>EAS Elementary</t>
        </is>
      </c>
      <c r="C165" t="inlineStr">
        <is>
          <t>UNIT 2</t>
        </is>
      </c>
      <c r="D165" t="inlineStr"/>
      <c r="E165" t="inlineStr"/>
      <c r="F165" t="inlineStr"/>
    </row>
    <row r="166">
      <c r="A166" t="inlineStr">
        <is>
          <t>Cornelius ES</t>
        </is>
      </c>
      <c r="B166" t="inlineStr">
        <is>
          <t>EAS Elementary</t>
        </is>
      </c>
      <c r="C166" t="inlineStr">
        <is>
          <t>UNIT 2</t>
        </is>
      </c>
      <c r="D166" t="inlineStr"/>
      <c r="E166" t="inlineStr"/>
      <c r="F166" t="inlineStr"/>
    </row>
    <row r="167">
      <c r="A167" t="inlineStr">
        <is>
          <t>Oak Forest ES</t>
        </is>
      </c>
      <c r="B167" t="inlineStr">
        <is>
          <t>EAS Elementary</t>
        </is>
      </c>
      <c r="C167" t="inlineStr">
        <is>
          <t>UNIT 2</t>
        </is>
      </c>
      <c r="D167" t="inlineStr"/>
      <c r="E167" t="inlineStr">
        <is>
          <t>Yes</t>
        </is>
      </c>
      <c r="F167" t="inlineStr">
        <is>
          <t>Good Standing</t>
        </is>
      </c>
    </row>
    <row r="168">
      <c r="A168" t="inlineStr">
        <is>
          <t>Elrod ES</t>
        </is>
      </c>
      <c r="B168" t="inlineStr">
        <is>
          <t>EAS Elementary</t>
        </is>
      </c>
      <c r="C168" t="inlineStr">
        <is>
          <t>UNIT 2</t>
        </is>
      </c>
      <c r="D168" t="inlineStr"/>
      <c r="E168" t="inlineStr"/>
      <c r="F168" t="inlineStr"/>
    </row>
    <row r="169">
      <c r="A169" t="inlineStr">
        <is>
          <t>Kolter ES</t>
        </is>
      </c>
      <c r="B169" t="inlineStr">
        <is>
          <t>EAS Elementary</t>
        </is>
      </c>
      <c r="C169" t="inlineStr">
        <is>
          <t>UNIT 2</t>
        </is>
      </c>
      <c r="D169" t="inlineStr"/>
      <c r="E169" t="inlineStr"/>
      <c r="F169" t="inlineStr"/>
    </row>
    <row r="170">
      <c r="A170" t="inlineStr">
        <is>
          <t>Davila ES</t>
        </is>
      </c>
      <c r="B170" t="inlineStr">
        <is>
          <t>EAS Elementary</t>
        </is>
      </c>
      <c r="C170" t="inlineStr">
        <is>
          <t>UNIT 2</t>
        </is>
      </c>
      <c r="D170" t="inlineStr"/>
      <c r="E170" t="inlineStr"/>
      <c r="F170" t="inlineStr"/>
    </row>
    <row r="171">
      <c r="A171" t="inlineStr">
        <is>
          <t>Roosevelt ES</t>
        </is>
      </c>
      <c r="B171" t="inlineStr">
        <is>
          <t>EAS Elementary</t>
        </is>
      </c>
      <c r="C171" t="inlineStr">
        <is>
          <t>UNIT 2</t>
        </is>
      </c>
      <c r="D171" t="inlineStr"/>
      <c r="E171" t="inlineStr"/>
      <c r="F171" t="inlineStr"/>
    </row>
    <row r="172">
      <c r="A172" t="inlineStr">
        <is>
          <t>Herod ES</t>
        </is>
      </c>
      <c r="B172" t="inlineStr">
        <is>
          <t>EAS Elementary</t>
        </is>
      </c>
      <c r="C172" t="inlineStr">
        <is>
          <t>UNIT 2</t>
        </is>
      </c>
      <c r="D172" t="inlineStr"/>
      <c r="E172" t="inlineStr"/>
      <c r="F172" t="inlineStr"/>
    </row>
    <row r="173">
      <c r="A173" t="inlineStr">
        <is>
          <t>McNamara ES</t>
        </is>
      </c>
      <c r="B173" t="inlineStr">
        <is>
          <t>EAS Elementary</t>
        </is>
      </c>
      <c r="C173" t="inlineStr">
        <is>
          <t>UNIT 2</t>
        </is>
      </c>
      <c r="D173" t="inlineStr"/>
      <c r="E173" t="inlineStr"/>
      <c r="F173" t="inlineStr"/>
    </row>
    <row r="174">
      <c r="A174" t="inlineStr">
        <is>
          <t>DeAnda ES</t>
        </is>
      </c>
      <c r="B174" t="inlineStr">
        <is>
          <t>EAS Elementary</t>
        </is>
      </c>
      <c r="C174" t="inlineStr">
        <is>
          <t>UNIT 2</t>
        </is>
      </c>
      <c r="D174" t="inlineStr"/>
      <c r="E174" t="inlineStr"/>
      <c r="F174" t="inlineStr"/>
    </row>
    <row r="175">
      <c r="A175" t="inlineStr">
        <is>
          <t>Sinclair ES</t>
        </is>
      </c>
      <c r="B175" t="inlineStr">
        <is>
          <t>EAS Elementary</t>
        </is>
      </c>
      <c r="C175" t="inlineStr">
        <is>
          <t>UNIT 2</t>
        </is>
      </c>
      <c r="D175" t="inlineStr"/>
      <c r="E175" t="inlineStr"/>
      <c r="F175" t="inlineStr"/>
    </row>
    <row r="176">
      <c r="A176" t="inlineStr">
        <is>
          <t>Parker ES</t>
        </is>
      </c>
      <c r="B176" t="inlineStr">
        <is>
          <t>EAS Elementary</t>
        </is>
      </c>
      <c r="C176" t="inlineStr">
        <is>
          <t>UNIT 2</t>
        </is>
      </c>
      <c r="D176" t="inlineStr"/>
      <c r="E176" t="inlineStr"/>
      <c r="F176" t="inlineStr"/>
    </row>
    <row r="177">
      <c r="A177" t="inlineStr">
        <is>
          <t>Piney Point ES</t>
        </is>
      </c>
      <c r="B177" t="inlineStr">
        <is>
          <t>EAS Elementary</t>
        </is>
      </c>
      <c r="C177" t="inlineStr">
        <is>
          <t>UNIT 2</t>
        </is>
      </c>
      <c r="D177" t="inlineStr"/>
      <c r="E177" t="inlineStr"/>
      <c r="F177" t="inlineStr"/>
    </row>
    <row r="178">
      <c r="A178" t="inlineStr">
        <is>
          <t>Garden Villas ES</t>
        </is>
      </c>
      <c r="B178" t="inlineStr">
        <is>
          <t>EAS Elementary</t>
        </is>
      </c>
      <c r="C178" t="inlineStr">
        <is>
          <t>UNIT 2</t>
        </is>
      </c>
      <c r="D178" t="inlineStr"/>
      <c r="E178" t="inlineStr"/>
      <c r="F178" t="inlineStr"/>
    </row>
    <row r="179">
      <c r="A179" t="inlineStr">
        <is>
          <t>TH Rogers</t>
        </is>
      </c>
      <c r="B179" t="inlineStr">
        <is>
          <t>EAS Elementary</t>
        </is>
      </c>
      <c r="C179" t="inlineStr">
        <is>
          <t>UNIT 2</t>
        </is>
      </c>
      <c r="D179" t="inlineStr">
        <is>
          <t>Rogers T H</t>
        </is>
      </c>
      <c r="E179" t="inlineStr"/>
      <c r="F179" t="inlineStr"/>
    </row>
    <row r="180">
      <c r="A180" t="inlineStr">
        <is>
          <t>Rodriguez ES</t>
        </is>
      </c>
      <c r="B180" t="inlineStr">
        <is>
          <t>EAS Elementary</t>
        </is>
      </c>
      <c r="C180" t="inlineStr">
        <is>
          <t>UNIT 2</t>
        </is>
      </c>
      <c r="D180" t="inlineStr"/>
      <c r="E180" t="inlineStr"/>
      <c r="F180" t="inlineStr"/>
    </row>
    <row r="181">
      <c r="A181" t="inlineStr">
        <is>
          <t>Sutton ES</t>
        </is>
      </c>
      <c r="B181" t="inlineStr">
        <is>
          <t>EAS Elementary</t>
        </is>
      </c>
      <c r="C181" t="inlineStr">
        <is>
          <t>UNIT 2</t>
        </is>
      </c>
      <c r="D181" t="inlineStr"/>
      <c r="E181" t="inlineStr"/>
      <c r="F181" t="inlineStr"/>
    </row>
    <row r="182">
      <c r="A182" t="inlineStr">
        <is>
          <t>Patterson ES</t>
        </is>
      </c>
      <c r="B182" t="inlineStr">
        <is>
          <t>EAS Elementary</t>
        </is>
      </c>
      <c r="C182" t="inlineStr">
        <is>
          <t>UNIT 2</t>
        </is>
      </c>
      <c r="D182" t="inlineStr"/>
      <c r="E182" t="inlineStr"/>
      <c r="F182" t="inlineStr"/>
    </row>
    <row r="183">
      <c r="A183" t="inlineStr">
        <is>
          <t>Travis ES</t>
        </is>
      </c>
      <c r="B183" t="inlineStr">
        <is>
          <t>EAS Elementary</t>
        </is>
      </c>
      <c r="C183" t="inlineStr">
        <is>
          <t>UNIT 2</t>
        </is>
      </c>
      <c r="D183" t="inlineStr"/>
      <c r="E183" t="inlineStr">
        <is>
          <t>Yes</t>
        </is>
      </c>
      <c r="F183" t="inlineStr">
        <is>
          <t>Good Standing</t>
        </is>
      </c>
    </row>
    <row r="184">
      <c r="A184" t="inlineStr">
        <is>
          <t>St. George ES</t>
        </is>
      </c>
      <c r="B184" t="inlineStr">
        <is>
          <t>EAS Elementary</t>
        </is>
      </c>
      <c r="C184" t="inlineStr">
        <is>
          <t>UNIT 2</t>
        </is>
      </c>
      <c r="D184" t="inlineStr">
        <is>
          <t>School at St. George ES</t>
        </is>
      </c>
      <c r="E184" t="inlineStr"/>
      <c r="F184" t="inlineStr"/>
    </row>
    <row r="185">
      <c r="A185" t="inlineStr">
        <is>
          <t>M. White ES</t>
        </is>
      </c>
      <c r="B185" t="inlineStr">
        <is>
          <t>EAS Elementary</t>
        </is>
      </c>
      <c r="C185" t="inlineStr">
        <is>
          <t>UNIT 2</t>
        </is>
      </c>
      <c r="D185" t="inlineStr">
        <is>
          <t>White M ES</t>
        </is>
      </c>
      <c r="E185" t="inlineStr"/>
      <c r="F185" t="inlineStr"/>
    </row>
    <row r="186">
      <c r="A186" t="inlineStr">
        <is>
          <t>Park Place ES</t>
        </is>
      </c>
      <c r="B186" t="inlineStr">
        <is>
          <t>EAS Elementary</t>
        </is>
      </c>
      <c r="C186" t="inlineStr">
        <is>
          <t>UNIT 2</t>
        </is>
      </c>
      <c r="D186" t="inlineStr"/>
      <c r="E186" t="inlineStr"/>
      <c r="F186" t="inlineStr"/>
    </row>
    <row r="187">
      <c r="A187" t="inlineStr">
        <is>
          <t>DeChaumes ES</t>
        </is>
      </c>
      <c r="B187" t="inlineStr">
        <is>
          <t>EAS Elementary</t>
        </is>
      </c>
      <c r="C187" t="inlineStr">
        <is>
          <t>UNIT 3</t>
        </is>
      </c>
      <c r="D187" t="inlineStr">
        <is>
          <t>De Chaumes ES</t>
        </is>
      </c>
      <c r="E187" t="inlineStr"/>
      <c r="F187" t="inlineStr"/>
    </row>
    <row r="188">
      <c r="A188" t="inlineStr">
        <is>
          <t>Memorial ES</t>
        </is>
      </c>
      <c r="B188" t="inlineStr">
        <is>
          <t>EAS Elementary</t>
        </is>
      </c>
      <c r="C188" t="inlineStr">
        <is>
          <t>UNIT 3</t>
        </is>
      </c>
      <c r="D188" t="inlineStr"/>
      <c r="E188" t="inlineStr"/>
      <c r="F188" t="inlineStr"/>
    </row>
    <row r="189">
      <c r="A189" t="inlineStr">
        <is>
          <t>Briargrove ES</t>
        </is>
      </c>
      <c r="B189" t="inlineStr">
        <is>
          <t>EAS Elementary</t>
        </is>
      </c>
      <c r="C189" t="inlineStr">
        <is>
          <t>UNIT 3</t>
        </is>
      </c>
      <c r="D189" t="inlineStr"/>
      <c r="E189" t="inlineStr"/>
      <c r="F189" t="inlineStr"/>
    </row>
    <row r="190">
      <c r="A190" t="inlineStr">
        <is>
          <t>Burbank ES</t>
        </is>
      </c>
      <c r="B190" t="inlineStr">
        <is>
          <t>EAS Elementary</t>
        </is>
      </c>
      <c r="C190" t="inlineStr">
        <is>
          <t>UNIT 3</t>
        </is>
      </c>
      <c r="D190" t="inlineStr"/>
      <c r="E190" t="inlineStr"/>
      <c r="F190" t="inlineStr"/>
    </row>
    <row r="191">
      <c r="A191" t="inlineStr">
        <is>
          <t>Durham ES</t>
        </is>
      </c>
      <c r="B191" t="inlineStr">
        <is>
          <t>EAS Elementary</t>
        </is>
      </c>
      <c r="C191" t="inlineStr">
        <is>
          <t>UNIT 3</t>
        </is>
      </c>
      <c r="D191" t="inlineStr"/>
      <c r="E191" t="inlineStr">
        <is>
          <t>Yes</t>
        </is>
      </c>
      <c r="F191" t="inlineStr">
        <is>
          <t>Inactive</t>
        </is>
      </c>
    </row>
    <row r="192">
      <c r="A192" t="inlineStr">
        <is>
          <t>Poe ES</t>
        </is>
      </c>
      <c r="B192" t="inlineStr">
        <is>
          <t>EAS Elementary</t>
        </is>
      </c>
      <c r="C192" t="inlineStr">
        <is>
          <t>UNIT 3</t>
        </is>
      </c>
      <c r="D192" t="inlineStr"/>
      <c r="E192" t="inlineStr"/>
      <c r="F192" t="inlineStr"/>
    </row>
    <row r="193">
      <c r="A193" t="inlineStr">
        <is>
          <t>Condit ES</t>
        </is>
      </c>
      <c r="B193" t="inlineStr">
        <is>
          <t>EAS Elementary</t>
        </is>
      </c>
      <c r="C193" t="inlineStr">
        <is>
          <t>UNIT 3</t>
        </is>
      </c>
      <c r="D193" t="inlineStr"/>
      <c r="E193" t="inlineStr"/>
      <c r="F193" t="inlineStr"/>
    </row>
    <row r="194">
      <c r="A194" t="inlineStr">
        <is>
          <t>Herrera ES</t>
        </is>
      </c>
      <c r="B194" t="inlineStr">
        <is>
          <t>EAS Elementary</t>
        </is>
      </c>
      <c r="C194" t="inlineStr">
        <is>
          <t>UNIT 3</t>
        </is>
      </c>
      <c r="D194" t="inlineStr"/>
      <c r="E194" t="inlineStr"/>
      <c r="F194" t="inlineStr"/>
    </row>
    <row r="195">
      <c r="A195" t="inlineStr">
        <is>
          <t>Field ES</t>
        </is>
      </c>
      <c r="B195" t="inlineStr">
        <is>
          <t>EAS Elementary</t>
        </is>
      </c>
      <c r="C195" t="inlineStr">
        <is>
          <t>UNIT 3</t>
        </is>
      </c>
      <c r="D195" t="inlineStr"/>
      <c r="E195" t="inlineStr"/>
      <c r="F195" t="inlineStr"/>
    </row>
    <row r="196">
      <c r="A196" t="inlineStr">
        <is>
          <t>River Oaks ES</t>
        </is>
      </c>
      <c r="B196" t="inlineStr">
        <is>
          <t>EAS Elementary</t>
        </is>
      </c>
      <c r="C196" t="inlineStr">
        <is>
          <t>UNIT 3</t>
        </is>
      </c>
      <c r="D196" t="inlineStr"/>
      <c r="E196" t="inlineStr"/>
      <c r="F196" t="inlineStr"/>
    </row>
    <row r="197">
      <c r="A197" t="inlineStr">
        <is>
          <t>Daily ES</t>
        </is>
      </c>
      <c r="B197" t="inlineStr">
        <is>
          <t>EAS Elementary</t>
        </is>
      </c>
      <c r="C197" t="inlineStr">
        <is>
          <t>UNIT 3</t>
        </is>
      </c>
      <c r="D197" t="inlineStr"/>
      <c r="E197" t="inlineStr"/>
      <c r="F197" t="inlineStr"/>
    </row>
    <row r="198">
      <c r="A198" t="inlineStr">
        <is>
          <t>Janowski ES</t>
        </is>
      </c>
      <c r="B198" t="inlineStr">
        <is>
          <t>EAS Elementary</t>
        </is>
      </c>
      <c r="C198" t="inlineStr">
        <is>
          <t>UNIT 3</t>
        </is>
      </c>
      <c r="D198" t="inlineStr"/>
      <c r="E198" t="inlineStr"/>
      <c r="F198" t="inlineStr"/>
    </row>
    <row r="199">
      <c r="A199" t="inlineStr">
        <is>
          <t>Harvard ES</t>
        </is>
      </c>
      <c r="B199" t="inlineStr">
        <is>
          <t>EAS Elementary</t>
        </is>
      </c>
      <c r="C199" t="inlineStr">
        <is>
          <t>UNIT 3</t>
        </is>
      </c>
      <c r="D199" t="inlineStr"/>
      <c r="E199" t="inlineStr">
        <is>
          <t>Yes</t>
        </is>
      </c>
      <c r="F199" t="inlineStr">
        <is>
          <t>Active</t>
        </is>
      </c>
    </row>
    <row r="200">
      <c r="A200" t="inlineStr">
        <is>
          <t>Roberts ES</t>
        </is>
      </c>
      <c r="B200" t="inlineStr">
        <is>
          <t>EAS Elementary</t>
        </is>
      </c>
      <c r="C200" t="inlineStr">
        <is>
          <t>UNIT 3</t>
        </is>
      </c>
      <c r="D200" t="inlineStr"/>
      <c r="E200" t="inlineStr"/>
      <c r="F200" t="inlineStr"/>
    </row>
    <row r="201">
      <c r="A201" t="inlineStr">
        <is>
          <t>Horn ES</t>
        </is>
      </c>
      <c r="B201" t="inlineStr">
        <is>
          <t>EAS Elementary</t>
        </is>
      </c>
      <c r="C201" t="inlineStr">
        <is>
          <t>UNIT 3</t>
        </is>
      </c>
      <c r="D201" t="inlineStr"/>
      <c r="E201" t="inlineStr"/>
      <c r="F201" t="inlineStr"/>
    </row>
    <row r="202">
      <c r="A202" t="inlineStr">
        <is>
          <t>Lyons ES</t>
        </is>
      </c>
      <c r="B202" t="inlineStr">
        <is>
          <t>EAS Elementary</t>
        </is>
      </c>
      <c r="C202" t="inlineStr">
        <is>
          <t>UNIT 3</t>
        </is>
      </c>
      <c r="D202" t="inlineStr"/>
      <c r="E202" t="inlineStr"/>
      <c r="F202" t="inlineStr"/>
    </row>
    <row r="203">
      <c r="A203" t="inlineStr">
        <is>
          <t>Helms ES</t>
        </is>
      </c>
      <c r="B203" t="inlineStr">
        <is>
          <t>EAS Elementary</t>
        </is>
      </c>
      <c r="C203" t="inlineStr">
        <is>
          <t>UNIT 3</t>
        </is>
      </c>
      <c r="D203" t="inlineStr"/>
      <c r="E203" t="inlineStr">
        <is>
          <t>Yes</t>
        </is>
      </c>
      <c r="F203" t="inlineStr">
        <is>
          <t>Inactive</t>
        </is>
      </c>
    </row>
    <row r="204">
      <c r="A204" t="inlineStr">
        <is>
          <t>Twain ES</t>
        </is>
      </c>
      <c r="B204" t="inlineStr">
        <is>
          <t>EAS Elementary</t>
        </is>
      </c>
      <c r="C204" t="inlineStr">
        <is>
          <t>UNIT 3</t>
        </is>
      </c>
      <c r="D204" t="inlineStr"/>
      <c r="E204" t="inlineStr"/>
      <c r="F204" t="inlineStr"/>
    </row>
    <row r="205">
      <c r="A205" t="inlineStr">
        <is>
          <t>Lovett ES</t>
        </is>
      </c>
      <c r="B205" t="inlineStr">
        <is>
          <t>EAS Elementary</t>
        </is>
      </c>
      <c r="C205" t="inlineStr">
        <is>
          <t>UNIT 3</t>
        </is>
      </c>
      <c r="D205" t="inlineStr"/>
      <c r="E205" t="inlineStr"/>
      <c r="F205" t="inlineStr"/>
    </row>
    <row r="206">
      <c r="A206" t="inlineStr">
        <is>
          <t>Moreno ES</t>
        </is>
      </c>
      <c r="B206" t="inlineStr">
        <is>
          <t>EAS Elementary</t>
        </is>
      </c>
      <c r="C206" t="inlineStr">
        <is>
          <t>UNIT 3</t>
        </is>
      </c>
      <c r="D206" t="inlineStr"/>
      <c r="E206" t="inlineStr"/>
      <c r="F206" t="inlineStr"/>
    </row>
    <row r="207">
      <c r="A207" t="inlineStr">
        <is>
          <t>Love ES</t>
        </is>
      </c>
      <c r="B207" t="inlineStr">
        <is>
          <t>EAS Elementary</t>
        </is>
      </c>
      <c r="C207" t="inlineStr">
        <is>
          <t>UNIT 3</t>
        </is>
      </c>
      <c r="D207" t="inlineStr"/>
      <c r="E207" t="inlineStr"/>
      <c r="F207" t="inlineStr"/>
    </row>
    <row r="208">
      <c r="A208" t="inlineStr">
        <is>
          <t>West University ES</t>
        </is>
      </c>
      <c r="B208" t="inlineStr">
        <is>
          <t>EAS Elementary</t>
        </is>
      </c>
      <c r="C208" t="inlineStr">
        <is>
          <t>UNIT 3</t>
        </is>
      </c>
      <c r="D208" t="inlineStr"/>
      <c r="E208" t="inlineStr"/>
      <c r="F208" t="inlineStr"/>
    </row>
    <row r="209">
      <c r="A209" t="inlineStr">
        <is>
          <t>Shadowbriar ES</t>
        </is>
      </c>
      <c r="B209" t="inlineStr">
        <is>
          <t>EAS Elementary</t>
        </is>
      </c>
      <c r="C209" t="inlineStr">
        <is>
          <t>UNIT 3</t>
        </is>
      </c>
      <c r="D209" t="inlineStr"/>
      <c r="E209" t="inlineStr"/>
      <c r="F209" t="inlineStr"/>
    </row>
    <row r="210">
      <c r="A210" t="inlineStr">
        <is>
          <t>Scarborough ES</t>
        </is>
      </c>
      <c r="B210" t="inlineStr">
        <is>
          <t>EAS Elementary</t>
        </is>
      </c>
      <c r="C210" t="inlineStr">
        <is>
          <t>UNIT 3</t>
        </is>
      </c>
      <c r="D210" t="inlineStr"/>
      <c r="E210" t="inlineStr"/>
      <c r="F210" t="inlineStr"/>
    </row>
    <row r="211">
      <c r="A211" t="inlineStr">
        <is>
          <t>Shearn ES</t>
        </is>
      </c>
      <c r="B211" t="inlineStr">
        <is>
          <t>EAS Elementary</t>
        </is>
      </c>
      <c r="C211" t="inlineStr">
        <is>
          <t>UNIT 3</t>
        </is>
      </c>
      <c r="D211" t="inlineStr"/>
      <c r="E211" t="inlineStr"/>
      <c r="F211" t="inlineStr"/>
    </row>
    <row r="212">
      <c r="A212" t="inlineStr">
        <is>
          <t>Bellaire HS</t>
        </is>
      </c>
      <c r="B212" t="inlineStr">
        <is>
          <t>EAS Secondary</t>
        </is>
      </c>
      <c r="C212" t="inlineStr">
        <is>
          <t>UNIT 1</t>
        </is>
      </c>
      <c r="D212" t="inlineStr"/>
      <c r="E212" t="inlineStr"/>
      <c r="F212" t="inlineStr"/>
    </row>
    <row r="213">
      <c r="A213" t="inlineStr">
        <is>
          <t>Black MS</t>
        </is>
      </c>
      <c r="B213" t="inlineStr">
        <is>
          <t>EAS Secondary</t>
        </is>
      </c>
      <c r="C213" t="inlineStr">
        <is>
          <t>UNIT 1</t>
        </is>
      </c>
      <c r="D213" t="inlineStr"/>
      <c r="E213" t="inlineStr"/>
      <c r="F213" t="inlineStr"/>
    </row>
    <row r="214">
      <c r="A214" t="inlineStr">
        <is>
          <t>Baylor @ Ryan MS</t>
        </is>
      </c>
      <c r="B214" t="inlineStr">
        <is>
          <t>EAS Secondary</t>
        </is>
      </c>
      <c r="C214" t="inlineStr">
        <is>
          <t>UNIT 1</t>
        </is>
      </c>
      <c r="D214" t="inlineStr">
        <is>
          <t>Baylor College MS</t>
        </is>
      </c>
      <c r="E214" t="inlineStr"/>
      <c r="F214" t="inlineStr"/>
    </row>
    <row r="215">
      <c r="A215" t="inlineStr">
        <is>
          <t>Meyerland MS</t>
        </is>
      </c>
      <c r="B215" t="inlineStr">
        <is>
          <t>EAS Secondary</t>
        </is>
      </c>
      <c r="C215" t="inlineStr">
        <is>
          <t>UNIT 1</t>
        </is>
      </c>
      <c r="D215" t="inlineStr"/>
      <c r="E215" t="inlineStr"/>
      <c r="F215" t="inlineStr"/>
    </row>
    <row r="216">
      <c r="A216" t="inlineStr">
        <is>
          <t>Lanier MS</t>
        </is>
      </c>
      <c r="B216" t="inlineStr">
        <is>
          <t>EAS Secondary</t>
        </is>
      </c>
      <c r="C216" t="inlineStr">
        <is>
          <t>UNIT 1</t>
        </is>
      </c>
      <c r="D216" t="inlineStr"/>
      <c r="E216" t="inlineStr"/>
      <c r="F216" t="inlineStr"/>
    </row>
    <row r="217">
      <c r="A217" t="inlineStr">
        <is>
          <t>Heights HS</t>
        </is>
      </c>
      <c r="B217" t="inlineStr">
        <is>
          <t>EAS Secondary</t>
        </is>
      </c>
      <c r="C217" t="inlineStr">
        <is>
          <t>UNIT 1</t>
        </is>
      </c>
      <c r="D217" t="inlineStr"/>
      <c r="E217" t="inlineStr"/>
      <c r="F217" t="inlineStr"/>
    </row>
    <row r="218">
      <c r="A218" t="inlineStr">
        <is>
          <t>Pin Oak MS</t>
        </is>
      </c>
      <c r="B218" t="inlineStr">
        <is>
          <t>EAS Secondary</t>
        </is>
      </c>
      <c r="C218" t="inlineStr">
        <is>
          <t>UNIT 1</t>
        </is>
      </c>
      <c r="D218" t="inlineStr"/>
      <c r="E218" t="inlineStr"/>
      <c r="F218" t="inlineStr"/>
    </row>
    <row r="219">
      <c r="A219" t="inlineStr">
        <is>
          <t>Pershing MS</t>
        </is>
      </c>
      <c r="B219" t="inlineStr">
        <is>
          <t>EAS Secondary</t>
        </is>
      </c>
      <c r="C219" t="inlineStr">
        <is>
          <t>UNIT 1</t>
        </is>
      </c>
      <c r="D219" t="inlineStr"/>
      <c r="E219" t="inlineStr"/>
      <c r="F219" t="inlineStr"/>
    </row>
    <row r="220">
      <c r="A220" t="inlineStr">
        <is>
          <t>Lamar HS</t>
        </is>
      </c>
      <c r="B220" t="inlineStr">
        <is>
          <t>EAS Secondary</t>
        </is>
      </c>
      <c r="C220" t="inlineStr">
        <is>
          <t>UNIT 1</t>
        </is>
      </c>
      <c r="D220" t="inlineStr"/>
      <c r="E220" t="inlineStr"/>
      <c r="F220" t="inlineStr"/>
    </row>
    <row r="221">
      <c r="A221" t="inlineStr">
        <is>
          <t>West Briar MS</t>
        </is>
      </c>
      <c r="B221" t="inlineStr">
        <is>
          <t>EAS Secondary</t>
        </is>
      </c>
      <c r="C221" t="inlineStr">
        <is>
          <t>UNIT 1</t>
        </is>
      </c>
      <c r="D221" t="inlineStr"/>
      <c r="E221" t="inlineStr"/>
      <c r="F221" t="inlineStr"/>
    </row>
    <row r="222">
      <c r="A222" t="inlineStr">
        <is>
          <t>Sharpstown Int</t>
        </is>
      </c>
      <c r="B222" t="inlineStr">
        <is>
          <t>EAS Secondary</t>
        </is>
      </c>
      <c r="C222" t="inlineStr">
        <is>
          <t>UNIT 1</t>
        </is>
      </c>
      <c r="D222" t="inlineStr"/>
      <c r="E222" t="inlineStr"/>
      <c r="F222" t="inlineStr"/>
    </row>
    <row r="223">
      <c r="A223" t="inlineStr">
        <is>
          <t>Leland YMCPA</t>
        </is>
      </c>
      <c r="B223" t="inlineStr">
        <is>
          <t>EAS Secondary</t>
        </is>
      </c>
      <c r="C223" t="inlineStr">
        <is>
          <t>UNIT 1</t>
        </is>
      </c>
      <c r="D223" t="inlineStr"/>
      <c r="E223" t="inlineStr"/>
      <c r="F223" t="inlineStr"/>
    </row>
    <row r="224">
      <c r="A224" t="inlineStr">
        <is>
          <t>Westside HS</t>
        </is>
      </c>
      <c r="B224" t="inlineStr">
        <is>
          <t>EAS Secondary</t>
        </is>
      </c>
      <c r="C224" t="inlineStr">
        <is>
          <t>UNIT 1</t>
        </is>
      </c>
      <c r="D224" t="inlineStr"/>
      <c r="E224" t="inlineStr"/>
      <c r="F224" t="inlineStr"/>
    </row>
    <row r="225">
      <c r="A225" t="inlineStr">
        <is>
          <t>Waltrip HS</t>
        </is>
      </c>
      <c r="B225" t="inlineStr">
        <is>
          <t>EAS Secondary</t>
        </is>
      </c>
      <c r="C225" t="inlineStr">
        <is>
          <t>UNIT 1</t>
        </is>
      </c>
      <c r="D225" t="inlineStr"/>
      <c r="E225" t="inlineStr"/>
      <c r="F225" t="inlineStr"/>
    </row>
    <row r="226">
      <c r="A226" t="inlineStr">
        <is>
          <t>North Houston EC HS</t>
        </is>
      </c>
      <c r="B226" t="inlineStr">
        <is>
          <t>EAS Secondary</t>
        </is>
      </c>
      <c r="C226" t="inlineStr">
        <is>
          <t>UNIT 1</t>
        </is>
      </c>
      <c r="D226" t="inlineStr"/>
      <c r="E226" t="inlineStr"/>
      <c r="F226" t="inlineStr"/>
    </row>
    <row r="227">
      <c r="A227" t="inlineStr">
        <is>
          <t>Attucks MS</t>
        </is>
      </c>
      <c r="B227" t="inlineStr">
        <is>
          <t>EAS Secondary</t>
        </is>
      </c>
      <c r="C227" t="inlineStr">
        <is>
          <t>UNIT 2</t>
        </is>
      </c>
      <c r="D227" t="inlineStr"/>
      <c r="E227" t="inlineStr"/>
      <c r="F227" t="inlineStr"/>
    </row>
    <row r="228">
      <c r="A228" t="inlineStr">
        <is>
          <t>BCM Biotech @ Rusk MS</t>
        </is>
      </c>
      <c r="B228" t="inlineStr">
        <is>
          <t>EAS Secondary</t>
        </is>
      </c>
      <c r="C228" t="inlineStr">
        <is>
          <t>UNIT 2</t>
        </is>
      </c>
      <c r="D228" t="inlineStr">
        <is>
          <t>BCM Biotech Acad at Rusk</t>
        </is>
      </c>
      <c r="E228" t="inlineStr"/>
      <c r="F228" t="inlineStr"/>
    </row>
    <row r="229">
      <c r="A229" t="inlineStr">
        <is>
          <t>Carnegie HS</t>
        </is>
      </c>
      <c r="B229" t="inlineStr">
        <is>
          <t>EAS Secondary</t>
        </is>
      </c>
      <c r="C229" t="inlineStr">
        <is>
          <t>UNIT 2</t>
        </is>
      </c>
      <c r="D229" t="inlineStr"/>
      <c r="E229" t="inlineStr"/>
      <c r="F229" t="inlineStr"/>
    </row>
    <row r="230">
      <c r="A230" t="inlineStr">
        <is>
          <t>DeBakey HS</t>
        </is>
      </c>
      <c r="B230" t="inlineStr">
        <is>
          <t>EAS Secondary</t>
        </is>
      </c>
      <c r="C230" t="inlineStr">
        <is>
          <t>UNIT 2</t>
        </is>
      </c>
      <c r="D230" t="inlineStr"/>
      <c r="E230" t="inlineStr"/>
      <c r="F230" t="inlineStr"/>
    </row>
    <row r="231">
      <c r="A231" t="inlineStr">
        <is>
          <t>Chavez HS</t>
        </is>
      </c>
      <c r="B231" t="inlineStr">
        <is>
          <t>EAS Secondary</t>
        </is>
      </c>
      <c r="C231" t="inlineStr">
        <is>
          <t>UNIT 2</t>
        </is>
      </c>
      <c r="D231" t="inlineStr"/>
      <c r="E231" t="inlineStr"/>
      <c r="F231" t="inlineStr"/>
    </row>
    <row r="232">
      <c r="A232" t="inlineStr">
        <is>
          <t>Burbank MS</t>
        </is>
      </c>
      <c r="B232" t="inlineStr">
        <is>
          <t>EAS Secondary</t>
        </is>
      </c>
      <c r="C232" t="inlineStr">
        <is>
          <t>UNIT 2</t>
        </is>
      </c>
      <c r="D232" t="inlineStr"/>
      <c r="E232" t="inlineStr"/>
      <c r="F232" t="inlineStr"/>
    </row>
    <row r="233">
      <c r="A233" t="inlineStr">
        <is>
          <t>Hamilton MS</t>
        </is>
      </c>
      <c r="B233" t="inlineStr">
        <is>
          <t>EAS Secondary</t>
        </is>
      </c>
      <c r="C233" t="inlineStr">
        <is>
          <t>UNIT 2</t>
        </is>
      </c>
      <c r="D233" t="inlineStr"/>
      <c r="E233" t="inlineStr">
        <is>
          <t>Yes</t>
        </is>
      </c>
      <c r="F233" t="inlineStr">
        <is>
          <t>Active</t>
        </is>
      </c>
    </row>
    <row r="234">
      <c r="A234" t="inlineStr">
        <is>
          <t>High School Ahead MS</t>
        </is>
      </c>
      <c r="B234" t="inlineStr">
        <is>
          <t>EAS Secondary</t>
        </is>
      </c>
      <c r="C234" t="inlineStr">
        <is>
          <t>UNIT 2</t>
        </is>
      </c>
      <c r="D234" t="inlineStr">
        <is>
          <t>High School Ahead Acad MS</t>
        </is>
      </c>
      <c r="E234" t="inlineStr"/>
      <c r="F234" t="inlineStr"/>
    </row>
    <row r="235">
      <c r="A235" t="inlineStr">
        <is>
          <t>MC Fraga EC HS</t>
        </is>
      </c>
      <c r="B235" t="inlineStr">
        <is>
          <t>EAS Secondary</t>
        </is>
      </c>
      <c r="C235" t="inlineStr">
        <is>
          <t>UNIT 2</t>
        </is>
      </c>
      <c r="D235" t="inlineStr"/>
      <c r="E235" t="inlineStr"/>
      <c r="F235" t="inlineStr"/>
    </row>
    <row r="236">
      <c r="A236" t="inlineStr">
        <is>
          <t>East Early HS</t>
        </is>
      </c>
      <c r="B236" t="inlineStr">
        <is>
          <t>EAS Secondary</t>
        </is>
      </c>
      <c r="C236" t="inlineStr">
        <is>
          <t>UNIT 2</t>
        </is>
      </c>
      <c r="D236" t="inlineStr">
        <is>
          <t>East EC HS</t>
        </is>
      </c>
      <c r="E236" t="inlineStr"/>
      <c r="F236" t="inlineStr"/>
    </row>
    <row r="237">
      <c r="A237" t="inlineStr">
        <is>
          <t>Law &amp; Justice HS</t>
        </is>
      </c>
      <c r="B237" t="inlineStr">
        <is>
          <t>EAS Secondary</t>
        </is>
      </c>
      <c r="C237" t="inlineStr">
        <is>
          <t>UNIT 2</t>
        </is>
      </c>
      <c r="D237" t="inlineStr"/>
      <c r="E237" t="inlineStr"/>
      <c r="F237" t="inlineStr"/>
    </row>
    <row r="238">
      <c r="A238" t="inlineStr">
        <is>
          <t>Hogg MS</t>
        </is>
      </c>
      <c r="B238" t="inlineStr">
        <is>
          <t>EAS Secondary</t>
        </is>
      </c>
      <c r="C238" t="inlineStr">
        <is>
          <t>UNIT 2</t>
        </is>
      </c>
      <c r="D238" t="inlineStr"/>
      <c r="E238" t="inlineStr">
        <is>
          <t>Yes</t>
        </is>
      </c>
      <c r="F238" t="inlineStr">
        <is>
          <t>Good Standing</t>
        </is>
      </c>
    </row>
    <row r="239">
      <c r="A239" t="inlineStr">
        <is>
          <t>Milby HS</t>
        </is>
      </c>
      <c r="B239" t="inlineStr">
        <is>
          <t>EAS Secondary</t>
        </is>
      </c>
      <c r="C239" t="inlineStr">
        <is>
          <t>UNIT 2</t>
        </is>
      </c>
      <c r="D239" t="inlineStr"/>
      <c r="E239" t="inlineStr"/>
      <c r="F239" t="inlineStr"/>
    </row>
    <row r="240">
      <c r="A240" t="inlineStr">
        <is>
          <t>Eastwood Acad HS</t>
        </is>
      </c>
      <c r="B240" t="inlineStr">
        <is>
          <t>EAS Secondary</t>
        </is>
      </c>
      <c r="C240" t="inlineStr">
        <is>
          <t>UNIT 2</t>
        </is>
      </c>
      <c r="D240" t="inlineStr"/>
      <c r="E240" t="inlineStr"/>
      <c r="F240" t="inlineStr"/>
    </row>
    <row r="241">
      <c r="A241" t="inlineStr">
        <is>
          <t>Tanglewood MS</t>
        </is>
      </c>
      <c r="B241" t="inlineStr">
        <is>
          <t>EAS Secondary</t>
        </is>
      </c>
      <c r="C241" t="inlineStr">
        <is>
          <t>UNIT 2</t>
        </is>
      </c>
      <c r="D241" t="inlineStr"/>
      <c r="E241" t="inlineStr"/>
      <c r="F241" t="inlineStr"/>
    </row>
    <row r="242">
      <c r="A242" t="inlineStr">
        <is>
          <t>Liberty HS</t>
        </is>
      </c>
      <c r="B242" t="inlineStr">
        <is>
          <t>EAS Secondary</t>
        </is>
      </c>
      <c r="C242" t="inlineStr">
        <is>
          <t>UNIT 2</t>
        </is>
      </c>
      <c r="D242" t="inlineStr"/>
      <c r="E242" t="inlineStr"/>
      <c r="F242" t="inlineStr"/>
    </row>
    <row r="243">
      <c r="A243" t="inlineStr">
        <is>
          <t>Stevenson MS</t>
        </is>
      </c>
      <c r="B243" t="inlineStr">
        <is>
          <t>EAS Secondary</t>
        </is>
      </c>
      <c r="C243" t="inlineStr">
        <is>
          <t>UNIT 2</t>
        </is>
      </c>
      <c r="D243" t="inlineStr"/>
      <c r="E243" t="inlineStr"/>
      <c r="F243" t="inlineStr"/>
    </row>
    <row r="244">
      <c r="A244" t="inlineStr">
        <is>
          <t>Jones Futures HS</t>
        </is>
      </c>
      <c r="B244" t="inlineStr">
        <is>
          <t>EAS Secondary</t>
        </is>
      </c>
      <c r="C244" t="inlineStr">
        <is>
          <t>UNIT 2</t>
        </is>
      </c>
      <c r="D244" t="inlineStr"/>
      <c r="E244" t="inlineStr"/>
      <c r="F244" t="inlineStr"/>
    </row>
    <row r="245">
      <c r="A245" t="inlineStr">
        <is>
          <t>YWCPA</t>
        </is>
      </c>
      <c r="B245" t="inlineStr">
        <is>
          <t>EAS Secondary</t>
        </is>
      </c>
      <c r="C245" t="inlineStr">
        <is>
          <t>UNIT 2</t>
        </is>
      </c>
      <c r="D245" t="inlineStr"/>
      <c r="E245" t="inlineStr"/>
      <c r="F245" t="inlineStr"/>
    </row>
    <row r="246">
      <c r="A246" t="inlineStr">
        <is>
          <t>South Early HS</t>
        </is>
      </c>
      <c r="B246" t="inlineStr">
        <is>
          <t>EAS Secondary</t>
        </is>
      </c>
      <c r="C246" t="inlineStr">
        <is>
          <t>UNIT 2</t>
        </is>
      </c>
      <c r="D246" t="inlineStr">
        <is>
          <t>South EC HS</t>
        </is>
      </c>
      <c r="E246" t="inlineStr">
        <is>
          <t>Yes</t>
        </is>
      </c>
      <c r="F246" t="inlineStr">
        <is>
          <t>Inactive</t>
        </is>
      </c>
    </row>
    <row r="247">
      <c r="A247" t="inlineStr">
        <is>
          <t>Energized ECC</t>
        </is>
      </c>
      <c r="B247" t="inlineStr">
        <is>
          <t>Programs/Charters</t>
        </is>
      </c>
      <c r="C247" t="inlineStr">
        <is>
          <t>Charters</t>
        </is>
      </c>
      <c r="D247" t="inlineStr"/>
      <c r="E247" t="inlineStr"/>
      <c r="F247" t="inlineStr"/>
    </row>
    <row r="248">
      <c r="A248" t="inlineStr">
        <is>
          <t>Community Services</t>
        </is>
      </c>
      <c r="B248" t="inlineStr">
        <is>
          <t>Programs/Charters</t>
        </is>
      </c>
      <c r="C248" t="inlineStr">
        <is>
          <t>Programs</t>
        </is>
      </c>
      <c r="D248" t="inlineStr"/>
      <c r="E248" t="inlineStr"/>
      <c r="F248" t="inlineStr"/>
    </row>
    <row r="249">
      <c r="A249" t="inlineStr">
        <is>
          <t>Kinder HSPVA</t>
        </is>
      </c>
      <c r="B249" t="inlineStr">
        <is>
          <t>Programs/Charters</t>
        </is>
      </c>
      <c r="C249" t="inlineStr">
        <is>
          <t>1882</t>
        </is>
      </c>
      <c r="D249" t="inlineStr"/>
      <c r="E249" t="inlineStr"/>
      <c r="F249" t="inlineStr"/>
    </row>
    <row r="250">
      <c r="A250" t="inlineStr">
        <is>
          <t>Barbara Jordan Career Center</t>
        </is>
      </c>
      <c r="B250" t="inlineStr">
        <is>
          <t>Programs/Charters</t>
        </is>
      </c>
      <c r="C250" t="inlineStr">
        <is>
          <t>Office of Academics</t>
        </is>
      </c>
      <c r="D250" t="inlineStr"/>
      <c r="E250" t="inlineStr"/>
      <c r="F250" t="inlineStr"/>
    </row>
    <row r="251">
      <c r="A251" t="inlineStr">
        <is>
          <t>Energized ES</t>
        </is>
      </c>
      <c r="B251" t="inlineStr">
        <is>
          <t>Programs/Charters</t>
        </is>
      </c>
      <c r="C251" t="inlineStr">
        <is>
          <t>Charters</t>
        </is>
      </c>
      <c r="D251" t="inlineStr"/>
      <c r="E251" t="inlineStr"/>
      <c r="F251" t="inlineStr"/>
    </row>
    <row r="252">
      <c r="A252" t="inlineStr">
        <is>
          <t>DAEP EL</t>
        </is>
      </c>
      <c r="B252" t="inlineStr">
        <is>
          <t>Programs/Charters</t>
        </is>
      </c>
      <c r="C252" t="inlineStr">
        <is>
          <t>Programs</t>
        </is>
      </c>
      <c r="D252" t="inlineStr"/>
      <c r="E252" t="inlineStr"/>
      <c r="F252" t="inlineStr"/>
    </row>
    <row r="253">
      <c r="A253" t="inlineStr">
        <is>
          <t>Challenge EC HS</t>
        </is>
      </c>
      <c r="B253" t="inlineStr">
        <is>
          <t>Programs/Charters</t>
        </is>
      </c>
      <c r="C253" t="inlineStr">
        <is>
          <t>1882</t>
        </is>
      </c>
      <c r="D253" t="inlineStr"/>
      <c r="E253" t="inlineStr"/>
      <c r="F253" t="inlineStr"/>
    </row>
    <row r="254">
      <c r="A254" t="inlineStr">
        <is>
          <t>SPED HCC Lifeskills</t>
        </is>
      </c>
      <c r="B254" t="inlineStr">
        <is>
          <t>Programs/Charters</t>
        </is>
      </c>
      <c r="C254" t="inlineStr">
        <is>
          <t>Office of Academics</t>
        </is>
      </c>
      <c r="D254" t="inlineStr"/>
      <c r="E254" t="inlineStr"/>
      <c r="F254" t="inlineStr"/>
    </row>
    <row r="255">
      <c r="A255" t="inlineStr">
        <is>
          <t>Energized for STEM Acad MS</t>
        </is>
      </c>
      <c r="B255" t="inlineStr">
        <is>
          <t>Programs/Charters</t>
        </is>
      </c>
      <c r="C255" t="inlineStr">
        <is>
          <t>Charters</t>
        </is>
      </c>
      <c r="D255" t="inlineStr"/>
      <c r="E255" t="inlineStr"/>
      <c r="F255" t="inlineStr"/>
    </row>
    <row r="256">
      <c r="A256" t="inlineStr">
        <is>
          <t>Harper/Secondary DAEP</t>
        </is>
      </c>
      <c r="B256" t="inlineStr">
        <is>
          <t>Programs/Charters</t>
        </is>
      </c>
      <c r="C256" t="inlineStr">
        <is>
          <t>Programs</t>
        </is>
      </c>
      <c r="D256" t="inlineStr"/>
      <c r="E256" t="inlineStr"/>
      <c r="F256" t="inlineStr"/>
    </row>
    <row r="257">
      <c r="A257" t="inlineStr">
        <is>
          <t>Energy Inst HS</t>
        </is>
      </c>
      <c r="B257" t="inlineStr">
        <is>
          <t>Programs/Charters</t>
        </is>
      </c>
      <c r="C257" t="inlineStr">
        <is>
          <t>1882</t>
        </is>
      </c>
      <c r="D257" t="inlineStr"/>
      <c r="E257" t="inlineStr"/>
      <c r="F257" t="inlineStr"/>
    </row>
    <row r="258">
      <c r="A258" t="inlineStr">
        <is>
          <t>SPED RDSPD</t>
        </is>
      </c>
      <c r="B258" t="inlineStr">
        <is>
          <t>Programs/Charters</t>
        </is>
      </c>
      <c r="C258" t="inlineStr">
        <is>
          <t>Office of Academics</t>
        </is>
      </c>
      <c r="D258" t="inlineStr"/>
      <c r="E258" t="inlineStr"/>
      <c r="F258" t="inlineStr"/>
    </row>
    <row r="259">
      <c r="A259" t="inlineStr">
        <is>
          <t>Energized for STEM Acad HS</t>
        </is>
      </c>
      <c r="B259" t="inlineStr">
        <is>
          <t>Programs/Charters</t>
        </is>
      </c>
      <c r="C259" t="inlineStr">
        <is>
          <t>Charters</t>
        </is>
      </c>
      <c r="D259" t="inlineStr"/>
      <c r="E259" t="inlineStr"/>
      <c r="F259" t="inlineStr"/>
    </row>
    <row r="260">
      <c r="A260" t="inlineStr">
        <is>
          <t>JJAEP</t>
        </is>
      </c>
      <c r="B260" t="inlineStr">
        <is>
          <t>Programs/Charters</t>
        </is>
      </c>
      <c r="C260" t="inlineStr">
        <is>
          <t>Programs</t>
        </is>
      </c>
      <c r="D260" t="inlineStr"/>
      <c r="E260" t="inlineStr"/>
      <c r="F260" t="inlineStr"/>
    </row>
    <row r="261">
      <c r="A261" t="inlineStr">
        <is>
          <t>HAIS</t>
        </is>
      </c>
      <c r="B261" t="inlineStr">
        <is>
          <t>Programs/Charters</t>
        </is>
      </c>
      <c r="C261" t="inlineStr">
        <is>
          <t>1882</t>
        </is>
      </c>
      <c r="D261" t="inlineStr">
        <is>
          <t>HAIS HS</t>
        </is>
      </c>
      <c r="E261" t="inlineStr"/>
      <c r="F261" t="inlineStr"/>
    </row>
    <row r="262">
      <c r="A262" t="inlineStr">
        <is>
          <t>SPED SOAR</t>
        </is>
      </c>
      <c r="B262" t="inlineStr">
        <is>
          <t>Programs/Charters</t>
        </is>
      </c>
      <c r="C262" t="inlineStr">
        <is>
          <t>Office of Academics</t>
        </is>
      </c>
      <c r="D262" t="inlineStr"/>
      <c r="E262" t="inlineStr"/>
      <c r="F262" t="inlineStr"/>
    </row>
    <row r="263">
      <c r="A263" t="inlineStr">
        <is>
          <t>Energized MS</t>
        </is>
      </c>
      <c r="B263" t="inlineStr">
        <is>
          <t>Programs/Charters</t>
        </is>
      </c>
      <c r="C263" t="inlineStr">
        <is>
          <t>Charters</t>
        </is>
      </c>
      <c r="D263" t="inlineStr"/>
      <c r="E263" t="inlineStr"/>
      <c r="F263" t="inlineStr"/>
    </row>
    <row r="264">
      <c r="A264" t="inlineStr">
        <is>
          <t>Virtual Launchpad</t>
        </is>
      </c>
      <c r="B264" t="inlineStr">
        <is>
          <t>Programs/Charters</t>
        </is>
      </c>
      <c r="C264" t="inlineStr">
        <is>
          <t>Office of Academics</t>
        </is>
      </c>
      <c r="D264" t="inlineStr"/>
      <c r="E264" t="inlineStr"/>
      <c r="F264" t="inlineStr"/>
    </row>
    <row r="265">
      <c r="A265" t="inlineStr">
        <is>
          <t>TCAH</t>
        </is>
      </c>
      <c r="B265" t="inlineStr">
        <is>
          <t>Programs/Charters</t>
        </is>
      </c>
      <c r="C265" t="inlineStr">
        <is>
          <t>Charters</t>
        </is>
      </c>
      <c r="D265" t="inlineStr"/>
      <c r="E265" t="inlineStr"/>
      <c r="F265" t="inlineStr"/>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2026-10-09T16:42:48Z</dcterms:modified>
  <cp:revision>0</cp:revision>
</cp:coreProperties>
</file>