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comments/comment3.xml" ContentType="application/vnd.openxmlformats-officedocument.spreadsheetml.comments+xml"/>
  <Override PartName="/xl/worksheets/sheet6.xml" ContentType="application/vnd.openxmlformats-officedocument.spreadsheetml.worksheet+xml"/>
  <Override PartName="/xl/comments/comment4.xml" ContentType="application/vnd.openxmlformats-officedocument.spreadsheetml.comments+xml"/>
  <Override PartName="/xl/worksheets/sheet7.xml" ContentType="application/vnd.openxmlformats-officedocument.spreadsheetml.worksheet+xml"/>
  <Override PartName="/xl/comments/comment5.xml" ContentType="application/vnd.openxmlformats-officedocument.spreadsheetml.comments+xml"/>
  <Override PartName="/xl/worksheets/sheet8.xml" ContentType="application/vnd.openxmlformats-officedocument.spreadsheetml.worksheet+xml"/>
  <Override PartName="/xl/comments/comment6.xml" ContentType="application/vnd.openxmlformats-officedocument.spreadsheetml.comments+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600" firstSheet="0" activeTab="0" autoFilterDateGrouping="1"/>
  </bookViews>
  <sheets>
    <sheet xmlns:r="http://schemas.openxmlformats.org/officeDocument/2006/relationships" name="Start Here" sheetId="1" state="visible" r:id="rId1"/>
    <sheet xmlns:r="http://schemas.openxmlformats.org/officeDocument/2006/relationships" name="Summary" sheetId="2" state="visible" r:id="rId2"/>
    <sheet xmlns:r="http://schemas.openxmlformats.org/officeDocument/2006/relationships" name="Campus Register" sheetId="3" state="visible" r:id="rId3"/>
    <sheet xmlns:r="http://schemas.openxmlformats.org/officeDocument/2006/relationships" name="Officers" sheetId="4" state="visible" r:id="rId4"/>
    <sheet xmlns:r="http://schemas.openxmlformats.org/officeDocument/2006/relationships" name="Submission Log" sheetId="5" state="visible" r:id="rId5"/>
    <sheet xmlns:r="http://schemas.openxmlformats.org/officeDocument/2006/relationships" name="Officer Form Paste" sheetId="6" state="visible" r:id="rId6"/>
    <sheet xmlns:r="http://schemas.openxmlformats.org/officeDocument/2006/relationships" name="C1 Assignments" sheetId="7" state="visible" r:id="rId7"/>
    <sheet xmlns:r="http://schemas.openxmlformats.org/officeDocument/2006/relationships" name="Dashboard Sign-ins" sheetId="8" state="visible" r:id="rId8"/>
    <sheet xmlns:r="http://schemas.openxmlformats.org/officeDocument/2006/relationships" name="Settings" sheetId="9" state="visible" r:id="rId9"/>
    <sheet xmlns:r="http://schemas.openxmlformats.org/officeDocument/2006/relationships" name="Area Office Campuses" sheetId="10" state="visible" r:id="rId10"/>
    <sheet xmlns:r="http://schemas.openxmlformats.org/officeDocument/2006/relationships" name="No PTO-PTA List" sheetId="11" state="visible" r:id="rId11"/>
    <sheet xmlns:r="http://schemas.openxmlformats.org/officeDocument/2006/relationships" name="Texas PTA Paste" sheetId="12" state="visible" r:id="rId12"/>
    <sheet xmlns:r="http://schemas.openxmlformats.org/officeDocument/2006/relationships" name="Texas PTA" sheetId="13" state="visible" r:id="rId13"/>
    <sheet xmlns:r="http://schemas.openxmlformats.org/officeDocument/2006/relationships" name="Roster Match Notes" sheetId="14" state="visible" r:id="rId14"/>
  </sheets>
  <definedNames>
    <definedName name="_xlnm._FilterDatabase" localSheetId="2" hidden="1">'Campus Register'!$A$1:$U$600</definedName>
    <definedName name="_xlnm._FilterDatabase" localSheetId="3" hidden="1">'Officers'!$A$1:$R$1000</definedName>
    <definedName name="_xlnm._FilterDatabase" localSheetId="4" hidden="1">'Submission Log'!$A$1:$H$800</definedName>
  </definedNames>
  <calcPr calcId="124519" fullCalcOnLoad="1" refMode="A1" iterate="0" iterateCount="100" iterateDelta="0.0001"/>
</workbook>
</file>

<file path=xl/styles.xml><?xml version="1.0" encoding="utf-8"?>
<styleSheet xmlns="http://schemas.openxmlformats.org/spreadsheetml/2006/main">
  <numFmts count="1">
    <numFmt numFmtId="164" formatCode="yyyy\-mm\-dd\ hh:mm"/>
  </numFmts>
  <fonts count="14">
    <font>
      <name val="Calibri"/>
      <charset val="1"/>
      <family val="2"/>
      <color theme="1"/>
      <sz val="11"/>
    </font>
    <font>
      <name val="Arial"/>
      <family val="0"/>
      <sz val="10"/>
    </font>
    <font>
      <name val="Arial"/>
      <family val="0"/>
      <sz val="10"/>
    </font>
    <font>
      <name val="Arial"/>
      <family val="0"/>
      <sz val="10"/>
    </font>
    <font>
      <name val="Arial"/>
      <charset val="1"/>
      <family val="0"/>
      <b val="1"/>
      <color rgb="FF0D366B"/>
      <sz val="15"/>
    </font>
    <font>
      <name val="Arial"/>
      <charset val="1"/>
      <family val="0"/>
      <i val="1"/>
      <color rgb="FF52514E"/>
      <sz val="9"/>
    </font>
    <font>
      <name val="Arial"/>
      <charset val="1"/>
      <family val="0"/>
      <color theme="1"/>
      <sz val="11"/>
    </font>
    <font>
      <name val="Arial"/>
      <charset val="1"/>
      <family val="0"/>
      <b val="1"/>
      <color rgb="FF0D366B"/>
      <sz val="11"/>
    </font>
    <font>
      <name val="Arial"/>
      <charset val="1"/>
      <family val="0"/>
      <sz val="10"/>
    </font>
    <font>
      <name val="Arial"/>
      <charset val="1"/>
      <family val="0"/>
      <b val="1"/>
      <sz val="10"/>
    </font>
    <font>
      <name val="Arial"/>
      <charset val="1"/>
      <family val="0"/>
      <b val="1"/>
      <color rgb="FFFFFFFF"/>
      <sz val="10"/>
    </font>
    <font>
      <name val="Arial"/>
      <charset val="1"/>
      <family val="0"/>
      <color rgb="FF0000FF"/>
      <sz val="10"/>
    </font>
    <font>
      <name val="Arial"/>
      <family val="2"/>
      <sz val="10"/>
    </font>
    <font>
      <b val="1"/>
    </font>
  </fonts>
  <fills count="5">
    <fill>
      <patternFill/>
    </fill>
    <fill>
      <patternFill patternType="gray125"/>
    </fill>
    <fill>
      <patternFill patternType="solid">
        <fgColor rgb="FF184F95"/>
        <bgColor rgb="FF1C5CAB"/>
      </patternFill>
    </fill>
    <fill>
      <patternFill patternType="solid">
        <fgColor rgb="FFF1F0EC"/>
        <bgColor rgb="FFFFF4CE"/>
      </patternFill>
    </fill>
    <fill>
      <patternFill patternType="solid">
        <fgColor rgb="FFFFF4CE"/>
        <bgColor rgb="FFFFF2CC"/>
      </patternFill>
    </fill>
  </fills>
  <borders count="2">
    <border>
      <left/>
      <right/>
      <top/>
      <bottom/>
      <diagonal/>
    </border>
    <border>
      <left/>
      <right/>
      <top/>
      <bottom style="thin">
        <color rgb="FFC3C2B7"/>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43">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general" vertical="bottom"/>
    </xf>
    <xf numFmtId="0" fontId="7" fillId="0" borderId="0" applyAlignment="1" pivotButton="0" quotePrefix="0" xfId="0">
      <alignment horizontal="general" vertical="bottom"/>
    </xf>
    <xf numFmtId="0" fontId="8" fillId="0" borderId="0" applyAlignment="1" pivotButton="0" quotePrefix="0" xfId="0">
      <alignment horizontal="general" vertical="top" wrapText="1"/>
    </xf>
    <xf numFmtId="0" fontId="9" fillId="0" borderId="0" applyAlignment="1" pivotButton="0" quotePrefix="0" xfId="0">
      <alignment horizontal="general" vertical="bottom"/>
    </xf>
    <xf numFmtId="0" fontId="10" fillId="2" borderId="0" applyAlignment="1" pivotButton="0" quotePrefix="0" xfId="0">
      <alignment horizontal="center" vertical="center" wrapText="1"/>
    </xf>
    <xf numFmtId="0" fontId="8" fillId="0" borderId="0" applyAlignment="1" pivotButton="0" quotePrefix="0" xfId="0">
      <alignment horizontal="general" vertical="bottom"/>
    </xf>
    <xf numFmtId="9" fontId="8" fillId="0" borderId="0" applyAlignment="1" pivotButton="0" quotePrefix="0" xfId="0">
      <alignment horizontal="general" vertical="bottom"/>
    </xf>
    <xf numFmtId="0" fontId="11" fillId="0" borderId="0" applyAlignment="1" pivotButton="0" quotePrefix="0" xfId="0">
      <alignment horizontal="general" vertical="bottom"/>
    </xf>
    <xf numFmtId="0" fontId="8" fillId="3" borderId="0" applyAlignment="1" pivotButton="0" quotePrefix="0" xfId="0">
      <alignment horizontal="center" vertical="bottom"/>
    </xf>
    <xf numFmtId="0" fontId="8" fillId="3" borderId="0" applyAlignment="1" pivotButton="0" quotePrefix="0" xfId="0">
      <alignment horizontal="general" vertical="bottom"/>
    </xf>
    <xf numFmtId="49" fontId="6" fillId="0" borderId="0" applyAlignment="1" pivotButton="0" quotePrefix="0" xfId="0">
      <alignment horizontal="general" vertical="bottom"/>
    </xf>
    <xf numFmtId="164" fontId="6" fillId="0" borderId="0" applyAlignment="1" pivotButton="0" quotePrefix="0" xfId="0">
      <alignment horizontal="general" vertical="bottom"/>
    </xf>
    <xf numFmtId="0" fontId="11" fillId="0" borderId="0" applyAlignment="1" pivotButton="0" quotePrefix="0" xfId="0">
      <alignment horizontal="center" vertical="center" wrapText="1"/>
    </xf>
    <xf numFmtId="0" fontId="5" fillId="0" borderId="0" applyAlignment="1" pivotButton="0" quotePrefix="0" xfId="0">
      <alignment horizontal="general" vertical="top" wrapText="1"/>
    </xf>
    <xf numFmtId="0" fontId="10" fillId="2" borderId="0" applyAlignment="1" pivotButton="0" quotePrefix="0" xfId="0">
      <alignment horizontal="general" vertical="bottom"/>
    </xf>
    <xf numFmtId="0" fontId="8" fillId="4" borderId="1" applyAlignment="1" pivotButton="0" quotePrefix="0" xfId="0">
      <alignment horizontal="general" vertical="top" wrapText="1"/>
    </xf>
    <xf numFmtId="0" fontId="8" fillId="0" borderId="1"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general" vertical="bottom"/>
    </xf>
    <xf numFmtId="0" fontId="7" fillId="0" borderId="0" applyAlignment="1" pivotButton="0" quotePrefix="0" xfId="0">
      <alignment horizontal="general" vertical="bottom"/>
    </xf>
    <xf numFmtId="0" fontId="8" fillId="0" borderId="0" applyAlignment="1" pivotButton="0" quotePrefix="0" xfId="0">
      <alignment horizontal="general" vertical="top" wrapText="1"/>
    </xf>
    <xf numFmtId="0" fontId="9" fillId="0" borderId="0" applyAlignment="1" pivotButton="0" quotePrefix="0" xfId="0">
      <alignment horizontal="general" vertical="bottom"/>
    </xf>
    <xf numFmtId="0" fontId="10" fillId="2" borderId="0" applyAlignment="1" pivotButton="0" quotePrefix="0" xfId="0">
      <alignment horizontal="center" vertical="center" wrapText="1"/>
    </xf>
    <xf numFmtId="0" fontId="8" fillId="0" borderId="0" applyAlignment="1" pivotButton="0" quotePrefix="0" xfId="0">
      <alignment horizontal="general" vertical="bottom"/>
    </xf>
    <xf numFmtId="9" fontId="8" fillId="0" borderId="0" applyAlignment="1" pivotButton="0" quotePrefix="0" xfId="0">
      <alignment horizontal="general" vertical="bottom"/>
    </xf>
    <xf numFmtId="0" fontId="11" fillId="0" borderId="0" applyAlignment="1" pivotButton="0" quotePrefix="0" xfId="0">
      <alignment horizontal="general" vertical="bottom"/>
    </xf>
    <xf numFmtId="0" fontId="8" fillId="3" borderId="0" applyAlignment="1" pivotButton="0" quotePrefix="0" xfId="0">
      <alignment horizontal="center" vertical="bottom"/>
    </xf>
    <xf numFmtId="0" fontId="8" fillId="3" borderId="0" applyAlignment="1" pivotButton="0" quotePrefix="0" xfId="0">
      <alignment horizontal="general" vertical="bottom"/>
    </xf>
    <xf numFmtId="49" fontId="6" fillId="0" borderId="0" applyAlignment="1" pivotButton="0" quotePrefix="0" xfId="0">
      <alignment horizontal="general" vertical="bottom"/>
    </xf>
    <xf numFmtId="164" fontId="6" fillId="0" borderId="0" applyAlignment="1" pivotButton="0" quotePrefix="0" xfId="0">
      <alignment horizontal="general" vertical="bottom"/>
    </xf>
    <xf numFmtId="0" fontId="10" fillId="0" borderId="0" pivotButton="0" quotePrefix="0" xfId="0"/>
    <xf numFmtId="0" fontId="11" fillId="0" borderId="0" applyAlignment="1" pivotButton="0" quotePrefix="0" xfId="0">
      <alignment horizontal="center" vertical="center" wrapText="1"/>
    </xf>
    <xf numFmtId="0" fontId="5" fillId="0" borderId="0" applyAlignment="1" pivotButton="0" quotePrefix="0" xfId="0">
      <alignment horizontal="general" vertical="top" wrapText="1"/>
    </xf>
    <xf numFmtId="0" fontId="10" fillId="2" borderId="0" applyAlignment="1" pivotButton="0" quotePrefix="0" xfId="0">
      <alignment horizontal="general" vertical="bottom"/>
    </xf>
    <xf numFmtId="0" fontId="13" fillId="0" borderId="0" pivotButton="0" quotePrefix="0" xfId="0"/>
    <xf numFmtId="0" fontId="8" fillId="4" borderId="1" applyAlignment="1" pivotButton="0" quotePrefix="0" xfId="0">
      <alignment horizontal="general" vertical="top" wrapText="1"/>
    </xf>
    <xf numFmtId="0" fontId="8" fillId="0" borderId="1" applyAlignment="1" pivotButton="0" quotePrefix="0" xfId="0">
      <alignment horizontal="general"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25">
    <dxf>
      <fill>
        <patternFill patternType="solid">
          <fgColor rgb="FF184F95"/>
          <bgColor rgb="FF000000"/>
        </patternFill>
      </fill>
    </dxf>
    <dxf>
      <fill>
        <patternFill patternType="solid">
          <bgColor rgb="FF000000"/>
        </patternFill>
      </fill>
    </dxf>
    <dxf>
      <fill>
        <patternFill patternType="solid">
          <fgColor rgb="FF0000FF"/>
          <bgColor rgb="FF000000"/>
        </patternFill>
      </fill>
    </dxf>
    <dxf>
      <fill>
        <patternFill patternType="solid">
          <fgColor rgb="FFFFFFFF"/>
          <bgColor rgb="FF000000"/>
        </patternFill>
      </fill>
    </dxf>
    <dxf>
      <fill>
        <patternFill patternType="solid">
          <fgColor rgb="FF898781"/>
          <bgColor rgb="FF000000"/>
        </patternFill>
      </fill>
    </dxf>
    <dxf>
      <fill>
        <patternFill patternType="solid">
          <fgColor rgb="FFF1F0EC"/>
          <bgColor rgb="FF000000"/>
        </patternFill>
      </fill>
    </dxf>
    <dxf>
      <fill>
        <patternFill patternType="solid">
          <fgColor rgb="FFE1E0D9"/>
          <bgColor rgb="FF000000"/>
        </patternFill>
      </fill>
    </dxf>
    <dxf>
      <fill>
        <patternFill patternType="solid">
          <fgColor rgb="FFFFF2CC"/>
          <bgColor rgb="FF000000"/>
        </patternFill>
      </fill>
    </dxf>
    <dxf>
      <fill>
        <patternFill patternType="solid">
          <fgColor rgb="FF52514E"/>
          <bgColor rgb="FF000000"/>
        </patternFill>
      </fill>
    </dxf>
    <dxf>
      <fill>
        <patternFill patternType="solid">
          <fgColor rgb="FF7A5B00"/>
          <bgColor rgb="FF000000"/>
        </patternFill>
      </fill>
    </dxf>
    <dxf>
      <font>
        <name val="Arial"/>
        <charset val="1"/>
        <family val="0"/>
        <b val="1"/>
        <color rgb="FFFFFFFF"/>
        <sz val="10"/>
      </font>
      <fill>
        <patternFill>
          <bgColor rgb="FF1C5CAB"/>
        </patternFill>
      </fill>
    </dxf>
    <dxf>
      <fill>
        <patternFill>
          <bgColor rgb="FFCDE2FB"/>
        </patternFill>
      </fill>
    </dxf>
    <dxf>
      <font>
        <name val="Arial"/>
        <charset val="1"/>
        <family val="0"/>
        <b val="1"/>
        <color rgb="FF7A2E0E"/>
        <sz val="10"/>
      </font>
      <fill>
        <patternFill>
          <bgColor rgb="FFFAD4C0"/>
        </patternFill>
      </fill>
    </dxf>
    <dxf>
      <font>
        <name val="Arial"/>
        <charset val="1"/>
        <family val="0"/>
        <color rgb="FF898781"/>
        <sz val="10"/>
      </font>
    </dxf>
    <dxf>
      <font>
        <name val="Arial"/>
        <charset val="1"/>
        <family val="0"/>
        <b val="1"/>
        <color rgb="FFFFFFFF"/>
        <sz val="10"/>
      </font>
      <fill>
        <patternFill>
          <bgColor rgb="FF104281"/>
        </patternFill>
      </fill>
    </dxf>
    <dxf>
      <font>
        <name val="Arial"/>
        <charset val="1"/>
        <family val="0"/>
        <b val="1"/>
        <color rgb="FFFFFFFF"/>
        <sz val="10"/>
      </font>
      <fill>
        <patternFill>
          <bgColor rgb="FF3987E5"/>
        </patternFill>
      </fill>
    </dxf>
    <dxf>
      <font>
        <name val="Arial"/>
        <charset val="1"/>
        <family val="0"/>
        <b val="1"/>
        <color rgb="FF0B0B0B"/>
        <sz val="10"/>
      </font>
      <fill>
        <patternFill>
          <bgColor rgb="FFCDE2FB"/>
        </patternFill>
      </fill>
    </dxf>
    <dxf>
      <font>
        <name val="Arial"/>
        <charset val="1"/>
        <family val="0"/>
        <b val="1"/>
        <color rgb="FF52514E"/>
        <sz val="10"/>
      </font>
      <fill>
        <patternFill>
          <bgColor rgb="FFE1E0D9"/>
        </patternFill>
      </fill>
    </dxf>
    <dxf>
      <font>
        <name val="Arial"/>
        <charset val="1"/>
        <family val="0"/>
        <b val="1"/>
        <color rgb="FF898781"/>
        <sz val="10"/>
      </font>
      <fill>
        <patternFill>
          <bgColor rgb="FFFFFFFF"/>
        </patternFill>
      </fill>
    </dxf>
    <dxf>
      <font>
        <name val="Arial"/>
        <charset val="1"/>
        <family val="0"/>
        <b val="1"/>
        <color rgb="FF7A5B00"/>
        <sz val="10"/>
      </font>
      <fill>
        <patternFill>
          <bgColor rgb="FFFFF2CC"/>
        </patternFill>
      </fill>
    </dxf>
    <dxf>
      <fill>
        <patternFill>
          <bgColor rgb="FFFFF2CC"/>
        </patternFill>
      </fill>
    </dxf>
    <dxf>
      <font>
        <name val="Arial"/>
        <charset val="1"/>
        <family val="0"/>
        <b val="1"/>
        <sz val="10"/>
      </font>
      <fill>
        <patternFill>
          <bgColor rgb="FFCDE2FB"/>
        </patternFill>
      </fill>
    </dxf>
    <dxf>
      <fill>
        <patternFill patternType="solid">
          <fgColor rgb="FF000000"/>
          <bgColor rgb="FF000000"/>
        </patternFill>
      </fill>
    </dxf>
    <dxf>
      <font>
        <name val="Arial"/>
        <charset val="1"/>
        <family val="0"/>
        <b val="1"/>
        <color rgb="FF6B4F00"/>
        <sz val="10"/>
      </font>
      <fill>
        <patternFill>
          <bgColor rgb="FFFFF2CC"/>
        </patternFill>
      </fill>
    </dxf>
    <dxf>
      <font>
        <i val="1"/>
        <color rgb="0043585C"/>
      </font>
      <fill>
        <patternFill patternType="solid">
          <fgColor rgb="00E9EAEA"/>
          <bgColor rgb="00E9EAEA"/>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7A5B00"/>
      <rgbColor rgb="FF800080"/>
      <rgbColor rgb="FF184F95"/>
      <rgbColor rgb="FFC3C2B7"/>
      <rgbColor rgb="FF898781"/>
      <rgbColor rgb="FF9999FF"/>
      <rgbColor rgb="FF993366"/>
      <rgbColor rgb="FFFFF4CE"/>
      <rgbColor rgb="FFF1F0EC"/>
      <rgbColor rgb="FF660066"/>
      <rgbColor rgb="FFFF8080"/>
      <rgbColor rgb="FF1C5CAB"/>
      <rgbColor rgb="FFCDE2FB"/>
      <rgbColor rgb="FF000080"/>
      <rgbColor rgb="FFFF00FF"/>
      <rgbColor rgb="FFFFFF00"/>
      <rgbColor rgb="FF00FFFF"/>
      <rgbColor rgb="FF800080"/>
      <rgbColor rgb="FF800000"/>
      <rgbColor rgb="FF008080"/>
      <rgbColor rgb="FF0000FF"/>
      <rgbColor rgb="FF00CCFF"/>
      <rgbColor rgb="FFCCFFFF"/>
      <rgbColor rgb="FFE1E0D9"/>
      <rgbColor rgb="FFFFF2CC"/>
      <rgbColor rgb="FF86B6EF"/>
      <rgbColor rgb="FFFF99CC"/>
      <rgbColor rgb="FFCC99FF"/>
      <rgbColor rgb="FFFAD4C0"/>
      <rgbColor rgb="FF3987E5"/>
      <rgbColor rgb="FF33CCCC"/>
      <rgbColor rgb="FF6DB83D"/>
      <rgbColor rgb="FFFFCC00"/>
      <rgbColor rgb="FFFF9900"/>
      <rgbColor rgb="FFFF6600"/>
      <rgbColor rgb="FF666699"/>
      <rgbColor rgb="FF969696"/>
      <rgbColor rgb="FF0D366B"/>
      <rgbColor rgb="FF339966"/>
      <rgbColor rgb="FF0B0B0B"/>
      <rgbColor rgb="FF6B4F00"/>
      <rgbColor rgb="FF7A2E0E"/>
      <rgbColor rgb="FF993366"/>
      <rgbColor rgb="FF104281"/>
      <rgbColor rgb="FF52514E"/>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comments/comment1.xml><?xml version="1.0" encoding="utf-8"?>
<comments xmlns="http://schemas.openxmlformats.org/spreadsheetml/2006/main">
  <authors>
    <author>Unknown Author</author>
  </authors>
  <commentList>
    <comment ref="D1" authorId="0" shapeId="0">
      <text>
        <t>Highlighted yellow when a campus has documents on file but Has PTO or PTA is not Yes. Confirm it with the coordinator.</t>
      </text>
    </comment>
    <comment ref="S1" authorId="0" shapeId="0">
      <text>
        <t>How many items are Received and waiting for a reviewer. Filter this column to greater than 0 for the review queue.</t>
      </text>
    </comment>
    <comment ref="T1" authorId="0" shapeId="0">
      <text>
        <t>How many items are marked Needs Correction. Filter to greater than 0 to see who needs follow-up.</t>
      </text>
    </comment>
  </commentList>
</comments>
</file>

<file path=xl/comments/comment2.xml><?xml version="1.0" encoding="utf-8"?>
<comments xmlns="http://schemas.openxmlformats.org/spreadsheetml/2006/main">
  <authors>
    <author>Unknown Author</author>
  </authors>
  <commentList>
    <comment ref="A1" authorId="0" shapeId="0">
      <text>
        <t>Filled in by PTO/PTA Tracker &gt; Import officers: one row per officer listed on the officer update form (up to five per form). Do not type in these columns; the one to edit is Campus.</t>
      </text>
    </comment>
    <comment ref="D1" authorId="0" shapeId="0">
      <text>
        <t>Taken from the form's school question. A school the Campus Register does not have is added to it automatically. Only when the form names several schools (or none) does Match say School not on the roster or Pick a campus: type or pick the campus here (on any one row of that form), then run the import again. If you change a campus that was already added, also fix Officer Information for the old campus in Campus Register.</t>
      </text>
    </comment>
    <comment ref="P1" authorId="0" shapeId="0">
      <text>
        <t>The free-text box at the end of the form (other officer updates). It is kept once per form, on the first officer's row. Read it: it may name officers who did not fit in the five slots.</t>
      </text>
    </comment>
  </commentList>
</comments>
</file>

<file path=xl/comments/comment3.xml><?xml version="1.0" encoding="utf-8"?>
<comments xmlns="http://schemas.openxmlformats.org/spreadsheetml/2006/main">
  <authors>
    <author>Unknown Author</author>
  </authors>
  <commentList>
    <comment ref="A1" authorId="0" shapeId="0">
      <text>
        <t>The form's script adds one row here for every document it files. Only type in the Notes column.</t>
      </text>
    </comment>
  </commentList>
</comments>
</file>

<file path=xl/comments/comment4.xml><?xml version="1.0" encoding="utf-8"?>
<comments xmlns="http://schemas.openxmlformats.org/spreadsheetml/2006/main">
  <authors>
    <author>Unknown Author</author>
  </authors>
  <commentList>
    <comment ref="A1" authorId="0" shapeId="0">
      <text>
        <t>Paste the Excel export of the officer information form here, starting at cell A1 with its row of column titles. Then choose PTO/PTA Tracker &gt; Import officers. You can paste the whole export every time: responses already imported are skipped.</t>
      </text>
    </comment>
  </commentList>
</comments>
</file>

<file path=xl/comments/comment5.xml><?xml version="1.0" encoding="utf-8"?>
<comments xmlns="http://schemas.openxmlformats.org/spreadsheetml/2006/main">
  <authors>
    <author>Unknown Author</author>
  </authors>
  <commentList>
    <comment ref="A1" authorId="0" shapeId="0">
      <text>
        <t>One row per campus. Pick the campus from the list (it is checked against the Campus Register). A campus can have more than one C1: give it one row for each.</t>
      </text>
    </comment>
    <comment ref="B1" authorId="0" shapeId="0">
      <text>
        <t>The C1's name, spelled the same way on every row. Each distinct name becomes one row on the Dashboard Sign-ins tab and gets one passcode (PTO/PTA Tracker &gt; Dashboard sign-ins: set up and make passcodes). The name is what the log records for that C1's reviews.</t>
      </text>
    </comment>
  </commentList>
</comments>
</file>

<file path=xl/comments/comment6.xml><?xml version="1.0" encoding="utf-8"?>
<comments xmlns="http://schemas.openxmlformats.org/spreadsheetml/2006/main">
  <authors>
    <author>Unknown Author</author>
  </authors>
  <commentList>
    <comment ref="A1" authorId="0" shapeId="0">
      <text>
        <t>Everyone who may sign in on the dashboard. C1 Coordinators are added here by PTO/PTA Tracker &gt; Dashboard sign-ins: set up and make passcodes (from the C1 Assignments tab). Add one row per FACE staff member: their name, and the Role Staff. Delete a row to end that person's access.</t>
      </text>
    </comment>
    <comment ref="B1" authorId="0" shapeId="0">
      <text>
        <t>C1 can review only the campuses listed for that name on the C1 Assignments tab. Staff can review every campus. Any other role cannot sign in.</t>
      </text>
    </comment>
    <comment ref="C1" authorId="0" shapeId="0">
      <text>
        <t>Written by the script: Passcode set (date), or why the person cannot sign in yet. Passcodes are never shown here; new ones appear once on the New Passcodes tab.</t>
      </text>
    </comment>
  </commentList>
</comment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4.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5.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6.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7.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8.xml.rels><Relationships xmlns="http://schemas.openxmlformats.org/package/2006/relationships"><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sheet1.xml><?xml version="1.0" encoding="utf-8"?>
<worksheet xmlns="http://schemas.openxmlformats.org/spreadsheetml/2006/main">
  <sheetPr filterMode="0">
    <outlinePr summaryBelow="1" summaryRight="1"/>
    <pageSetUpPr fitToPage="1"/>
  </sheetPr>
  <dimension ref="A1:A86"/>
  <sheetViews>
    <sheetView showFormulas="0" showGridLines="0"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30" customWidth="1" style="20" min="1" max="1"/>
  </cols>
  <sheetData>
    <row r="1" ht="18.55" customHeight="1" s="21">
      <c r="A1" s="22" t="inlineStr">
        <is>
          <t>Start Here</t>
        </is>
      </c>
    </row>
    <row r="2" ht="15" customHeight="1" s="21">
      <c r="A2" s="23" t="inlineStr">
        <is>
          <t>Starting roster for 2026-27: every campus of the five Area Offices (266, from the 26-27 SY Area Office Unit Assignments). The 11 campuses with a PTA on the Texas PTA roster are marked as having a PTO/PTA; every other campus shows "Nothing received yet" until it sends something.</t>
        </is>
      </c>
    </row>
    <row r="3" ht="15" customHeight="1" s="21">
      <c r="A3" s="24" t="n"/>
    </row>
    <row r="4" ht="15" customHeight="1" s="21">
      <c r="A4" s="25" t="inlineStr">
        <is>
          <t>What this is</t>
        </is>
      </c>
    </row>
    <row r="5" ht="139.5" customHeight="1" s="21">
      <c r="A5" s="26" t="inlineStr">
        <is>
          <t>One Google Sheet, one Google Form and one dashboard page. The person on the ParentOrgDocs inbox fills in the form for each email that arrives: the campus, whether it has a PTO or PTA, and the documents attached. A script files each document in that campus's Drive folder, marks the item Received in the Campus Register tab and adds a row to the Submission Log tab. The dashboard page reads the tabs every time it is opened, so it is always current. Officers come in a second way: you paste the Excel export of the HISD Parent Organization Officer Update Form into the Officer Form Paste tab and choose PTO/PTA Tracker &gt; Import officers. The script lists each officer on the Officers tab under the campus the form names and marks Officer Information Accepted (it needs no review). On the dashboard, click a campus to see its checklist, what is pending, its recent activity and, for signed-in C1s and FACE staff, its officers. Everyone uses the same dashboard address. Leadership just opens it. C1 Coordinators and FACE staff choose Sign in on the page and type a passcode, which lets them open the files and mark each document Accepted or Needs correction.</t>
        </is>
      </c>
    </row>
    <row r="6" ht="15" customHeight="1" s="21">
      <c r="A6" s="25" t="inlineStr">
        <is>
          <t>Definitions</t>
        </is>
      </c>
    </row>
    <row r="7" ht="27.75" customHeight="1" s="21">
      <c r="A7" s="26" t="inlineStr">
        <is>
          <t>Registered: these three are accepted for the school year: training certificate, the organization's bylaws and the officer information form. A PTA counts the same way: it sends the training certificate and the officer information form, and its bylaws box is filled from the Texas PTA spreadsheet.</t>
        </is>
      </c>
    </row>
    <row r="8" ht="69.75" customHeight="1" s="21">
      <c r="A8" s="26" t="inlineStr">
        <is>
          <t>Legalized: these are all accepted: training certificate, the organization's bylaws, the officer information form, annual budget report or meeting minutes showing budget approval, proof of 501(c) status and bank account verification letter from financial institution listing two authorized account signers. The dashboard calls this Can Fundraise. For a PTA, the bylaws, budget (SOA 990), 501(c) status (PTA status) and bank account (JoinPTA.org activation) boxes come from the Texas PTA spreadsheet each week. A reviewer can mark any document Not Needed for a PTO/PTA; it then counts as done.</t>
        </is>
      </c>
    </row>
    <row r="9" ht="27.75" customHeight="1" s="21">
      <c r="A9" s="26" t="inlineStr">
        <is>
          <t>Item status: Not Received, Received (waiting for review), Accepted, Needs Correction, or Not Needed. Accepted and Not Needed count. An uploaded document is set to Received, and a reviewer checks it off on the dashboard (or in the Campus Register tab). The officer information form is set to Accepted as soon as it comes in: nobody reviews it.</t>
        </is>
      </c>
    </row>
    <row r="10" ht="27.75" customHeight="1" s="21">
      <c r="A10" s="26" t="inlineStr">
        <is>
          <t>Has PTO or PTA: Yes, No, or Not Yet Confirmed (the default; the dashboard shows it as "Nothing received yet"). A campus becomes Yes by itself when it sends documents or an officer form, when a reviewer checks a document off, or when the Texas PTA roster lists it. A form answer of Not Yet Confirmed never overwrites a Yes or a No.</t>
        </is>
      </c>
    </row>
    <row r="11" ht="15" customHeight="1" s="21">
      <c r="A11" s="25" t="inlineStr">
        <is>
          <t>Set it up once</t>
        </is>
      </c>
    </row>
    <row r="12" ht="27.75" customHeight="1" s="21">
      <c r="A12" s="26" t="inlineStr">
        <is>
          <t>1. Save this file to Google Drive, open it with Google Sheets and choose File &gt; Save as Google Sheets. Keep it in the Google account that should own the documents (see Accounts, below).</t>
        </is>
      </c>
    </row>
    <row r="13" ht="27.75" customHeight="1" s="21">
      <c r="A13" s="26" t="inlineStr">
        <is>
          <t>2. Choose Extensions &gt; Apps Script. Replace everything in Code.gs with the contents of the Code.gs file. Click + next to Files, choose HTML, name it Dashboard (exactly) and paste in the contents of Dashboard.html. Click Save.</t>
        </is>
      </c>
    </row>
    <row r="14" ht="42" customHeight="1" s="21">
      <c r="A14" s="26" t="inlineStr">
        <is>
          <t>3. Reload this sheet. A PTO/PTA Tracker menu appears. Choose PTO/PTA Tracker &gt; 1. Create the form. Google asks you to approve access to Drive, Forms and Sheets. It may warn that the app is not verified: it is your own script, so choose Advanced, then Go to the project.</t>
        </is>
      </c>
    </row>
    <row r="15" ht="69.75" customHeight="1" s="21">
      <c r="A15" s="26" t="inlineStr">
        <is>
          <t>4. Google does not let a script add file-upload questions, so add them by hand. Open the form editor (the link is in the message from step 3, or use Show form and dashboard links). Add a File upload question for each of the five lines below, with exactly this wording. For each one allow PDF, Document and Image, maximum 5 files, 100 MB, and leave Required off.</t>
        </is>
      </c>
    </row>
    <row r="16" ht="15" customHeight="1" s="21">
      <c r="A16" s="26" t="inlineStr">
        <is>
          <t xml:space="preserve">      Bylaws</t>
        </is>
      </c>
    </row>
    <row r="17" ht="15" customHeight="1" s="21">
      <c r="A17" s="26" t="inlineStr">
        <is>
          <t xml:space="preserve">      Training Certificate</t>
        </is>
      </c>
    </row>
    <row r="18" ht="15" customHeight="1" s="21">
      <c r="A18" s="26" t="inlineStr">
        <is>
          <t xml:space="preserve">      Budget or Financial Report (annual budget report, or meeting minutes showing budget approval)</t>
        </is>
      </c>
    </row>
    <row r="19" ht="15" customHeight="1" s="21">
      <c r="A19" s="26" t="inlineStr">
        <is>
          <t xml:space="preserve">      Proof of 501c Status</t>
        </is>
      </c>
    </row>
    <row r="20" ht="27.75" customHeight="1" s="21">
      <c r="A20" s="26" t="inlineStr">
        <is>
          <t xml:space="preserve">      Bank Verification Letter (letter from the financial institution listing two authorized account signers)</t>
        </is>
      </c>
    </row>
    <row r="21" ht="15" customHeight="1" s="21">
      <c r="A21" s="26" t="n"/>
    </row>
    <row r="22" ht="15" customHeight="1" s="21">
      <c r="A22" s="26" t="n"/>
    </row>
    <row r="23" ht="27.75" customHeight="1" s="21">
      <c r="A23" s="26" t="inlineStr">
        <is>
          <t>5. Choose PTO/PTA Tracker &gt; 2. Check setup. It should say the setup looks good. If a file question is missing or worded differently it tells you which one.</t>
        </is>
      </c>
    </row>
    <row r="24" ht="84" customHeight="1" s="21">
      <c r="A24" s="26" t="inlineStr">
        <is>
          <t>6. In the Apps Script editor choose Deploy &gt; New deployment &gt; Web app. Execute as: Me. Who has access: Anyone within Houston ISD (or Anyone, if your district allows it and you accept that campus status can then be opened by whoever has the address; officer details, file links and review always need a sign-in). With Anyone within Houston ISD, everybody who opens the address, leadership and C1s included, must be signed in to their Houston ISD Google account in that browser. After any later change to the code, use Deploy &gt; Manage deployments, click the pencil, set Version to New version and choose Deploy. The footer of the dashboard shows the page and script versions so you can confirm the new code is live.</t>
        </is>
      </c>
    </row>
    <row r="25" ht="55.5" customHeight="1" s="21">
      <c r="A25" s="26" t="inlineStr">
        <is>
          <t>7. Choose PTO/PTA Tracker &gt; Show form and dashboard links. It shows the form, the form editor and the one dashboard address. Everyone uses that same address: leadership just opens it and sees campus status; C1 Coordinators and FACE staff choose Sign in on the page. There are no other links to hand out. Choose PTO/PTA Tracker &gt; Dashboard: check that it works to test each step of opening the dashboard.</t>
        </is>
      </c>
    </row>
    <row r="26" ht="27.75" customHeight="1" s="21">
      <c r="A26" s="26" t="inlineStr">
        <is>
          <t>8. Set up the dashboard sign-ins: fill in the C1 Assignments tab, then choose PTO/PTA Tracker &gt; Dashboard sign-ins: set up and make passcodes. The section C1 review and sign-ins, below, has the details.</t>
        </is>
      </c>
    </row>
    <row r="27" ht="42" customHeight="1" s="21">
      <c r="A27" s="26" t="inlineStr">
        <is>
          <t>9. In Drive, find the folder the script created: Parent Org Documents. Share it with the people who review documents. Campus folders are created inside it the first time a campus sends something. Every document, bank letters included, goes in the campus folder, so share the folder only with people who may see bank letters.</t>
        </is>
      </c>
    </row>
    <row r="28" ht="55.5" customHeight="1" s="21">
      <c r="A28" s="26" t="inlineStr">
        <is>
          <t>10. Test it. Open the form, pick a campus, attach a dummy PDF under Bylaws and submit. Check that the file is in Parent Org Documents &gt; that campus's folder, that Bylaws for that campus in Campus Register says Received, and that Submission Log has a new row. Open the dashboard address. Then undo the test: set the cell back to Not Received, delete the log row and delete the file.</t>
        </is>
      </c>
    </row>
    <row r="29" ht="55.5" customHeight="1" s="21">
      <c r="A29" s="26" t="inlineStr">
        <is>
          <t>11. Test the officer import. Open the responses of the HISD Parent Organization Officer Update Form and choose Open in Excel. Select everything, copy it, click cell A1 on the Officer Form Paste tab and paste. Choose PTO/PTA Tracker &gt; Import officers. Check the Officers tab, then sign in on the dashboard as FACE staff and click that campus. If a test row is in the way, delete it from Officers and from Submission Log and set Officer Information back to Not Received.</t>
        </is>
      </c>
    </row>
    <row r="30" ht="15" customHeight="1" s="21">
      <c r="A30" s="25" t="inlineStr">
        <is>
          <t>Every day: the person on the inbox</t>
        </is>
      </c>
    </row>
    <row r="31" ht="27.75" customHeight="1" s="21">
      <c r="A31" s="26" t="inlineStr">
        <is>
          <t>1. Open the form (PTO/PTA Tracker &gt; Show form and dashboard links). Fill it in once for each email. If an email holds documents for two campuses, submit twice.</t>
        </is>
      </c>
    </row>
    <row r="32" ht="42" customHeight="1" s="21">
      <c r="A32" s="26" t="inlineStr">
        <is>
          <t>2. Pick the campus and say whether it has a PTO or PTA. Attach each document under its own question and leave the others empty. The officer information checkbox is only a fallback for an officer form that arrived by email. Officers from the Microsoft form come in through the import instead (see Officers, below).</t>
        </is>
      </c>
    </row>
    <row r="33" ht="27.75" customHeight="1" s="21">
      <c r="A33" s="26" t="inlineStr">
        <is>
          <t>3. Submit. Each file keeps the name it was sent with. It is filed in the campus folder and logged.</t>
        </is>
      </c>
    </row>
    <row r="34" ht="15" customHeight="1" s="21">
      <c r="A34" s="25" t="inlineStr">
        <is>
          <t>Officers: when the officer update form has new responses</t>
        </is>
      </c>
    </row>
    <row r="35" ht="42" customHeight="1" s="21">
      <c r="A35" s="26" t="inlineStr">
        <is>
          <t>1. Open the responses of the HISD Parent Organization Officer Update Form (the Microsoft form) and choose Open in Excel. Select everything (Ctrl+A), copy it, click cell A1 on the Officer Form Paste tab and paste. You can paste the whole export every time: responses already imported are skipped.</t>
        </is>
      </c>
    </row>
    <row r="36" ht="111.75" customHeight="1" s="21">
      <c r="A36" s="26" t="inlineStr">
        <is>
          <t>2. Choose PTO/PTA Tracker &gt; Import officers. It reports how many responses are new, how many officers were added, which campuses were added to the register, and how many forms still need a campus. Each officer is added to the Officers tab (one row per officer, up to five per form), and Officer Information for that campus goes from Not Received to Received. A reviewer still sets Accepted. If the register has no organization name or type for the campus, the form's answers are filled in; nothing already there is overwritten. Booster clubs are not tracked: a form whose organization name or type says booster (and does not also say PTA, PTO, PTSA, SPO or similar) is skipped completely. Nothing from it goes on the Officers tab, into the Campus Register or into the log, and the import tells you how many it skipped. Pasting the same export again skips them again.</t>
        </is>
      </c>
    </row>
    <row r="37" ht="139.5" customHeight="1" s="21">
      <c r="A37" s="26" t="inlineStr">
        <is>
          <t>3. The campus comes from the form's school question, so almost every form matches by itself. If the form names a school that is not in the Campus Register (for example a campus that was not on the starting roster), the import adds that campus to the register for the school year: Area Office is left blank for you to fill in, Has PTO or PTA is set to Yes when the form's organization is a PTA, PTO, SPO, PAC or similar and to Not Yet Confirmed otherwise, and the document form's campus list is refreshed. A note on the Officers rows and a line in Submission Log say it was added. Capital letters, punctuation and High School / Middle School / Elementary written out in full are read as the register's HS, MS and ES, so these do not create duplicates. Only when one answer names several schools, or none, does Match say School not on the roster or Pick a campus: type or pick the campus in the Campus column on any one row of that form and run the import again; the form's other officers follow. If you later change a campus that was already added, also set Officer Information back for the old campus in Campus Register.</t>
        </is>
      </c>
    </row>
    <row r="38" ht="55.5" customHeight="1" s="21">
      <c r="A38" s="26" t="inlineStr">
        <is>
          <t>4. Organizations fill the form in at the start of each school year and whenever officers change, so a campus can have several submissions. The dashboard shows the newest submission first and older ones below it. Read the Additional Info column on the Officers tab: it holds the free-text box at the end of the form and may name officers who did not fit in the five slots.</t>
        </is>
      </c>
    </row>
    <row r="39" ht="42" customHeight="1" s="21">
      <c r="A39" s="26" t="inlineStr">
        <is>
          <t>Campuses with no PTO or PTA: paste FACE's list (Campus Name, Division, FACE Coordinator 1, PTO/PTA) into cell A1 of the No PTO-PTA List tab, then choose PTO/PTA Tracker &gt; Mark the campuses with no PTO/PTA. Each campus on the list is marked No for Has PTO or PTA, which the dashboard counts under No PTO/PTA. A campus that has sent something this year, or that Texas PTA lists, is not changed. If a name is not found, type the campus name as it is in the Campus Register in the "Name in the register" column and run it again.</t>
        </is>
      </c>
    </row>
    <row r="40" ht="15" customHeight="1" s="21">
      <c r="A40" s="25" t="inlineStr">
        <is>
          <t>Texas PTA: each week</t>
        </is>
      </c>
    </row>
    <row r="41" ht="42" customHeight="1" s="21">
      <c r="A41" s="26" t="inlineStr">
        <is>
          <t>1. Open the Texas PTA spreadsheet for Houston ISD. Select everything (Ctrl+A) and copy it.</t>
        </is>
      </c>
    </row>
    <row r="42" ht="42" customHeight="1" s="21">
      <c r="A42" s="26" t="inlineStr">
        <is>
          <t>2. In this sheet, open the Texas PTA Paste tab. Select everything there and delete it, click cell A1 and paste.</t>
        </is>
      </c>
    </row>
    <row r="43" ht="42" customHeight="1" s="21">
      <c r="A43" s="26" t="inlineStr">
        <is>
          <t>3. Choose PTO/PTA Tracker &gt; Import the Texas PTA spreadsheet from the Texas PTA Paste tab. Each PTA is listed on the Texas PTA tab with its status and the five Standards of Continuing Affiliation (officers, membership, bylaws, standing rules, 990). PTAs whose charter was withdrawn are left out. A campus Texas PTA lists is marked PTA on the Campus Register when its Org Type is blank. For a PTA, the import also sets the bylaws (SOA Bylaws), budget (SOA 990), bank account (JoinPTA.org activation) and 501(c) status (PTA status) boxes on the Campus Register: a tick, or Good Standing, Active or Inactive for the status, means Accepted; anything else means Not Received. Do not change these four boxes by hand: the next import sets them again.</t>
        </is>
      </c>
    </row>
    <row r="44" ht="42" customHeight="1" s="21">
      <c r="A44" s="26" t="inlineStr">
        <is>
          <t>4. Check the Campus column on the Texas PTA tab. If a PTA was matched to the wrong campus, or to none, type the campus name as it is in the Campus Register: it is kept on every later import. The dashboard shows the standing on the Overview (Texas PTA standing) and on each PTA's My campus page. Texas PTA's contact details are not copied.</t>
        </is>
      </c>
    </row>
    <row r="45" ht="15" customHeight="1" s="21">
      <c r="A45" s="25" t="inlineStr">
        <is>
          <t>Reviewing (staff, in this sheet)</t>
        </is>
      </c>
    </row>
    <row r="46" ht="27.75" customHeight="1" s="21">
      <c r="A46" s="26" t="inlineStr">
        <is>
          <t>C1 Coordinators review their own campuses on the dashboard (see C1 review, below). Staff can also review here, and can change anything a C1 did.</t>
        </is>
      </c>
    </row>
    <row r="47" ht="27.75" customHeight="1" s="21">
      <c r="A47" s="26" t="inlineStr">
        <is>
          <t>1. In Campus Register, filter Items Awaiting Review to greater than 0. Open each file from its link in Submission Log and check it against the list below.</t>
        </is>
      </c>
    </row>
    <row r="48" ht="27.75" customHeight="1" s="21">
      <c r="A48" s="26" t="inlineStr">
        <is>
          <t>2. Change the item to Accepted, or to Needs Correction (put the reason in Notes on that document's Submission Log row). Only Accepted counts toward Registered and Legalized.</t>
        </is>
      </c>
    </row>
    <row r="49" ht="42" customHeight="1" s="21">
      <c r="A49" s="26" t="inlineStr">
        <is>
          <t>3. For Needs Correction, filter Items Needing Correction to greater than 0. ParentOrgDocs does not answer questions, so contact the PTO from a staff email or through the campus's coordinator. The corrected file goes through the form again and the item returns to Received.</t>
        </is>
      </c>
    </row>
    <row r="50" ht="15" customHeight="1" s="21">
      <c r="A50" s="26" t="inlineStr">
        <is>
          <t>4. Filter Has PTO or PTA to Not Yet Confirmed and ask each campus's coordinator to confirm Yes or No.</t>
        </is>
      </c>
    </row>
    <row r="51" ht="15" customHeight="1" s="21">
      <c r="A51" s="25" t="inlineStr">
        <is>
          <t>C1 review and sign-ins: C1 Coordinators and FACE staff approve documents on the dashboard</t>
        </is>
      </c>
    </row>
    <row r="52" ht="42" customHeight="1" s="21">
      <c r="A52" s="26" t="inlineStr">
        <is>
          <t>1. On the C1 Assignments tab, put each campus in column A and its C1 Coordinator in column B, one row per campus. Spell each C1's name the same way on every row. A campus can have more than one C1: give it a row for each. Campuses are checked against the Campus Register, and a campus that is not there is skipped and reported.</t>
        </is>
      </c>
    </row>
    <row r="53" ht="69.75" customHeight="1" s="21">
      <c r="A53" s="26" t="inlineStr">
        <is>
          <t>2. Deploy the dashboard first (Set it up once, step 6). Then choose PTO/PTA Tracker &gt; Dashboard sign-ins: set up and make passcodes. It adds every C1 from the C1 Assignments tab to the Dashboard sign-ins tab, and makes a passcode for each person who does not have one yet. The tab starts with one row, FACE Staff, with the Role Staff. For each FACE staff member who should be able to review, add a row (the name in column A, Staff in column B) and run the set-up again. A staff member sees and can review every campus; a C1 only their own.</t>
        </is>
      </c>
    </row>
    <row r="54" ht="55.5" customHeight="1" s="21">
      <c r="A54" s="26" t="inlineStr">
        <is>
          <t>3. New passcodes are written, once, to a New Passcodes tab. Send each person only their own, then delete that tab. A passcode is never stored in readable form (the script keeps only a scrambled version), so a lost passcode cannot be looked up: choose Dashboard sign-ins: new passcode for one person, which also ends that person's current sign-in. Running the set-up again never changes a passcode that already exists.</t>
        </is>
      </c>
    </row>
    <row r="55" ht="97.5" customHeight="1" s="21">
      <c r="A55" s="26" t="inlineStr">
        <is>
          <t>4. A C1 opens the dashboard address, chooses Sign in, picks their name and types their passcode. They see the same pages as everyone, plus a Review tab that lists the documents waiting at their campuses, officer names and contact details for those campuses, and Accept and Needs correction buttons on those campuses only. FACE staff who sign in get all of that for every campus. Needs correction requires a short reason (up to 300 characters); it is saved in the log, and the C1 or FACE contacts the PTO, because ParentOrgDocs does not answer questions. A reviewer can also put an item back to Received (waiting for review). When the PTO sends a corrected file through the form, the item goes back to Received and appears in the Review tab again.</t>
        </is>
      </c>
    </row>
    <row r="56" ht="97.5" customHeight="1" s="21">
      <c r="A56" s="26" t="inlineStr">
        <is>
          <t>Area Offices and principals do not sign in. Everyone who opens the dashboard sees each PTO/PTA's officers (name, position, email, phone) and the links to its documents, view only; notes and remarks stay private, and nobody can change anything without a C1 or staff passcode. To turn this off, choose PTO/PTA Tracker &gt; Officers and documents: show only after a C1 or staff sign-in. To open files, people need view access to the Parent Org Documents folder in Drive (Share &gt; General access &gt; Houston ISD &gt; Viewer).</t>
        </is>
      </c>
    </row>
    <row r="57" ht="42" customHeight="1" s="21">
      <c r="A57" s="26" t="inlineStr">
        <is>
          <t>5. Every change is written to the Campus Register and added to the Submission Log with the person's name, the date and the reason (Submitted By shows the name followed by (C1) or (FACE); Document Type is left blank so it is not counted as a document received). Staff can still change anything in the sheet directly.</t>
        </is>
      </c>
    </row>
    <row r="58" ht="55.5" customHeight="1" s="21">
      <c r="A58" s="26" t="inlineStr">
        <is>
          <t>6. A sign-in lasts up to six hours, or until the person chooses Sign out. Five wrong passcodes for one name lock that name for 15 minutes. A new passcode, or deleting the person's row on the Dashboard sign-ins tab, ends their current sign-in at once. Changing a C1's campuses on the C1 Assignments tab takes effect at once. A person whose Passcode status says Cannot sign in is missing campuses or has a Role other than C1 or Staff.</t>
        </is>
      </c>
    </row>
    <row r="59" ht="42" customHeight="1" s="21">
      <c r="A59" s="26" t="inlineStr">
        <is>
          <t>7. Drive decides who can open the files. The dashboard only lists the file links, so a C1 also needs access to the files in Drive. Share the Parent Org Documents folder with the C1s as viewers. Bank letters are in the campus folders too, so share the folder only with people who may see them.</t>
        </is>
      </c>
    </row>
    <row r="60" ht="15" customHeight="1" s="21">
      <c r="A60" s="25" t="inlineStr">
        <is>
          <t>Accepted means</t>
        </is>
      </c>
    </row>
    <row r="61" ht="15" customHeight="1" s="21">
      <c r="A61" s="26" t="inlineStr">
        <is>
          <t>Bylaws (Registered and Legalized): The organization's bylaws are on file.</t>
        </is>
      </c>
    </row>
    <row r="62" ht="27.75" customHeight="1" s="21">
      <c r="A62" s="26" t="inlineStr">
        <is>
          <t>Officer Information (Registered and Legalized): The organization has submitted the HISD Parent Organization Officer Update Form listing its officers. It is filled in again at the start of each school year and whenever officers change.</t>
        </is>
      </c>
    </row>
    <row r="63" ht="27.75" customHeight="1" s="21">
      <c r="A63" s="26" t="inlineStr">
        <is>
          <t>Training Certificate (Registered and Legalized): The completion certificate from the annual online training (President or designee) is on file.</t>
        </is>
      </c>
    </row>
    <row r="64" ht="15" customHeight="1" s="21">
      <c r="A64" s="26" t="inlineStr">
        <is>
          <t>Budget or Financial Report (Legalized): An annual budget report, or meeting minutes showing the budget was approved.</t>
        </is>
      </c>
    </row>
    <row r="65" ht="15" customHeight="1" s="21">
      <c r="A65" s="26" t="inlineStr">
        <is>
          <t>Proof of 501c Status (Legalized): Proof of 501(c) status is on file.</t>
        </is>
      </c>
    </row>
    <row r="66" ht="27.75" customHeight="1" s="21">
      <c r="A66" s="26" t="inlineStr">
        <is>
          <t>Bank Verification Letter (Legalized): Bank account verification letter from financial institution listing two authorized account signers. The Tax ID (EIN) letter is no longer needed.</t>
        </is>
      </c>
    </row>
    <row r="67" ht="15" customHeight="1" s="21">
      <c r="A67" s="26" t="inlineStr">
        <is>
          <t>Articles of Incorporation and Insurance: no longer asked for (October 15, 2026). Their columns on Campus Register are hidden, not deleted, so older records stay. Delete their questions from the form.</t>
        </is>
      </c>
    </row>
    <row r="68" ht="27.75" customHeight="1" s="21">
      <c r="A68" s="26" t="n"/>
    </row>
    <row r="69" ht="15" customHeight="1" s="21">
      <c r="A69" s="25" t="inlineStr">
        <is>
          <t>The dashboard</t>
        </is>
      </c>
    </row>
    <row r="70" ht="84" customHeight="1" s="21">
      <c r="A70" s="26" t="inlineStr">
        <is>
          <t>Open the Web app address from step 6. Overview: four big numbers (PTO/PTAs, registered, legalized, documents waiting for review), where every PTO/PTA stands, each Area Office and each document. Select a number, a stage or an Area Office to jump to those campuses. Campuses: search for any campus, filter by status, and select a campus to open its detail (status, what is still needed, each item's last received date and recent activity); press Esc or Close to go back. Review: after signing in, the documents waiting for you. Refresh (top right) reloads the numbers. Run a check (footer) tests each step of opening the dashboard and lists each as OK or FAILED, with counts only.</t>
        </is>
      </c>
    </row>
    <row r="71" ht="111.75" customHeight="1" s="21">
      <c r="A71" s="26" t="inlineStr">
        <is>
          <t>If Google shows "Sorry, unable to open the file at this time" instead of the dashboard, the page itself did not load, so the cause is the deployment or the Google account, not the tracker's data. In order: (1) choose PTO/PTA Tracker &gt; Dashboard: check that it works and read the list; (2) open the address in a private window signed in to only your Houston ISD Google account; (3) in the Apps Script editor open Deploy &gt; Manage deployments and check Execute as: Me and Who has access (Anyone within Houston ISD, or Anyone), then pencil &gt; New version &gt; Deploy; (4) use the address that Show form and dashboard links shows now, because an address from an old deployment keeps running old code. The footer of the page names the page version and the script version; if they differ, only one of the two files was pasted. If the page opens but says The dashboard could not load, the message on it is the reason, and Run a check on that screen lists the steps.</t>
        </is>
      </c>
    </row>
    <row r="72" ht="15" customHeight="1" s="21">
      <c r="A72" s="25" t="inlineStr">
        <is>
          <t>Who can see officer details</t>
        </is>
      </c>
    </row>
    <row r="73" ht="42" customHeight="1" s="21">
      <c r="A73" s="26" t="inlineStr">
        <is>
          <t>Leadership, meaning anyone who opens the address without signing in, sees campus status, the checklist, document dates and links, how many documents are waiting, who each campus is waiting on, each campus's C1 by name, and each PTO/PTA's officers with their email and phone (FACE, October 19, 2026). Notes, remarks and who reviewed what are not sent to the browser until a C1 or FACE staff member signs in. SEDs and EDs can use a link that opens on their Area Office: signed-in FACE staff find these links under By Area Office on the Overview. Principals and APs open the main link and pick their campus on My campus.</t>
        </is>
      </c>
    </row>
    <row r="74" ht="55.5" customHeight="1" s="21">
      <c r="A74" s="26" t="inlineStr">
        <is>
          <t>A signed-in C1 receives those details for their own campuses only. Signed-in FACE staff receive them for every campus. Every review is checked again by the script against the signed-in person's own campuses, so a C1 cannot review another C1's campus even by changing the page. The script runs as the sheet's owner (Execute as: Me), so people who sign in do not need access to this sheet.</t>
        </is>
      </c>
    </row>
    <row r="75" ht="27.75" customHeight="1" s="21">
      <c r="A75" s="26" t="inlineStr">
        <is>
          <t>This has not been tried on a real Google account yet. After setup, open the address in a private window and confirm that no officer details show, then sign in as a C1 and as FACE staff and confirm what each can see.</t>
        </is>
      </c>
    </row>
    <row r="76" ht="15" customHeight="1" s="21">
      <c r="A76" s="25" t="inlineStr">
        <is>
          <t>Each school year</t>
        </is>
      </c>
    </row>
    <row r="77" ht="42" customHeight="1" s="21">
      <c r="A77" s="26" t="inlineStr">
        <is>
          <t>In July choose PTO/PTA Tracker &gt; Start a new school year. It copies every campus into the new year and resets the documents to Not Received. Check Area Office if campus assignments changed. The dashboard switches to the new year by itself.</t>
        </is>
      </c>
    </row>
    <row r="78" ht="42" customHeight="1" s="21">
      <c r="A78" s="26" t="inlineStr">
        <is>
          <t>Progress over time: choose PTO/PTA Tracker &gt; Progress over time: save a snapshot on the 1st of every month (turn on). On the 1st of each month the tracker saves how many PTO/PTAs are at each stage on the Progress History tab, and the dashboard Overview shows them under Progress by month. "Save a snapshot now" saves this month at once (saving again in the same month replaces it).</t>
        </is>
      </c>
    </row>
    <row r="79" ht="15" customHeight="1" s="21">
      <c r="A79" s="25" t="inlineStr">
        <is>
          <t>Rules for the sheet</t>
        </is>
      </c>
    </row>
    <row r="80" ht="97.5" customHeight="1" s="21">
      <c r="A80" s="26" t="inlineStr">
        <is>
          <t>Do not rename the tabs or the column headings: the script finds everything by name. On the Officers tab the only column you edit is Campus. Blue text is something you type or pick from a dropdown. Black text on gray is a formula, so do not type over it. In Campus Register a blue count under Items Awaiting Review means a reviewer has work; an orange count under Items Needing Correction means a PTO has to resubmit. Yellow in Has PTO or PTA means the campus has documents on file but is not confirmed as Yes. The Dashboard sign-ins, C1 Assignments and Officers tabs hold names, so share this sheet only with staff. The New Passcodes tab holds readable passcodes until you delete it. Add a campus by typing it in the first empty row of Campus Register, then use PTO/PTA Tracker &gt; Refresh the campus list in the form.</t>
        </is>
      </c>
    </row>
    <row r="81" ht="15" customHeight="1" s="21">
      <c r="A81" s="25" t="inlineStr">
        <is>
          <t>What is deliberately not in these files</t>
        </is>
      </c>
    </row>
    <row r="82" ht="42" customHeight="1" s="21">
      <c r="A82" s="26" t="inlineStr">
        <is>
          <t>EINs and bank account numbers. The register and log only record that a document arrived and its status. The files themselves stay in Drive, with bank letters in the campus folders like every other document. The Officers tab does hold officer names, emails and phone numbers copied from the officer form, so share this sheet only with staff.</t>
        </is>
      </c>
    </row>
    <row r="83" ht="15" customHeight="1" s="21">
      <c r="A83" s="25" t="inlineStr">
        <is>
          <t>Accounts</t>
        </is>
      </c>
    </row>
    <row r="84" ht="55.5" customHeight="1" s="21">
      <c r="A84" s="26" t="inlineStr">
        <is>
          <t>The Drive folders, the form and the script belong to whoever creates the form. Bank letters can show account numbers, so use an account managed by the district if you have one, and share the Parent Org Documents folder only with people who may see them. Forms with file uploads make every person filling in the form sign in to a Google account, which is why the form is for the inbox person and not for PTOs.</t>
        </is>
      </c>
    </row>
    <row r="85" ht="15" customHeight="1" s="21">
      <c r="A85" s="25" t="inlineStr">
        <is>
          <t>Decisions and assumptions</t>
        </is>
      </c>
    </row>
    <row r="86" ht="279.75" customHeight="1" s="21">
      <c r="A86" s="26" t="inlineStr">
        <is>
          <t>1. Only Articles of Incorporation is one-time and carries forward; everything else, including the bank and EIN letter and insurance, renews yearly.  2. The school year starts July 1 (Settings).  3. Campuses are the ones marked Yes (122) or Unsure (32) in the TB PTO/PTA Tracker; the campuses marked No are not included. Area Office comes from the 26-27 SY Area Office Unit Assignments workbook. 23 names are spelled differently in the two files (see Roster Match Notes) and 2 campuses have no Area Office yet.  4. The officer information form is the HISD Parent Organization Officer Update Form (Microsoft Forms). Its Excel export is pasted into Officer Form Paste and imported; one form covers one organization and names its school, so no guessing is needed. The importer ignores a leading asterisk when matching campus names (the register has *Kinder HSPVA). It has not been checked whether that form's school list uses exactly the register's spellings. A school that is not in the register, even after ignoring capitals, punctuation and High School / Middle School / Elementary wording, is added as a new campus, so check the Campus Register for a near-duplicate after an import; a campus name typed by hand that is not in the register is flagged, never added.  5. C1 review: C1s and FACE staff sign in on the dashboard with a passcode (kept only as a salted hash) instead of a Google sign-in, because Google tells a script who is looking only when they are in the sheet owner's organization. The log records the signed-in person's name. Who is a C1 for which campus comes only from the C1 Assignments tab; who is staff comes only from the Dashboard sign-ins tab.  6. Decided: FACE's What to Submit guide lists five documents plus the officer form for annual registration, but Registered counts only training, bylaws and officer information. The budget proof, 501(c) proof, bank and EIN letter and Articles count toward Legalized only. Insurance is optional and counts toward neither.  7. Booster clubs are not tracked: the officer import leaves their forms out entirely.  8. Changed on October 2, 2026: the Tax ID (EIN) letter and the bank letter are one item (Bank and EIN Letter), liability and property insurance is optional, and every document, bank letters included, is filed in the campus folder (there is no separate bank folder).  9. Changed on October 9, 2026: Registered and Legalized use FACE's wording, and Legalized means six documents (Articles of Incorporation is no longer needed). Reviewers check each document off on the dashboard (there, needs correction, not there, or not needed) with remarks that go into the email to the PTO/PTA. Every campus of every Area Office is listed; a campus counts as having a PTO/PTA once it sends something or is on the Texas PTA roster.  10. Changed on October 15, 2026: the officer information form counts as soon as it comes in; a PTA is tracked on the training certificate and the officer information form; Articles of Incorporation and Insurance are no longer asked for; files keep the name they were sent with; the dashboard has a My campus page and a Waiting on column.</t>
        </is>
      </c>
    </row>
  </sheetData>
  <printOptions horizontalCentered="0" verticalCentered="0" headings="0" gridLines="0" gridLinesSet="1"/>
  <pageMargins left="0.75" right="0.75" top="1" bottom="1" header="0.511811023622047" footer="0.511811023622047"/>
  <pageSetup orientation="landscape" paperSize="1" scale="100" fitToHeight="0"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1"/>
  </sheetPr>
  <dimension ref="A1:G52"/>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46" customWidth="1" style="20" min="1" max="1"/>
    <col width="2" customWidth="1" style="20" min="2" max="2"/>
    <col width="14" customWidth="1" style="20" min="3" max="3"/>
    <col width="20" customWidth="1" style="20" min="4" max="4"/>
    <col width="16" customWidth="1" style="20" min="5" max="5"/>
    <col width="14" customWidth="1" style="20" min="6" max="7"/>
  </cols>
  <sheetData>
    <row r="1" ht="18.55" customHeight="1" s="21">
      <c r="A1" s="22" t="inlineStr">
        <is>
          <t>PTO/PTA Registration Summary</t>
        </is>
      </c>
      <c r="B1" s="24" t="n"/>
      <c r="C1" s="24" t="n"/>
      <c r="D1" s="24" t="n"/>
      <c r="E1" s="24" t="n"/>
      <c r="F1" s="24" t="n"/>
      <c r="G1" s="24" t="n"/>
    </row>
    <row r="2" ht="15" customHeight="1" s="21">
      <c r="A2" s="23" t="inlineStr">
        <is>
          <t>Starting roster: every campus of the five Area Offices (266). 11 PTAs from the Texas PTA roster. No documents received yet.</t>
        </is>
      </c>
      <c r="B2" s="24" t="n"/>
      <c r="C2" s="24" t="n"/>
      <c r="D2" s="24" t="n"/>
      <c r="E2" s="24" t="n"/>
      <c r="F2" s="24" t="n"/>
      <c r="G2" s="24" t="n"/>
    </row>
    <row r="3" ht="15" customHeight="1" s="21">
      <c r="A3" s="27" t="inlineStr">
        <is>
          <t>School year</t>
        </is>
      </c>
      <c r="B3" s="24" t="n"/>
      <c r="C3" s="27">
        <f>Settings!$C$5</f>
        <v/>
      </c>
      <c r="D3" s="23" t="inlineStr">
        <is>
          <t>Change it on the Settings sheet.</t>
        </is>
      </c>
      <c r="E3" s="24" t="n"/>
      <c r="F3" s="24" t="n"/>
      <c r="G3" s="24" t="n"/>
    </row>
    <row r="4" ht="15" customHeight="1" s="21">
      <c r="A4" s="24" t="n"/>
      <c r="B4" s="24" t="n"/>
      <c r="C4" s="24" t="n"/>
      <c r="D4" s="24" t="n"/>
      <c r="E4" s="24" t="n"/>
      <c r="F4" s="24" t="n"/>
      <c r="G4" s="24" t="n"/>
    </row>
    <row r="5" ht="15" customHeight="1" s="21">
      <c r="A5" s="25" t="inlineStr">
        <is>
          <t>Milestones</t>
        </is>
      </c>
      <c r="B5" s="24" t="n"/>
      <c r="C5" s="24" t="n"/>
      <c r="D5" s="24" t="n"/>
      <c r="E5" s="24" t="n"/>
      <c r="F5" s="24" t="n"/>
      <c r="G5" s="24" t="n"/>
    </row>
    <row r="6" ht="23.85" customHeight="1" s="21">
      <c r="A6" s="28" t="inlineStr">
        <is>
          <t>Measure</t>
        </is>
      </c>
      <c r="B6" s="28" t="n"/>
      <c r="C6" s="28" t="inlineStr">
        <is>
          <t>Campuses</t>
        </is>
      </c>
      <c r="D6" s="28" t="inlineStr">
        <is>
          <t>% of confirmed PTO/PTA</t>
        </is>
      </c>
      <c r="E6" s="24" t="n"/>
      <c r="F6" s="24" t="n"/>
      <c r="G6" s="24" t="n"/>
    </row>
    <row r="7" ht="15" customHeight="1" s="21">
      <c r="A7" s="29" t="inlineStr">
        <is>
          <t>Campuses being tracked</t>
        </is>
      </c>
      <c r="B7" s="24" t="n"/>
      <c r="C7" s="27">
        <f>COUNTIFS('Campus Register'!$A$2:$A$600,$C$3)</f>
        <v/>
      </c>
      <c r="D7" s="24" t="n"/>
      <c r="E7" s="24" t="n"/>
      <c r="F7" s="24" t="n"/>
      <c r="G7" s="24" t="n"/>
    </row>
    <row r="8" ht="15" customHeight="1" s="21">
      <c r="A8" s="29" t="inlineStr">
        <is>
          <t>Have a PTO/PTA (confirmed Yes)</t>
        </is>
      </c>
      <c r="B8" s="24" t="n"/>
      <c r="C8" s="27">
        <f>COUNTIFS('Campus Register'!$A$2:$A$600,$C$3,'Campus Register'!$D$2:$D$600,"Yes")</f>
        <v/>
      </c>
      <c r="D8" s="24" t="n"/>
      <c r="E8" s="24" t="n"/>
      <c r="F8" s="24" t="n"/>
      <c r="G8" s="24" t="n"/>
    </row>
    <row r="9" ht="15" customHeight="1" s="21">
      <c r="A9" s="29" t="inlineStr">
        <is>
          <t>Confirmed no PTO/PTA</t>
        </is>
      </c>
      <c r="B9" s="24" t="n"/>
      <c r="C9" s="27">
        <f>COUNTIFS('Campus Register'!$A$2:$A$600,$C$3,'Campus Register'!$D$2:$D$600,"No")</f>
        <v/>
      </c>
      <c r="D9" s="24" t="n"/>
      <c r="E9" s="24" t="n"/>
      <c r="F9" s="24" t="n"/>
      <c r="G9" s="24" t="n"/>
    </row>
    <row r="10" ht="15" customHeight="1" s="21">
      <c r="A10" s="29" t="inlineStr">
        <is>
          <t>Not yet confirmed</t>
        </is>
      </c>
      <c r="B10" s="24" t="n"/>
      <c r="C10" s="27">
        <f>C7-C8-C9</f>
        <v/>
      </c>
      <c r="D10" s="24" t="n"/>
      <c r="E10" s="24" t="n"/>
      <c r="F10" s="24" t="n"/>
      <c r="G10" s="24" t="n"/>
    </row>
    <row r="11" ht="15" customHeight="1" s="21">
      <c r="A11" s="29" t="inlineStr">
        <is>
          <t>Started (at least one document received)</t>
        </is>
      </c>
      <c r="B11" s="24" t="n"/>
      <c r="C11" s="27">
        <f>COUNTIFS('Campus Register'!$A$2:$A$600,$C$3,'Campus Register'!$D$2:$D$600,"Yes",'Campus Register'!$O$2:$O$600,"&gt;0")</f>
        <v/>
      </c>
      <c r="D11" s="30">
        <f>IF($C$8=0,"",C11/$C$8)</f>
        <v/>
      </c>
      <c r="E11" s="24" t="n"/>
      <c r="F11" s="24" t="n"/>
      <c r="G11" s="24" t="n"/>
    </row>
    <row r="12" ht="15" customHeight="1" s="21">
      <c r="A12" s="29" t="inlineStr">
        <is>
          <t>Registered (includes Legalized)</t>
        </is>
      </c>
      <c r="B12" s="24" t="n"/>
      <c r="C12" s="27">
        <f>COUNTIFS('Campus Register'!$A$2:$A$600,$C$3,'Campus Register'!$D$2:$D$600,"Yes",'Campus Register'!$P$2:$P$600,"&gt;="&amp;Settings!$C$12)</f>
        <v/>
      </c>
      <c r="D12" s="30">
        <f>IF($C$8=0,"",C12/$C$8)</f>
        <v/>
      </c>
      <c r="E12" s="24" t="n"/>
      <c r="F12" s="24" t="n"/>
      <c r="G12" s="24" t="n"/>
    </row>
    <row r="13" ht="15" customHeight="1" s="21">
      <c r="A13" s="29" t="inlineStr">
        <is>
          <t>Legalized</t>
        </is>
      </c>
      <c r="B13" s="24" t="n"/>
      <c r="C13" s="27">
        <f>COUNTIFS('Campus Register'!$A$2:$A$600,$C$3,'Campus Register'!$D$2:$D$600,"Yes",'Campus Register'!$Q$2:$Q$600,"&gt;="&amp;Settings!$C$13)</f>
        <v/>
      </c>
      <c r="D13" s="30">
        <f>IF($C$8=0,"",C13/$C$8)</f>
        <v/>
      </c>
      <c r="E13" s="24" t="n"/>
      <c r="F13" s="24" t="n"/>
      <c r="G13" s="24" t="n"/>
    </row>
    <row r="14" ht="15" customHeight="1" s="21">
      <c r="A14" s="24" t="n"/>
      <c r="B14" s="24" t="n"/>
      <c r="C14" s="24" t="n"/>
      <c r="D14" s="24" t="n"/>
      <c r="E14" s="24" t="n"/>
      <c r="F14" s="24" t="n"/>
      <c r="G14" s="24" t="n"/>
    </row>
    <row r="15" ht="15" customHeight="1" s="21">
      <c r="A15" s="24" t="n"/>
      <c r="B15" s="24" t="n"/>
      <c r="C15" s="24" t="n"/>
      <c r="D15" s="24" t="n"/>
      <c r="E15" s="24" t="n"/>
      <c r="F15" s="24" t="n"/>
      <c r="G15" s="24" t="n"/>
    </row>
    <row r="16" ht="15" customHeight="1" s="21">
      <c r="A16" s="25" t="inlineStr">
        <is>
          <t>Status of each campus (each counted once)</t>
        </is>
      </c>
      <c r="B16" s="24" t="n"/>
      <c r="C16" s="24" t="n"/>
      <c r="D16" s="24" t="n"/>
      <c r="E16" s="24" t="n"/>
      <c r="F16" s="24" t="n"/>
      <c r="G16" s="24" t="n"/>
    </row>
    <row r="17" ht="15" customHeight="1" s="21">
      <c r="A17" s="28" t="inlineStr">
        <is>
          <t>Status</t>
        </is>
      </c>
      <c r="B17" s="28" t="n"/>
      <c r="C17" s="28" t="inlineStr">
        <is>
          <t>Campuses</t>
        </is>
      </c>
      <c r="D17" s="24" t="n"/>
      <c r="E17" s="24" t="n"/>
      <c r="F17" s="24" t="n"/>
      <c r="G17" s="24" t="n"/>
    </row>
    <row r="18" ht="15" customHeight="1" s="21">
      <c r="A18" s="29" t="inlineStr">
        <is>
          <t>Legalized</t>
        </is>
      </c>
      <c r="B18" s="24" t="n"/>
      <c r="C18" s="27">
        <f>COUNTIFS('Campus Register'!$A$2:$A$600,$C$3,'Campus Register'!$R$2:$R$600,A18)</f>
        <v/>
      </c>
      <c r="D18" s="24" t="n"/>
      <c r="E18" s="24" t="n"/>
      <c r="F18" s="24" t="n"/>
      <c r="G18" s="24" t="n"/>
    </row>
    <row r="19" ht="15" customHeight="1" s="21">
      <c r="A19" s="29" t="inlineStr">
        <is>
          <t>Registered</t>
        </is>
      </c>
      <c r="B19" s="24" t="n"/>
      <c r="C19" s="27">
        <f>COUNTIFS('Campus Register'!$A$2:$A$600,$C$3,'Campus Register'!$R$2:$R$600,A19)</f>
        <v/>
      </c>
      <c r="D19" s="24" t="n"/>
      <c r="E19" s="24" t="n"/>
      <c r="F19" s="24" t="n"/>
      <c r="G19" s="24" t="n"/>
    </row>
    <row r="20" ht="15" customHeight="1" s="21">
      <c r="A20" s="29" t="inlineStr">
        <is>
          <t>In Progress</t>
        </is>
      </c>
      <c r="B20" s="24" t="n"/>
      <c r="C20" s="27">
        <f>COUNTIFS('Campus Register'!$A$2:$A$600,$C$3,'Campus Register'!$R$2:$R$600,A20)</f>
        <v/>
      </c>
      <c r="D20" s="24" t="n"/>
      <c r="E20" s="24" t="n"/>
      <c r="F20" s="24" t="n"/>
      <c r="G20" s="24" t="n"/>
    </row>
    <row r="21" ht="15" customHeight="1" s="21">
      <c r="A21" s="29" t="inlineStr">
        <is>
          <t>Not Started</t>
        </is>
      </c>
      <c r="B21" s="24" t="n"/>
      <c r="C21" s="27">
        <f>COUNTIFS('Campus Register'!$A$2:$A$600,$C$3,'Campus Register'!$R$2:$R$600,A21)</f>
        <v/>
      </c>
      <c r="D21" s="24" t="n"/>
      <c r="E21" s="24" t="n"/>
      <c r="F21" s="24" t="n"/>
      <c r="G21" s="24" t="n"/>
    </row>
    <row r="22" ht="15" customHeight="1" s="21">
      <c r="A22" s="29" t="inlineStr">
        <is>
          <t>No PTO/PTA</t>
        </is>
      </c>
      <c r="B22" s="24" t="n"/>
      <c r="C22" s="27">
        <f>COUNTIFS('Campus Register'!$A$2:$A$600,$C$3,'Campus Register'!$R$2:$R$600,A22)</f>
        <v/>
      </c>
      <c r="D22" s="24" t="n"/>
      <c r="E22" s="24" t="n"/>
      <c r="F22" s="24" t="n"/>
      <c r="G22" s="24" t="n"/>
    </row>
    <row r="23" ht="15" customHeight="1" s="21">
      <c r="A23" s="29" t="inlineStr">
        <is>
          <t>Not Yet Confirmed</t>
        </is>
      </c>
      <c r="B23" s="24" t="n"/>
      <c r="C23" s="27">
        <f>COUNTIFS('Campus Register'!$A$2:$A$600,$C$3,'Campus Register'!$R$2:$R$600,A23)</f>
        <v/>
      </c>
      <c r="D23" s="24" t="n"/>
      <c r="E23" s="24" t="n"/>
      <c r="F23" s="24" t="n"/>
      <c r="G23" s="24" t="n"/>
    </row>
    <row r="24" ht="15" customHeight="1" s="21">
      <c r="A24" s="27" t="inlineStr">
        <is>
          <t>Total (should equal campuses being tracked)</t>
        </is>
      </c>
      <c r="B24" s="24" t="n"/>
      <c r="C24" s="27">
        <f>SUM(C18:C23)</f>
        <v/>
      </c>
      <c r="D24" s="23">
        <f>IF(C24=C7,"OK","Check: does not match roster")</f>
        <v/>
      </c>
      <c r="E24" s="24" t="n"/>
      <c r="F24" s="24" t="n"/>
      <c r="G24" s="24" t="n"/>
    </row>
    <row r="25" ht="15" customHeight="1" s="21">
      <c r="A25" s="24" t="n"/>
      <c r="B25" s="24" t="n"/>
      <c r="C25" s="24" t="n"/>
      <c r="D25" s="24" t="n"/>
      <c r="E25" s="24" t="n"/>
      <c r="F25" s="24" t="n"/>
      <c r="G25" s="24" t="n"/>
    </row>
    <row r="26" ht="15" customHeight="1" s="21">
      <c r="A26" s="24" t="n"/>
      <c r="B26" s="24" t="n"/>
      <c r="C26" s="24" t="n"/>
      <c r="D26" s="24" t="n"/>
      <c r="E26" s="24" t="n"/>
      <c r="F26" s="24" t="n"/>
      <c r="G26" s="24" t="n"/>
    </row>
    <row r="27" ht="15" customHeight="1" s="21">
      <c r="A27" s="25" t="inlineStr">
        <is>
          <t>Documents (campuses with a PTO/PTA)</t>
        </is>
      </c>
      <c r="B27" s="24" t="n"/>
      <c r="C27" s="24" t="n"/>
      <c r="D27" s="24" t="n"/>
      <c r="E27" s="24" t="n"/>
      <c r="F27" s="24" t="n"/>
      <c r="G27" s="24" t="n"/>
    </row>
    <row r="28" ht="30" customHeight="1" s="21">
      <c r="A28" s="28" t="inlineStr">
        <is>
          <t>Document</t>
        </is>
      </c>
      <c r="B28" s="28" t="n"/>
      <c r="C28" s="28" t="inlineStr">
        <is>
          <t>Accepted</t>
        </is>
      </c>
      <c r="D28" s="28" t="inlineStr">
        <is>
          <t>Received, awaiting review</t>
        </is>
      </c>
      <c r="E28" s="28" t="inlineStr">
        <is>
          <t>Needs correction</t>
        </is>
      </c>
      <c r="F28" s="28" t="inlineStr">
        <is>
          <t>Not received</t>
        </is>
      </c>
      <c r="G28" s="28" t="inlineStr">
        <is>
          <t>% accepted</t>
        </is>
      </c>
    </row>
    <row r="29" ht="15" customHeight="1" s="21">
      <c r="A29" s="29" t="inlineStr">
        <is>
          <t>Bylaws</t>
        </is>
      </c>
      <c r="B29" s="24" t="n"/>
      <c r="C29" s="29">
        <f>COUNTIFS('Campus Register'!$A$2:$A$600,$C$3,'Campus Register'!$D$2:$D$600,"Yes",'Campus Register'!$G$2:$G$600,"Accepted")</f>
        <v/>
      </c>
      <c r="D29" s="29">
        <f>COUNTIFS('Campus Register'!$A$2:$A$600,$C$3,'Campus Register'!$D$2:$D$600,"Yes",'Campus Register'!$G$2:$G$600,"Received")</f>
        <v/>
      </c>
      <c r="E29" s="29">
        <f>COUNTIFS('Campus Register'!$A$2:$A$600,$C$3,'Campus Register'!$D$2:$D$600,"Yes",'Campus Register'!$G$2:$G$600,"Needs Correction")</f>
        <v/>
      </c>
      <c r="F29" s="29">
        <f>COUNTIFS('Campus Register'!$A$2:$A$600,$C$3,'Campus Register'!$D$2:$D$600,"Yes",'Campus Register'!$G$2:$G$600,"Not Received")</f>
        <v/>
      </c>
      <c r="G29" s="30">
        <f>IF($C$8=0,"",C29/$C$8)</f>
        <v/>
      </c>
    </row>
    <row r="30" ht="15" customHeight="1" s="21">
      <c r="A30" s="29" t="inlineStr">
        <is>
          <t>Officer Information</t>
        </is>
      </c>
      <c r="B30" s="24" t="n"/>
      <c r="C30" s="29">
        <f>COUNTIFS('Campus Register'!$A$2:$A$600,$C$3,'Campus Register'!$D$2:$D$600,"Yes",'Campus Register'!$H$2:$H$600,"Accepted")</f>
        <v/>
      </c>
      <c r="D30" s="29">
        <f>COUNTIFS('Campus Register'!$A$2:$A$600,$C$3,'Campus Register'!$D$2:$D$600,"Yes",'Campus Register'!$H$2:$H$600,"Received")</f>
        <v/>
      </c>
      <c r="E30" s="29">
        <f>COUNTIFS('Campus Register'!$A$2:$A$600,$C$3,'Campus Register'!$D$2:$D$600,"Yes",'Campus Register'!$H$2:$H$600,"Needs Correction")</f>
        <v/>
      </c>
      <c r="F30" s="29">
        <f>COUNTIFS('Campus Register'!$A$2:$A$600,$C$3,'Campus Register'!$D$2:$D$600,"Yes",'Campus Register'!$H$2:$H$600,"Not Received")</f>
        <v/>
      </c>
      <c r="G30" s="30">
        <f>IF($C$8=0,"",C30/$C$8)</f>
        <v/>
      </c>
    </row>
    <row r="31" ht="15" customHeight="1" s="21">
      <c r="A31" s="29" t="inlineStr">
        <is>
          <t>Training Certificate</t>
        </is>
      </c>
      <c r="B31" s="24" t="n"/>
      <c r="C31" s="29">
        <f>COUNTIFS('Campus Register'!$A$2:$A$600,$C$3,'Campus Register'!$D$2:$D$600,"Yes",'Campus Register'!$I$2:$I$600,"Accepted")</f>
        <v/>
      </c>
      <c r="D31" s="29">
        <f>COUNTIFS('Campus Register'!$A$2:$A$600,$C$3,'Campus Register'!$D$2:$D$600,"Yes",'Campus Register'!$I$2:$I$600,"Received")</f>
        <v/>
      </c>
      <c r="E31" s="29">
        <f>COUNTIFS('Campus Register'!$A$2:$A$600,$C$3,'Campus Register'!$D$2:$D$600,"Yes",'Campus Register'!$I$2:$I$600,"Needs Correction")</f>
        <v/>
      </c>
      <c r="F31" s="29">
        <f>COUNTIFS('Campus Register'!$A$2:$A$600,$C$3,'Campus Register'!$D$2:$D$600,"Yes",'Campus Register'!$I$2:$I$600,"Not Received")</f>
        <v/>
      </c>
      <c r="G31" s="30">
        <f>IF($C$8=0,"",C31/$C$8)</f>
        <v/>
      </c>
    </row>
    <row r="32" ht="15" customHeight="1" s="21">
      <c r="A32" s="29" t="inlineStr">
        <is>
          <t>Budget or Financial Report</t>
        </is>
      </c>
      <c r="B32" s="24" t="n"/>
      <c r="C32" s="29">
        <f>COUNTIFS('Campus Register'!$A$2:$A$600,$C$3,'Campus Register'!$D$2:$D$600,"Yes",'Campus Register'!$J$2:$J$600,"Accepted")</f>
        <v/>
      </c>
      <c r="D32" s="29">
        <f>COUNTIFS('Campus Register'!$A$2:$A$600,$C$3,'Campus Register'!$D$2:$D$600,"Yes",'Campus Register'!$J$2:$J$600,"Received")</f>
        <v/>
      </c>
      <c r="E32" s="29">
        <f>COUNTIFS('Campus Register'!$A$2:$A$600,$C$3,'Campus Register'!$D$2:$D$600,"Yes",'Campus Register'!$J$2:$J$600,"Needs Correction")</f>
        <v/>
      </c>
      <c r="F32" s="29">
        <f>COUNTIFS('Campus Register'!$A$2:$A$600,$C$3,'Campus Register'!$D$2:$D$600,"Yes",'Campus Register'!$J$2:$J$600,"Not Received")</f>
        <v/>
      </c>
      <c r="G32" s="30">
        <f>IF($C$8=0,"",C32/$C$8)</f>
        <v/>
      </c>
    </row>
    <row r="33" ht="15" customHeight="1" s="21">
      <c r="A33" s="29" t="inlineStr">
        <is>
          <t>Proof of 501c Status</t>
        </is>
      </c>
      <c r="B33" s="24" t="n"/>
      <c r="C33" s="29">
        <f>COUNTIFS('Campus Register'!$A$2:$A$600,$C$3,'Campus Register'!$D$2:$D$600,"Yes",'Campus Register'!$K$2:$K$600,"Accepted")</f>
        <v/>
      </c>
      <c r="D33" s="29">
        <f>COUNTIFS('Campus Register'!$A$2:$A$600,$C$3,'Campus Register'!$D$2:$D$600,"Yes",'Campus Register'!$K$2:$K$600,"Received")</f>
        <v/>
      </c>
      <c r="E33" s="29">
        <f>COUNTIFS('Campus Register'!$A$2:$A$600,$C$3,'Campus Register'!$D$2:$D$600,"Yes",'Campus Register'!$K$2:$K$600,"Needs Correction")</f>
        <v/>
      </c>
      <c r="F33" s="29">
        <f>COUNTIFS('Campus Register'!$A$2:$A$600,$C$3,'Campus Register'!$D$2:$D$600,"Yes",'Campus Register'!$K$2:$K$600,"Not Received")</f>
        <v/>
      </c>
      <c r="G33" s="30">
        <f>IF($C$8=0,"",C33/$C$8)</f>
        <v/>
      </c>
    </row>
    <row r="34" ht="15" customHeight="1" s="21">
      <c r="A34" s="29" t="inlineStr">
        <is>
          <t>Bank Verification Letter</t>
        </is>
      </c>
      <c r="B34" s="24" t="n"/>
      <c r="C34" s="29">
        <f>COUNTIFS('Campus Register'!$A$2:$A$600,$C$3,'Campus Register'!$D$2:$D$600,"Yes",'Campus Register'!$L$2:$L$600,"Accepted")</f>
        <v/>
      </c>
      <c r="D34" s="29">
        <f>COUNTIFS('Campus Register'!$A$2:$A$600,$C$3,'Campus Register'!$D$2:$D$600,"Yes",'Campus Register'!$L$2:$L$600,"Received")</f>
        <v/>
      </c>
      <c r="E34" s="29">
        <f>COUNTIFS('Campus Register'!$A$2:$A$600,$C$3,'Campus Register'!$D$2:$D$600,"Yes",'Campus Register'!$L$2:$L$600,"Needs Correction")</f>
        <v/>
      </c>
      <c r="F34" s="29">
        <f>COUNTIFS('Campus Register'!$A$2:$A$600,$C$3,'Campus Register'!$D$2:$D$600,"Yes",'Campus Register'!$L$2:$L$600,"Not Received")</f>
        <v/>
      </c>
      <c r="G34" s="30">
        <f>IF($C$8=0,"",C34/$C$8)</f>
        <v/>
      </c>
    </row>
    <row r="35" hidden="1" ht="15" customHeight="1" s="21">
      <c r="A35" s="29" t="inlineStr">
        <is>
          <t>Articles of Incorporation</t>
        </is>
      </c>
      <c r="B35" s="24" t="n"/>
      <c r="C35" s="29">
        <f>COUNTIFS('Campus Register'!$A$2:$A$600,$C$3,'Campus Register'!$D$2:$D$600,"Yes",'Campus Register'!$M$2:$M$600,"Accepted")</f>
        <v/>
      </c>
      <c r="D35" s="29">
        <f>COUNTIFS('Campus Register'!$A$2:$A$600,$C$3,'Campus Register'!$D$2:$D$600,"Yes",'Campus Register'!$M$2:$M$600,"Received")</f>
        <v/>
      </c>
      <c r="E35" s="29">
        <f>COUNTIFS('Campus Register'!$A$2:$A$600,$C$3,'Campus Register'!$D$2:$D$600,"Yes",'Campus Register'!$M$2:$M$600,"Needs Correction")</f>
        <v/>
      </c>
      <c r="F35" s="29">
        <f>COUNTIFS('Campus Register'!$A$2:$A$600,$C$3,'Campus Register'!$D$2:$D$600,"Yes",'Campus Register'!$M$2:$M$600,"Not Received")</f>
        <v/>
      </c>
      <c r="G35" s="30">
        <f>IF($C$8=0,"",C35/$C$8)</f>
        <v/>
      </c>
    </row>
    <row r="36" hidden="1" ht="15" customHeight="1" s="21">
      <c r="A36" s="29" t="inlineStr">
        <is>
          <t>Insurance (optional)</t>
        </is>
      </c>
      <c r="B36" s="24" t="n"/>
      <c r="C36" s="29">
        <f>COUNTIFS('Campus Register'!$A$2:$A$600,$C$3,'Campus Register'!$D$2:$D$600,"Yes",'Campus Register'!$N$2:$N$600,"Accepted")</f>
        <v/>
      </c>
      <c r="D36" s="29">
        <f>COUNTIFS('Campus Register'!$A$2:$A$600,$C$3,'Campus Register'!$D$2:$D$600,"Yes",'Campus Register'!$N$2:$N$600,"Received")</f>
        <v/>
      </c>
      <c r="E36" s="29">
        <f>COUNTIFS('Campus Register'!$A$2:$A$600,$C$3,'Campus Register'!$D$2:$D$600,"Yes",'Campus Register'!$N$2:$N$600,"Needs Correction")</f>
        <v/>
      </c>
      <c r="F36" s="29">
        <f>COUNTIFS('Campus Register'!$A$2:$A$600,$C$3,'Campus Register'!$D$2:$D$600,"Yes",'Campus Register'!$N$2:$N$600,"Not Received")</f>
        <v/>
      </c>
      <c r="G36" s="30">
        <f>IF($C$8=0,"",C36/$C$8)</f>
        <v/>
      </c>
    </row>
    <row r="37" ht="15" customHeight="1" s="21">
      <c r="A37" s="24" t="n"/>
      <c r="B37" s="24" t="n"/>
      <c r="C37" s="24" t="n"/>
      <c r="D37" s="24" t="n"/>
      <c r="E37" s="24" t="n"/>
      <c r="F37" s="24" t="n"/>
      <c r="G37" s="24" t="n"/>
    </row>
    <row r="38" ht="15" customHeight="1" s="21">
      <c r="A38" s="24" t="n"/>
      <c r="B38" s="24" t="n"/>
      <c r="C38" s="24" t="n"/>
      <c r="D38" s="24" t="n"/>
      <c r="E38" s="24" t="n"/>
      <c r="F38" s="24" t="n"/>
      <c r="G38" s="24" t="n"/>
    </row>
    <row r="39" ht="15" customHeight="1" s="21">
      <c r="A39" s="25" t="inlineStr">
        <is>
          <t>Area Offices</t>
        </is>
      </c>
      <c r="B39" s="24" t="n"/>
      <c r="C39" s="24" t="n"/>
      <c r="D39" s="24" t="n"/>
      <c r="E39" s="24" t="n"/>
      <c r="F39" s="24" t="n"/>
      <c r="G39" s="24" t="n"/>
    </row>
    <row r="40" ht="15" customHeight="1" s="21">
      <c r="A40" s="28" t="inlineStr">
        <is>
          <t>Area Office</t>
        </is>
      </c>
      <c r="B40" s="28" t="n"/>
      <c r="C40" s="28" t="inlineStr">
        <is>
          <t>Campuses</t>
        </is>
      </c>
      <c r="D40" s="28" t="inlineStr">
        <is>
          <t>Have a PTO/PTA</t>
        </is>
      </c>
      <c r="E40" s="28" t="inlineStr">
        <is>
          <t>Registered</t>
        </is>
      </c>
      <c r="F40" s="28" t="inlineStr">
        <is>
          <t>Legalized</t>
        </is>
      </c>
      <c r="G40" s="28" t="inlineStr">
        <is>
          <t>% legalized</t>
        </is>
      </c>
    </row>
    <row r="41" ht="15" customHeight="1" s="21">
      <c r="A41" s="29">
        <f>Settings!E18</f>
        <v/>
      </c>
      <c r="B41" s="24" t="n"/>
      <c r="C41" s="29">
        <f>COUNTIFS('Campus Register'!$A$2:$A$600,$C$3,'Campus Register'!$C$2:$C$600,$A41)</f>
        <v/>
      </c>
      <c r="D41" s="29">
        <f>COUNTIFS('Campus Register'!$A$2:$A$600,$C$3,'Campus Register'!$C$2:$C$600,$A41,'Campus Register'!$D$2:$D$600,"Yes")</f>
        <v/>
      </c>
      <c r="E41" s="29">
        <f>COUNTIFS('Campus Register'!$A$2:$A$600,$C$3,'Campus Register'!$C$2:$C$600,$A41,'Campus Register'!$D$2:$D$600,"Yes",'Campus Register'!$P$2:$P$600,"&gt;="&amp;Settings!$C$12)</f>
        <v/>
      </c>
      <c r="F41" s="29">
        <f>COUNTIFS('Campus Register'!$A$2:$A$600,$C$3,'Campus Register'!$C$2:$C$600,$A41,'Campus Register'!$D$2:$D$600,"Yes",'Campus Register'!$Q$2:$Q$600,"&gt;="&amp;Settings!$C$13)</f>
        <v/>
      </c>
      <c r="G41" s="30">
        <f>IF(D41=0,"",F41/D41)</f>
        <v/>
      </c>
    </row>
    <row r="42" ht="15" customHeight="1" s="21">
      <c r="A42" s="29">
        <f>Settings!E19</f>
        <v/>
      </c>
      <c r="B42" s="24" t="n"/>
      <c r="C42" s="29">
        <f>COUNTIFS('Campus Register'!$A$2:$A$600,$C$3,'Campus Register'!$C$2:$C$600,$A42)</f>
        <v/>
      </c>
      <c r="D42" s="29">
        <f>COUNTIFS('Campus Register'!$A$2:$A$600,$C$3,'Campus Register'!$C$2:$C$600,$A42,'Campus Register'!$D$2:$D$600,"Yes")</f>
        <v/>
      </c>
      <c r="E42" s="29">
        <f>COUNTIFS('Campus Register'!$A$2:$A$600,$C$3,'Campus Register'!$C$2:$C$600,$A42,'Campus Register'!$D$2:$D$600,"Yes",'Campus Register'!$P$2:$P$600,"&gt;="&amp;Settings!$C$12)</f>
        <v/>
      </c>
      <c r="F42" s="29">
        <f>COUNTIFS('Campus Register'!$A$2:$A$600,$C$3,'Campus Register'!$C$2:$C$600,$A42,'Campus Register'!$D$2:$D$600,"Yes",'Campus Register'!$Q$2:$Q$600,"&gt;="&amp;Settings!$C$13)</f>
        <v/>
      </c>
      <c r="G42" s="30">
        <f>IF(D42=0,"",F42/D42)</f>
        <v/>
      </c>
    </row>
    <row r="43" ht="15" customHeight="1" s="21">
      <c r="A43" s="29">
        <f>Settings!E20</f>
        <v/>
      </c>
      <c r="B43" s="24" t="n"/>
      <c r="C43" s="29">
        <f>COUNTIFS('Campus Register'!$A$2:$A$600,$C$3,'Campus Register'!$C$2:$C$600,$A43)</f>
        <v/>
      </c>
      <c r="D43" s="29">
        <f>COUNTIFS('Campus Register'!$A$2:$A$600,$C$3,'Campus Register'!$C$2:$C$600,$A43,'Campus Register'!$D$2:$D$600,"Yes")</f>
        <v/>
      </c>
      <c r="E43" s="29">
        <f>COUNTIFS('Campus Register'!$A$2:$A$600,$C$3,'Campus Register'!$C$2:$C$600,$A43,'Campus Register'!$D$2:$D$600,"Yes",'Campus Register'!$P$2:$P$600,"&gt;="&amp;Settings!$C$12)</f>
        <v/>
      </c>
      <c r="F43" s="29">
        <f>COUNTIFS('Campus Register'!$A$2:$A$600,$C$3,'Campus Register'!$C$2:$C$600,$A43,'Campus Register'!$D$2:$D$600,"Yes",'Campus Register'!$Q$2:$Q$600,"&gt;="&amp;Settings!$C$13)</f>
        <v/>
      </c>
      <c r="G43" s="30">
        <f>IF(D43=0,"",F43/D43)</f>
        <v/>
      </c>
    </row>
    <row r="44" ht="15" customHeight="1" s="21">
      <c r="A44" s="29">
        <f>Settings!E21</f>
        <v/>
      </c>
      <c r="B44" s="24" t="n"/>
      <c r="C44" s="29">
        <f>COUNTIFS('Campus Register'!$A$2:$A$600,$C$3,'Campus Register'!$C$2:$C$600,$A44)</f>
        <v/>
      </c>
      <c r="D44" s="29">
        <f>COUNTIFS('Campus Register'!$A$2:$A$600,$C$3,'Campus Register'!$C$2:$C$600,$A44,'Campus Register'!$D$2:$D$600,"Yes")</f>
        <v/>
      </c>
      <c r="E44" s="29">
        <f>COUNTIFS('Campus Register'!$A$2:$A$600,$C$3,'Campus Register'!$C$2:$C$600,$A44,'Campus Register'!$D$2:$D$600,"Yes",'Campus Register'!$P$2:$P$600,"&gt;="&amp;Settings!$C$12)</f>
        <v/>
      </c>
      <c r="F44" s="29">
        <f>COUNTIFS('Campus Register'!$A$2:$A$600,$C$3,'Campus Register'!$C$2:$C$600,$A44,'Campus Register'!$D$2:$D$600,"Yes",'Campus Register'!$Q$2:$Q$600,"&gt;="&amp;Settings!$C$13)</f>
        <v/>
      </c>
      <c r="G44" s="30">
        <f>IF(D44=0,"",F44/D44)</f>
        <v/>
      </c>
    </row>
    <row r="45" ht="15" customHeight="1" s="21">
      <c r="A45" s="29">
        <f>Settings!E22</f>
        <v/>
      </c>
      <c r="B45" s="24" t="n"/>
      <c r="C45" s="29">
        <f>COUNTIFS('Campus Register'!$A$2:$A$600,$C$3,'Campus Register'!$C$2:$C$600,$A45)</f>
        <v/>
      </c>
      <c r="D45" s="29">
        <f>COUNTIFS('Campus Register'!$A$2:$A$600,$C$3,'Campus Register'!$C$2:$C$600,$A45,'Campus Register'!$D$2:$D$600,"Yes")</f>
        <v/>
      </c>
      <c r="E45" s="29">
        <f>COUNTIFS('Campus Register'!$A$2:$A$600,$C$3,'Campus Register'!$C$2:$C$600,$A45,'Campus Register'!$D$2:$D$600,"Yes",'Campus Register'!$P$2:$P$600,"&gt;="&amp;Settings!$C$12)</f>
        <v/>
      </c>
      <c r="F45" s="29">
        <f>COUNTIFS('Campus Register'!$A$2:$A$600,$C$3,'Campus Register'!$C$2:$C$600,$A45,'Campus Register'!$D$2:$D$600,"Yes",'Campus Register'!$Q$2:$Q$600,"&gt;="&amp;Settings!$C$13)</f>
        <v/>
      </c>
      <c r="G45" s="30">
        <f>IF(D45=0,"",F45/D45)</f>
        <v/>
      </c>
    </row>
    <row r="46" ht="15" customHeight="1" s="21">
      <c r="A46" s="24" t="n"/>
      <c r="B46" s="24" t="n"/>
      <c r="C46" s="24" t="n"/>
      <c r="D46" s="24" t="n"/>
      <c r="E46" s="24" t="n"/>
      <c r="F46" s="24" t="n"/>
      <c r="G46" s="24" t="n"/>
    </row>
    <row r="47" ht="15" customHeight="1" s="21">
      <c r="A47" s="24" t="n"/>
      <c r="B47" s="24" t="n"/>
      <c r="C47" s="24" t="n"/>
      <c r="D47" s="24" t="n"/>
      <c r="E47" s="24" t="n"/>
      <c r="F47" s="24" t="n"/>
      <c r="G47" s="24" t="n"/>
    </row>
    <row r="48" ht="15" customHeight="1" s="21">
      <c r="A48" s="25" t="inlineStr">
        <is>
          <t>Data checks</t>
        </is>
      </c>
      <c r="B48" s="24" t="n"/>
      <c r="C48" s="24" t="n"/>
      <c r="D48" s="24" t="n"/>
      <c r="E48" s="24" t="n"/>
      <c r="F48" s="24" t="n"/>
      <c r="G48" s="24" t="n"/>
    </row>
    <row r="49" ht="15" customHeight="1" s="21">
      <c r="A49" s="29" t="inlineStr">
        <is>
          <t>Campuses with documents on file but Has PTO or PTA not confirmed as Yes</t>
        </is>
      </c>
      <c r="B49" s="24" t="n"/>
      <c r="C49" s="27">
        <f>COUNTIFS('Campus Register'!$A$2:$A$600,$C$3,'Campus Register'!$D$2:$D$600,"&lt;&gt;Yes",'Campus Register'!$O$2:$O$600,"&gt;0")</f>
        <v/>
      </c>
      <c r="D49" s="23" t="inlineStr">
        <is>
          <t>Ask the coordinator to confirm these campuses.</t>
        </is>
      </c>
      <c r="E49" s="24" t="n"/>
      <c r="F49" s="24" t="n"/>
      <c r="G49" s="24" t="n"/>
    </row>
    <row r="50" ht="15" customHeight="1" s="21">
      <c r="A50" s="29" t="inlineStr">
        <is>
          <t>Documents logged for this school year</t>
        </is>
      </c>
      <c r="B50" s="24" t="n"/>
      <c r="C50" s="27">
        <f>COUNTIF('Submission Log'!$G$2:$G$800,$C$3)</f>
        <v/>
      </c>
      <c r="D50" s="23" t="inlineStr">
        <is>
          <t>Rows in the Submission Log, added by the form.</t>
        </is>
      </c>
      <c r="E50" s="24" t="n"/>
      <c r="F50" s="24" t="n"/>
      <c r="G50" s="24" t="n"/>
    </row>
    <row r="51" ht="15" customHeight="1" s="21">
      <c r="A51" s="29" t="inlineStr">
        <is>
          <t>Officer update forms received for this school year</t>
        </is>
      </c>
      <c r="B51" s="24" t="n"/>
      <c r="C51" s="27">
        <f>COUNTIFS(Officers!$C$2:$C$1000,$C$3,Officers!$F$2:$F$1000,1)</f>
        <v/>
      </c>
      <c r="D51" s="23" t="inlineStr">
        <is>
          <t>From the Officers tab (one form = one organization).</t>
        </is>
      </c>
      <c r="E51" s="24" t="n"/>
      <c r="F51" s="24" t="n"/>
      <c r="G51" s="24" t="n"/>
    </row>
    <row r="52" ht="15" customHeight="1" s="21">
      <c r="A52" s="29" t="inlineStr">
        <is>
          <t>Officer forms still needing a campus picked</t>
        </is>
      </c>
      <c r="B52" s="24" t="n"/>
      <c r="C52" s="27">
        <f>COUNTIFS(Officers!$F$2:$F$1000,1,Officers!$D$2:$D$1000,"",Officers!$C$2:$C$1000,$C$3)</f>
        <v/>
      </c>
      <c r="D52" s="23" t="inlineStr">
        <is>
          <t>On the Officers tab, type the campus in the Campus column, then run the import again.</t>
        </is>
      </c>
      <c r="E52" s="24" t="n"/>
      <c r="F52" s="24" t="n"/>
      <c r="G52" s="24" t="n"/>
    </row>
  </sheetData>
  <printOptions horizontalCentered="0" verticalCentered="0" headings="0" gridLines="0" gridLinesSet="1"/>
  <pageMargins left="0.75" right="0.75" top="1" bottom="1" header="0.511811023622047" footer="0.511811023622047"/>
  <pageSetup orientation="landscape" paperSize="1" scale="100" fitToHeight="0"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1"/>
  </sheetPr>
  <dimension ref="A1:U600"/>
  <sheetViews>
    <sheetView showFormulas="0" showGridLines="0" showRowColHeaders="1" showZeros="1" rightToLeft="0" tabSelected="0" showOutlineSymbols="1" defaultGridColor="1"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baseColWidth="8" defaultColWidth="8.6796875" defaultRowHeight="15" zeroHeight="0" outlineLevelRow="0"/>
  <cols>
    <col width="10" customWidth="1" style="20" min="1" max="1"/>
    <col width="22" customWidth="1" style="20" min="2" max="2"/>
    <col width="15" customWidth="1" style="20" min="3" max="3"/>
    <col width="18" customWidth="1" style="20" min="4" max="4"/>
    <col width="9" customWidth="1" style="20" min="5" max="5"/>
    <col width="26" customWidth="1" style="20" min="6" max="6"/>
    <col width="15" customWidth="1" style="20" min="7" max="14"/>
    <col hidden="1" width="13" customWidth="1" style="21" min="13" max="13"/>
    <col hidden="1" width="13" customWidth="1" style="21" min="14" max="14"/>
    <col width="10" customWidth="1" style="20" min="15" max="15"/>
    <col width="14" customWidth="1" style="20" min="16" max="17"/>
    <col width="18" customWidth="1" style="20" min="18" max="18"/>
    <col width="13" customWidth="1" style="20" min="19" max="20"/>
    <col width="70" customWidth="1" style="20" min="21" max="21"/>
  </cols>
  <sheetData>
    <row r="1" ht="48" customHeight="1" s="21">
      <c r="A1" s="28" t="inlineStr">
        <is>
          <t>School Year</t>
        </is>
      </c>
      <c r="B1" s="28" t="inlineStr">
        <is>
          <t>Campus</t>
        </is>
      </c>
      <c r="C1" s="28" t="inlineStr">
        <is>
          <t>Area Office</t>
        </is>
      </c>
      <c r="D1" s="28" t="inlineStr">
        <is>
          <t>Has PTO or PTA</t>
        </is>
      </c>
      <c r="E1" s="28" t="inlineStr">
        <is>
          <t>Org Type</t>
        </is>
      </c>
      <c r="F1" s="28" t="inlineStr">
        <is>
          <t>Org Name</t>
        </is>
      </c>
      <c r="G1" s="28" t="inlineStr">
        <is>
          <t>Bylaws</t>
        </is>
      </c>
      <c r="H1" s="28" t="inlineStr">
        <is>
          <t>Officer Information</t>
        </is>
      </c>
      <c r="I1" s="28" t="inlineStr">
        <is>
          <t>Training Certificate</t>
        </is>
      </c>
      <c r="J1" s="28" t="inlineStr">
        <is>
          <t>Budget or Financial Report</t>
        </is>
      </c>
      <c r="K1" s="28" t="inlineStr">
        <is>
          <t>Proof of 501c Status</t>
        </is>
      </c>
      <c r="L1" s="28" t="inlineStr">
        <is>
          <t>Bank Verification Letter</t>
        </is>
      </c>
      <c r="M1" s="28" t="inlineStr">
        <is>
          <t>Articles of Incorporation</t>
        </is>
      </c>
      <c r="N1" s="28" t="inlineStr">
        <is>
          <t>Insurance</t>
        </is>
      </c>
      <c r="O1" s="28" t="inlineStr">
        <is>
          <t>Items Received</t>
        </is>
      </c>
      <c r="P1" s="28" t="inlineStr">
        <is>
          <t>Registration Items Accepted</t>
        </is>
      </c>
      <c r="Q1" s="28" t="inlineStr">
        <is>
          <t>Legalization Items Accepted</t>
        </is>
      </c>
      <c r="R1" s="28" t="inlineStr">
        <is>
          <t>Status</t>
        </is>
      </c>
      <c r="S1" s="28" t="inlineStr">
        <is>
          <t>Items Awaiting Review</t>
        </is>
      </c>
      <c r="T1" s="28" t="inlineStr">
        <is>
          <t>Items Needing Correction</t>
        </is>
      </c>
      <c r="U1" s="28" t="inlineStr">
        <is>
          <t>Not Yet Accepted</t>
        </is>
      </c>
    </row>
    <row r="2" ht="15" customHeight="1" s="21">
      <c r="A2" s="31" t="inlineStr">
        <is>
          <t>2026-27</t>
        </is>
      </c>
      <c r="B2" s="31" t="inlineStr">
        <is>
          <t>Anderson ES</t>
        </is>
      </c>
      <c r="C2" s="31" t="inlineStr">
        <is>
          <t>NES Elementary</t>
        </is>
      </c>
      <c r="D2" s="31" t="inlineStr">
        <is>
          <t>Not Yet Confirmed</t>
        </is>
      </c>
      <c r="E2" s="31" t="n"/>
      <c r="F2" s="31" t="n"/>
      <c r="G2" s="31" t="inlineStr">
        <is>
          <t>Not Received</t>
        </is>
      </c>
      <c r="H2" s="31" t="inlineStr">
        <is>
          <t>Not Received</t>
        </is>
      </c>
      <c r="I2" s="31" t="inlineStr">
        <is>
          <t>Not Received</t>
        </is>
      </c>
      <c r="J2" s="31" t="inlineStr">
        <is>
          <t>Not Received</t>
        </is>
      </c>
      <c r="K2" s="31" t="inlineStr">
        <is>
          <t>Not Received</t>
        </is>
      </c>
      <c r="L2" s="31" t="inlineStr">
        <is>
          <t>Not Received</t>
        </is>
      </c>
      <c r="M2" s="31" t="inlineStr">
        <is>
          <t>Not Received</t>
        </is>
      </c>
      <c r="N2" s="31" t="inlineStr">
        <is>
          <t>Not Received</t>
        </is>
      </c>
      <c r="O2" s="32">
        <f>IF($B2="","",COUNTIF(G2:N2,"Accepted")+COUNTIF(G2:N2,"Received")+COUNTIF(G2:N2,"Needs Correction"))</f>
        <v/>
      </c>
      <c r="P2" s="32">
        <f>IF($B2="","",SUMPRODUCT(((G2:N2="Accepted")+(G2:N2="Not Needed"))*(Settings!$C$11:$J$11="Yes")))</f>
        <v/>
      </c>
      <c r="Q2" s="32">
        <f>IF($B2="","",SUMPRODUCT(((G2:N2="Accepted")+(G2:N2="Not Needed"))*(Settings!$C$15:$J$15="Yes")))</f>
        <v/>
      </c>
      <c r="R2" s="33">
        <f>IF($B2="","",IF($D2="No","No PTO/PTA",IF($D2&lt;&gt;"Yes","Not Yet Confirmed",IF($Q2&gt;=Settings!$C$13,"Legalized",IF($P2&gt;=Settings!$C$12,"Registered",IF($O2&gt;0,"In Progress","Not Started"))))))</f>
        <v/>
      </c>
      <c r="S2" s="32">
        <f>IF($B2="","",COUNTIF(G2:N2,"Received"))</f>
        <v/>
      </c>
      <c r="T2" s="32">
        <f>IF($B2="","",COUNTIF(G2:N2,"Needs Correction"))</f>
        <v/>
      </c>
      <c r="U2" s="33">
        <f>IF($B2="","",IF($D2&lt;&gt;"Yes","",IF($Q2&gt;=Settings!$C$13,"None",MID(IF(AND(G2&lt;&gt;"Accepted",G2&lt;&gt;"Not Needed",Settings!$C$15="Yes"),", "&amp;G$1,"")&amp;IF(AND(H2&lt;&gt;"Accepted",H2&lt;&gt;"Not Needed",Settings!$D$15="Yes"),", "&amp;H$1,"")&amp;IF(AND(I2&lt;&gt;"Accepted",I2&lt;&gt;"Not Needed",Settings!$E$15="Yes"),", "&amp;I$1,"")&amp;IF(AND(J2&lt;&gt;"Accepted",J2&lt;&gt;"Not Needed",Settings!$F$15="Yes"),", "&amp;J$1,"")&amp;IF(AND(K2&lt;&gt;"Accepted",K2&lt;&gt;"Not Needed",Settings!$G$15="Yes"),", "&amp;K$1,"")&amp;IF(AND(L2&lt;&gt;"Accepted",L2&lt;&gt;"Not Needed",Settings!$H$15="Yes"),", "&amp;L$1,"")&amp;IF(AND(M2&lt;&gt;"Accepted",M2&lt;&gt;"Not Needed",Settings!$I$15="Yes"),", "&amp;M$1,"")&amp;IF(AND(N2&lt;&gt;"Accepted",N2&lt;&gt;"Not Needed",Settings!$J$15="Yes"),", "&amp;N$1,""),3,400))))</f>
        <v/>
      </c>
    </row>
    <row r="3" ht="15" customHeight="1" s="21">
      <c r="A3" s="31" t="inlineStr">
        <is>
          <t>2026-27</t>
        </is>
      </c>
      <c r="B3" s="31" t="inlineStr">
        <is>
          <t>Ashford ES</t>
        </is>
      </c>
      <c r="C3" s="31" t="inlineStr">
        <is>
          <t>NES Elementary</t>
        </is>
      </c>
      <c r="D3" s="31" t="inlineStr">
        <is>
          <t>Not Yet Confirmed</t>
        </is>
      </c>
      <c r="E3" s="31" t="n"/>
      <c r="F3" s="31" t="n"/>
      <c r="G3" s="31" t="inlineStr">
        <is>
          <t>Not Received</t>
        </is>
      </c>
      <c r="H3" s="31" t="inlineStr">
        <is>
          <t>Not Received</t>
        </is>
      </c>
      <c r="I3" s="31" t="inlineStr">
        <is>
          <t>Not Received</t>
        </is>
      </c>
      <c r="J3" s="31" t="inlineStr">
        <is>
          <t>Not Received</t>
        </is>
      </c>
      <c r="K3" s="31" t="inlineStr">
        <is>
          <t>Not Received</t>
        </is>
      </c>
      <c r="L3" s="31" t="inlineStr">
        <is>
          <t>Not Received</t>
        </is>
      </c>
      <c r="M3" s="31" t="inlineStr">
        <is>
          <t>Not Received</t>
        </is>
      </c>
      <c r="N3" s="31" t="inlineStr">
        <is>
          <t>Not Received</t>
        </is>
      </c>
      <c r="O3" s="32">
        <f>IF($B3="","",COUNTIF(G3:N3,"Accepted")+COUNTIF(G3:N3,"Received")+COUNTIF(G3:N3,"Needs Correction"))</f>
        <v/>
      </c>
      <c r="P3" s="32">
        <f>IF($B3="","",SUMPRODUCT(((G3:N3="Accepted")+(G3:N3="Not Needed"))*(Settings!$C$11:$J$11="Yes")))</f>
        <v/>
      </c>
      <c r="Q3" s="32">
        <f>IF($B3="","",SUMPRODUCT(((G3:N3="Accepted")+(G3:N3="Not Needed"))*(Settings!$C$15:$J$15="Yes")))</f>
        <v/>
      </c>
      <c r="R3" s="33">
        <f>IF($B3="","",IF($D3="No","No PTO/PTA",IF($D3&lt;&gt;"Yes","Not Yet Confirmed",IF($Q3&gt;=Settings!$C$13,"Legalized",IF($P3&gt;=Settings!$C$12,"Registered",IF($O3&gt;0,"In Progress","Not Started"))))))</f>
        <v/>
      </c>
      <c r="S3" s="32">
        <f>IF($B3="","",COUNTIF(G3:N3,"Received"))</f>
        <v/>
      </c>
      <c r="T3" s="32">
        <f>IF($B3="","",COUNTIF(G3:N3,"Needs Correction"))</f>
        <v/>
      </c>
      <c r="U3" s="33">
        <f>IF($B3="","",IF($D3&lt;&gt;"Yes","",IF($Q3&gt;=Settings!$C$13,"None",MID(IF(AND(G3&lt;&gt;"Accepted",G3&lt;&gt;"Not Needed",Settings!$C$15="Yes"),", "&amp;G$1,"")&amp;IF(AND(H3&lt;&gt;"Accepted",H3&lt;&gt;"Not Needed",Settings!$D$15="Yes"),", "&amp;H$1,"")&amp;IF(AND(I3&lt;&gt;"Accepted",I3&lt;&gt;"Not Needed",Settings!$E$15="Yes"),", "&amp;I$1,"")&amp;IF(AND(J3&lt;&gt;"Accepted",J3&lt;&gt;"Not Needed",Settings!$F$15="Yes"),", "&amp;J$1,"")&amp;IF(AND(K3&lt;&gt;"Accepted",K3&lt;&gt;"Not Needed",Settings!$G$15="Yes"),", "&amp;K$1,"")&amp;IF(AND(L3&lt;&gt;"Accepted",L3&lt;&gt;"Not Needed",Settings!$H$15="Yes"),", "&amp;L$1,"")&amp;IF(AND(M3&lt;&gt;"Accepted",M3&lt;&gt;"Not Needed",Settings!$I$15="Yes"),", "&amp;M$1,"")&amp;IF(AND(N3&lt;&gt;"Accepted",N3&lt;&gt;"Not Needed",Settings!$J$15="Yes"),", "&amp;N$1,""),3,400))))</f>
        <v/>
      </c>
    </row>
    <row r="4" ht="15" customHeight="1" s="21">
      <c r="A4" s="31" t="inlineStr">
        <is>
          <t>2026-27</t>
        </is>
      </c>
      <c r="B4" s="31" t="inlineStr">
        <is>
          <t>Askew ES</t>
        </is>
      </c>
      <c r="C4" s="31" t="inlineStr">
        <is>
          <t>NES Elementary</t>
        </is>
      </c>
      <c r="D4" s="31" t="inlineStr">
        <is>
          <t>Not Yet Confirmed</t>
        </is>
      </c>
      <c r="E4" s="31" t="n"/>
      <c r="F4" s="31" t="n"/>
      <c r="G4" s="31" t="inlineStr">
        <is>
          <t>Not Received</t>
        </is>
      </c>
      <c r="H4" s="31" t="inlineStr">
        <is>
          <t>Not Received</t>
        </is>
      </c>
      <c r="I4" s="31" t="inlineStr">
        <is>
          <t>Not Received</t>
        </is>
      </c>
      <c r="J4" s="31" t="inlineStr">
        <is>
          <t>Not Received</t>
        </is>
      </c>
      <c r="K4" s="31" t="inlineStr">
        <is>
          <t>Not Received</t>
        </is>
      </c>
      <c r="L4" s="31" t="inlineStr">
        <is>
          <t>Not Received</t>
        </is>
      </c>
      <c r="M4" s="31" t="inlineStr">
        <is>
          <t>Not Received</t>
        </is>
      </c>
      <c r="N4" s="31" t="inlineStr">
        <is>
          <t>Not Received</t>
        </is>
      </c>
      <c r="O4" s="32">
        <f>IF($B4="","",COUNTIF(G4:N4,"Accepted")+COUNTIF(G4:N4,"Received")+COUNTIF(G4:N4,"Needs Correction"))</f>
        <v/>
      </c>
      <c r="P4" s="32">
        <f>IF($B4="","",SUMPRODUCT(((G4:N4="Accepted")+(G4:N4="Not Needed"))*(Settings!$C$11:$J$11="Yes")))</f>
        <v/>
      </c>
      <c r="Q4" s="32">
        <f>IF($B4="","",SUMPRODUCT(((G4:N4="Accepted")+(G4:N4="Not Needed"))*(Settings!$C$15:$J$15="Yes")))</f>
        <v/>
      </c>
      <c r="R4" s="33">
        <f>IF($B4="","",IF($D4="No","No PTO/PTA",IF($D4&lt;&gt;"Yes","Not Yet Confirmed",IF($Q4&gt;=Settings!$C$13,"Legalized",IF($P4&gt;=Settings!$C$12,"Registered",IF($O4&gt;0,"In Progress","Not Started"))))))</f>
        <v/>
      </c>
      <c r="S4" s="32">
        <f>IF($B4="","",COUNTIF(G4:N4,"Received"))</f>
        <v/>
      </c>
      <c r="T4" s="32">
        <f>IF($B4="","",COUNTIF(G4:N4,"Needs Correction"))</f>
        <v/>
      </c>
      <c r="U4" s="33">
        <f>IF($B4="","",IF($D4&lt;&gt;"Yes","",IF($Q4&gt;=Settings!$C$13,"None",MID(IF(AND(G4&lt;&gt;"Accepted",G4&lt;&gt;"Not Needed",Settings!$C$15="Yes"),", "&amp;G$1,"")&amp;IF(AND(H4&lt;&gt;"Accepted",H4&lt;&gt;"Not Needed",Settings!$D$15="Yes"),", "&amp;H$1,"")&amp;IF(AND(I4&lt;&gt;"Accepted",I4&lt;&gt;"Not Needed",Settings!$E$15="Yes"),", "&amp;I$1,"")&amp;IF(AND(J4&lt;&gt;"Accepted",J4&lt;&gt;"Not Needed",Settings!$F$15="Yes"),", "&amp;J$1,"")&amp;IF(AND(K4&lt;&gt;"Accepted",K4&lt;&gt;"Not Needed",Settings!$G$15="Yes"),", "&amp;K$1,"")&amp;IF(AND(L4&lt;&gt;"Accepted",L4&lt;&gt;"Not Needed",Settings!$H$15="Yes"),", "&amp;L$1,"")&amp;IF(AND(M4&lt;&gt;"Accepted",M4&lt;&gt;"Not Needed",Settings!$I$15="Yes"),", "&amp;M$1,"")&amp;IF(AND(N4&lt;&gt;"Accepted",N4&lt;&gt;"Not Needed",Settings!$J$15="Yes"),", "&amp;N$1,""),3,400))))</f>
        <v/>
      </c>
    </row>
    <row r="5" ht="15" customHeight="1" s="21">
      <c r="A5" s="31" t="inlineStr">
        <is>
          <t>2026-27</t>
        </is>
      </c>
      <c r="B5" s="31" t="inlineStr">
        <is>
          <t>Atherton ES</t>
        </is>
      </c>
      <c r="C5" s="31" t="inlineStr">
        <is>
          <t>NES Elementary</t>
        </is>
      </c>
      <c r="D5" s="31" t="inlineStr">
        <is>
          <t>Not Yet Confirmed</t>
        </is>
      </c>
      <c r="E5" s="31" t="n"/>
      <c r="F5" s="31" t="n"/>
      <c r="G5" s="31" t="inlineStr">
        <is>
          <t>Not Received</t>
        </is>
      </c>
      <c r="H5" s="31" t="inlineStr">
        <is>
          <t>Not Received</t>
        </is>
      </c>
      <c r="I5" s="31" t="inlineStr">
        <is>
          <t>Not Received</t>
        </is>
      </c>
      <c r="J5" s="31" t="inlineStr">
        <is>
          <t>Not Received</t>
        </is>
      </c>
      <c r="K5" s="31" t="inlineStr">
        <is>
          <t>Not Received</t>
        </is>
      </c>
      <c r="L5" s="31" t="inlineStr">
        <is>
          <t>Not Received</t>
        </is>
      </c>
      <c r="M5" s="31" t="inlineStr">
        <is>
          <t>Not Received</t>
        </is>
      </c>
      <c r="N5" s="31" t="inlineStr">
        <is>
          <t>Not Received</t>
        </is>
      </c>
      <c r="O5" s="32">
        <f>IF($B5="","",COUNTIF(G5:N5,"Accepted")+COUNTIF(G5:N5,"Received")+COUNTIF(G5:N5,"Needs Correction"))</f>
        <v/>
      </c>
      <c r="P5" s="32">
        <f>IF($B5="","",SUMPRODUCT(((G5:N5="Accepted")+(G5:N5="Not Needed"))*(Settings!$C$11:$J$11="Yes")))</f>
        <v/>
      </c>
      <c r="Q5" s="32">
        <f>IF($B5="","",SUMPRODUCT(((G5:N5="Accepted")+(G5:N5="Not Needed"))*(Settings!$C$15:$J$15="Yes")))</f>
        <v/>
      </c>
      <c r="R5" s="33">
        <f>IF($B5="","",IF($D5="No","No PTO/PTA",IF($D5&lt;&gt;"Yes","Not Yet Confirmed",IF($Q5&gt;=Settings!$C$13,"Legalized",IF($P5&gt;=Settings!$C$12,"Registered",IF($O5&gt;0,"In Progress","Not Started"))))))</f>
        <v/>
      </c>
      <c r="S5" s="32">
        <f>IF($B5="","",COUNTIF(G5:N5,"Received"))</f>
        <v/>
      </c>
      <c r="T5" s="32">
        <f>IF($B5="","",COUNTIF(G5:N5,"Needs Correction"))</f>
        <v/>
      </c>
      <c r="U5" s="33">
        <f>IF($B5="","",IF($D5&lt;&gt;"Yes","",IF($Q5&gt;=Settings!$C$13,"None",MID(IF(AND(G5&lt;&gt;"Accepted",G5&lt;&gt;"Not Needed",Settings!$C$15="Yes"),", "&amp;G$1,"")&amp;IF(AND(H5&lt;&gt;"Accepted",H5&lt;&gt;"Not Needed",Settings!$D$15="Yes"),", "&amp;H$1,"")&amp;IF(AND(I5&lt;&gt;"Accepted",I5&lt;&gt;"Not Needed",Settings!$E$15="Yes"),", "&amp;I$1,"")&amp;IF(AND(J5&lt;&gt;"Accepted",J5&lt;&gt;"Not Needed",Settings!$F$15="Yes"),", "&amp;J$1,"")&amp;IF(AND(K5&lt;&gt;"Accepted",K5&lt;&gt;"Not Needed",Settings!$G$15="Yes"),", "&amp;K$1,"")&amp;IF(AND(L5&lt;&gt;"Accepted",L5&lt;&gt;"Not Needed",Settings!$H$15="Yes"),", "&amp;L$1,"")&amp;IF(AND(M5&lt;&gt;"Accepted",M5&lt;&gt;"Not Needed",Settings!$I$15="Yes"),", "&amp;M$1,"")&amp;IF(AND(N5&lt;&gt;"Accepted",N5&lt;&gt;"Not Needed",Settings!$J$15="Yes"),", "&amp;N$1,""),3,400))))</f>
        <v/>
      </c>
    </row>
    <row r="6" ht="15" customHeight="1" s="21">
      <c r="A6" s="31" t="inlineStr">
        <is>
          <t>2026-27</t>
        </is>
      </c>
      <c r="B6" s="31" t="inlineStr">
        <is>
          <t>Barrick ES</t>
        </is>
      </c>
      <c r="C6" s="31" t="inlineStr">
        <is>
          <t>NES Elementary</t>
        </is>
      </c>
      <c r="D6" s="31" t="inlineStr">
        <is>
          <t>Not Yet Confirmed</t>
        </is>
      </c>
      <c r="E6" s="31" t="n"/>
      <c r="F6" s="31" t="n"/>
      <c r="G6" s="31" t="inlineStr">
        <is>
          <t>Not Received</t>
        </is>
      </c>
      <c r="H6" s="31" t="inlineStr">
        <is>
          <t>Not Received</t>
        </is>
      </c>
      <c r="I6" s="31" t="inlineStr">
        <is>
          <t>Not Received</t>
        </is>
      </c>
      <c r="J6" s="31" t="inlineStr">
        <is>
          <t>Not Received</t>
        </is>
      </c>
      <c r="K6" s="31" t="inlineStr">
        <is>
          <t>Not Received</t>
        </is>
      </c>
      <c r="L6" s="31" t="inlineStr">
        <is>
          <t>Not Received</t>
        </is>
      </c>
      <c r="M6" s="31" t="inlineStr">
        <is>
          <t>Not Received</t>
        </is>
      </c>
      <c r="N6" s="31" t="inlineStr">
        <is>
          <t>Not Received</t>
        </is>
      </c>
      <c r="O6" s="32">
        <f>IF($B6="","",COUNTIF(G6:N6,"Accepted")+COUNTIF(G6:N6,"Received")+COUNTIF(G6:N6,"Needs Correction"))</f>
        <v/>
      </c>
      <c r="P6" s="32">
        <f>IF($B6="","",SUMPRODUCT(((G6:N6="Accepted")+(G6:N6="Not Needed"))*(Settings!$C$11:$J$11="Yes")))</f>
        <v/>
      </c>
      <c r="Q6" s="32">
        <f>IF($B6="","",SUMPRODUCT(((G6:N6="Accepted")+(G6:N6="Not Needed"))*(Settings!$C$15:$J$15="Yes")))</f>
        <v/>
      </c>
      <c r="R6" s="33">
        <f>IF($B6="","",IF($D6="No","No PTO/PTA",IF($D6&lt;&gt;"Yes","Not Yet Confirmed",IF($Q6&gt;=Settings!$C$13,"Legalized",IF($P6&gt;=Settings!$C$12,"Registered",IF($O6&gt;0,"In Progress","Not Started"))))))</f>
        <v/>
      </c>
      <c r="S6" s="32">
        <f>IF($B6="","",COUNTIF(G6:N6,"Received"))</f>
        <v/>
      </c>
      <c r="T6" s="32">
        <f>IF($B6="","",COUNTIF(G6:N6,"Needs Correction"))</f>
        <v/>
      </c>
      <c r="U6" s="33">
        <f>IF($B6="","",IF($D6&lt;&gt;"Yes","",IF($Q6&gt;=Settings!$C$13,"None",MID(IF(AND(G6&lt;&gt;"Accepted",G6&lt;&gt;"Not Needed",Settings!$C$15="Yes"),", "&amp;G$1,"")&amp;IF(AND(H6&lt;&gt;"Accepted",H6&lt;&gt;"Not Needed",Settings!$D$15="Yes"),", "&amp;H$1,"")&amp;IF(AND(I6&lt;&gt;"Accepted",I6&lt;&gt;"Not Needed",Settings!$E$15="Yes"),", "&amp;I$1,"")&amp;IF(AND(J6&lt;&gt;"Accepted",J6&lt;&gt;"Not Needed",Settings!$F$15="Yes"),", "&amp;J$1,"")&amp;IF(AND(K6&lt;&gt;"Accepted",K6&lt;&gt;"Not Needed",Settings!$G$15="Yes"),", "&amp;K$1,"")&amp;IF(AND(L6&lt;&gt;"Accepted",L6&lt;&gt;"Not Needed",Settings!$H$15="Yes"),", "&amp;L$1,"")&amp;IF(AND(M6&lt;&gt;"Accepted",M6&lt;&gt;"Not Needed",Settings!$I$15="Yes"),", "&amp;M$1,"")&amp;IF(AND(N6&lt;&gt;"Accepted",N6&lt;&gt;"Not Needed",Settings!$J$15="Yes"),", "&amp;N$1,""),3,400))))</f>
        <v/>
      </c>
    </row>
    <row r="7" ht="15" customHeight="1" s="21">
      <c r="A7" s="31" t="inlineStr">
        <is>
          <t>2026-27</t>
        </is>
      </c>
      <c r="B7" s="31" t="inlineStr">
        <is>
          <t>Bastian ES</t>
        </is>
      </c>
      <c r="C7" s="31" t="inlineStr">
        <is>
          <t>NES Elementary</t>
        </is>
      </c>
      <c r="D7" s="31" t="inlineStr">
        <is>
          <t>No</t>
        </is>
      </c>
      <c r="E7" s="31" t="n"/>
      <c r="F7" s="31" t="n"/>
      <c r="G7" s="31" t="inlineStr">
        <is>
          <t>Not Received</t>
        </is>
      </c>
      <c r="H7" s="31" t="inlineStr">
        <is>
          <t>Not Received</t>
        </is>
      </c>
      <c r="I7" s="31" t="inlineStr">
        <is>
          <t>Not Received</t>
        </is>
      </c>
      <c r="J7" s="31" t="inlineStr">
        <is>
          <t>Not Received</t>
        </is>
      </c>
      <c r="K7" s="31" t="inlineStr">
        <is>
          <t>Not Received</t>
        </is>
      </c>
      <c r="L7" s="31" t="inlineStr">
        <is>
          <t>Not Received</t>
        </is>
      </c>
      <c r="M7" s="31" t="inlineStr">
        <is>
          <t>Not Received</t>
        </is>
      </c>
      <c r="N7" s="31" t="inlineStr">
        <is>
          <t>Not Received</t>
        </is>
      </c>
      <c r="O7" s="32">
        <f>IF($B7="","",COUNTIF(G7:N7,"Accepted")+COUNTIF(G7:N7,"Received")+COUNTIF(G7:N7,"Needs Correction"))</f>
        <v/>
      </c>
      <c r="P7" s="32">
        <f>IF($B7="","",SUMPRODUCT(((G7:N7="Accepted")+(G7:N7="Not Needed"))*(Settings!$C$11:$J$11="Yes")))</f>
        <v/>
      </c>
      <c r="Q7" s="32">
        <f>IF($B7="","",SUMPRODUCT(((G7:N7="Accepted")+(G7:N7="Not Needed"))*(Settings!$C$15:$J$15="Yes")))</f>
        <v/>
      </c>
      <c r="R7" s="33">
        <f>IF($B7="","",IF($D7="No","No PTO/PTA",IF($D7&lt;&gt;"Yes","Not Yet Confirmed",IF($Q7&gt;=Settings!$C$13,"Legalized",IF($P7&gt;=Settings!$C$12,"Registered",IF($O7&gt;0,"In Progress","Not Started"))))))</f>
        <v/>
      </c>
      <c r="S7" s="32">
        <f>IF($B7="","",COUNTIF(G7:N7,"Received"))</f>
        <v/>
      </c>
      <c r="T7" s="32">
        <f>IF($B7="","",COUNTIF(G7:N7,"Needs Correction"))</f>
        <v/>
      </c>
      <c r="U7" s="33">
        <f>IF($B7="","",IF($D7&lt;&gt;"Yes","",IF($Q7&gt;=Settings!$C$13,"None",MID(IF(AND(G7&lt;&gt;"Accepted",G7&lt;&gt;"Not Needed",Settings!$C$15="Yes"),", "&amp;G$1,"")&amp;IF(AND(H7&lt;&gt;"Accepted",H7&lt;&gt;"Not Needed",Settings!$D$15="Yes"),", "&amp;H$1,"")&amp;IF(AND(I7&lt;&gt;"Accepted",I7&lt;&gt;"Not Needed",Settings!$E$15="Yes"),", "&amp;I$1,"")&amp;IF(AND(J7&lt;&gt;"Accepted",J7&lt;&gt;"Not Needed",Settings!$F$15="Yes"),", "&amp;J$1,"")&amp;IF(AND(K7&lt;&gt;"Accepted",K7&lt;&gt;"Not Needed",Settings!$G$15="Yes"),", "&amp;K$1,"")&amp;IF(AND(L7&lt;&gt;"Accepted",L7&lt;&gt;"Not Needed",Settings!$H$15="Yes"),", "&amp;L$1,"")&amp;IF(AND(M7&lt;&gt;"Accepted",M7&lt;&gt;"Not Needed",Settings!$I$15="Yes"),", "&amp;M$1,"")&amp;IF(AND(N7&lt;&gt;"Accepted",N7&lt;&gt;"Not Needed",Settings!$J$15="Yes"),", "&amp;N$1,""),3,400))))</f>
        <v/>
      </c>
    </row>
    <row r="8" ht="15" customHeight="1" s="21">
      <c r="A8" s="31" t="inlineStr">
        <is>
          <t>2026-27</t>
        </is>
      </c>
      <c r="B8" s="31" t="inlineStr">
        <is>
          <t>Benbrook ES</t>
        </is>
      </c>
      <c r="C8" s="31" t="inlineStr">
        <is>
          <t>NES Elementary</t>
        </is>
      </c>
      <c r="D8" s="31" t="inlineStr">
        <is>
          <t>No</t>
        </is>
      </c>
      <c r="E8" s="31" t="n"/>
      <c r="F8" s="31" t="n"/>
      <c r="G8" s="31" t="inlineStr">
        <is>
          <t>Not Received</t>
        </is>
      </c>
      <c r="H8" s="31" t="inlineStr">
        <is>
          <t>Not Received</t>
        </is>
      </c>
      <c r="I8" s="31" t="inlineStr">
        <is>
          <t>Not Received</t>
        </is>
      </c>
      <c r="J8" s="31" t="inlineStr">
        <is>
          <t>Not Received</t>
        </is>
      </c>
      <c r="K8" s="31" t="inlineStr">
        <is>
          <t>Not Received</t>
        </is>
      </c>
      <c r="L8" s="31" t="inlineStr">
        <is>
          <t>Not Received</t>
        </is>
      </c>
      <c r="M8" s="31" t="inlineStr">
        <is>
          <t>Not Received</t>
        </is>
      </c>
      <c r="N8" s="31" t="inlineStr">
        <is>
          <t>Not Received</t>
        </is>
      </c>
      <c r="O8" s="32">
        <f>IF($B8="","",COUNTIF(G8:N8,"Accepted")+COUNTIF(G8:N8,"Received")+COUNTIF(G8:N8,"Needs Correction"))</f>
        <v/>
      </c>
      <c r="P8" s="32">
        <f>IF($B8="","",SUMPRODUCT(((G8:N8="Accepted")+(G8:N8="Not Needed"))*(Settings!$C$11:$J$11="Yes")))</f>
        <v/>
      </c>
      <c r="Q8" s="32">
        <f>IF($B8="","",SUMPRODUCT(((G8:N8="Accepted")+(G8:N8="Not Needed"))*(Settings!$C$15:$J$15="Yes")))</f>
        <v/>
      </c>
      <c r="R8" s="33">
        <f>IF($B8="","",IF($D8="No","No PTO/PTA",IF($D8&lt;&gt;"Yes","Not Yet Confirmed",IF($Q8&gt;=Settings!$C$13,"Legalized",IF($P8&gt;=Settings!$C$12,"Registered",IF($O8&gt;0,"In Progress","Not Started"))))))</f>
        <v/>
      </c>
      <c r="S8" s="32">
        <f>IF($B8="","",COUNTIF(G8:N8,"Received"))</f>
        <v/>
      </c>
      <c r="T8" s="32">
        <f>IF($B8="","",COUNTIF(G8:N8,"Needs Correction"))</f>
        <v/>
      </c>
      <c r="U8" s="33">
        <f>IF($B8="","",IF($D8&lt;&gt;"Yes","",IF($Q8&gt;=Settings!$C$13,"None",MID(IF(AND(G8&lt;&gt;"Accepted",G8&lt;&gt;"Not Needed",Settings!$C$15="Yes"),", "&amp;G$1,"")&amp;IF(AND(H8&lt;&gt;"Accepted",H8&lt;&gt;"Not Needed",Settings!$D$15="Yes"),", "&amp;H$1,"")&amp;IF(AND(I8&lt;&gt;"Accepted",I8&lt;&gt;"Not Needed",Settings!$E$15="Yes"),", "&amp;I$1,"")&amp;IF(AND(J8&lt;&gt;"Accepted",J8&lt;&gt;"Not Needed",Settings!$F$15="Yes"),", "&amp;J$1,"")&amp;IF(AND(K8&lt;&gt;"Accepted",K8&lt;&gt;"Not Needed",Settings!$G$15="Yes"),", "&amp;K$1,"")&amp;IF(AND(L8&lt;&gt;"Accepted",L8&lt;&gt;"Not Needed",Settings!$H$15="Yes"),", "&amp;L$1,"")&amp;IF(AND(M8&lt;&gt;"Accepted",M8&lt;&gt;"Not Needed",Settings!$I$15="Yes"),", "&amp;M$1,"")&amp;IF(AND(N8&lt;&gt;"Accepted",N8&lt;&gt;"Not Needed",Settings!$J$15="Yes"),", "&amp;N$1,""),3,400))))</f>
        <v/>
      </c>
    </row>
    <row r="9" ht="15" customHeight="1" s="21">
      <c r="A9" s="31" t="inlineStr">
        <is>
          <t>2026-27</t>
        </is>
      </c>
      <c r="B9" s="31" t="inlineStr">
        <is>
          <t>Berry ES</t>
        </is>
      </c>
      <c r="C9" s="31" t="inlineStr">
        <is>
          <t>NES Elementary</t>
        </is>
      </c>
      <c r="D9" s="31" t="inlineStr">
        <is>
          <t>Not Yet Confirmed</t>
        </is>
      </c>
      <c r="E9" s="31" t="n"/>
      <c r="F9" s="31" t="n"/>
      <c r="G9" s="31" t="inlineStr">
        <is>
          <t>Not Received</t>
        </is>
      </c>
      <c r="H9" s="31" t="inlineStr">
        <is>
          <t>Not Received</t>
        </is>
      </c>
      <c r="I9" s="31" t="inlineStr">
        <is>
          <t>Not Received</t>
        </is>
      </c>
      <c r="J9" s="31" t="inlineStr">
        <is>
          <t>Not Received</t>
        </is>
      </c>
      <c r="K9" s="31" t="inlineStr">
        <is>
          <t>Not Received</t>
        </is>
      </c>
      <c r="L9" s="31" t="inlineStr">
        <is>
          <t>Not Received</t>
        </is>
      </c>
      <c r="M9" s="31" t="inlineStr">
        <is>
          <t>Not Received</t>
        </is>
      </c>
      <c r="N9" s="31" t="inlineStr">
        <is>
          <t>Not Received</t>
        </is>
      </c>
      <c r="O9" s="32">
        <f>IF($B9="","",COUNTIF(G9:N9,"Accepted")+COUNTIF(G9:N9,"Received")+COUNTIF(G9:N9,"Needs Correction"))</f>
        <v/>
      </c>
      <c r="P9" s="32">
        <f>IF($B9="","",SUMPRODUCT(((G9:N9="Accepted")+(G9:N9="Not Needed"))*(Settings!$C$11:$J$11="Yes")))</f>
        <v/>
      </c>
      <c r="Q9" s="32">
        <f>IF($B9="","",SUMPRODUCT(((G9:N9="Accepted")+(G9:N9="Not Needed"))*(Settings!$C$15:$J$15="Yes")))</f>
        <v/>
      </c>
      <c r="R9" s="33">
        <f>IF($B9="","",IF($D9="No","No PTO/PTA",IF($D9&lt;&gt;"Yes","Not Yet Confirmed",IF($Q9&gt;=Settings!$C$13,"Legalized",IF($P9&gt;=Settings!$C$12,"Registered",IF($O9&gt;0,"In Progress","Not Started"))))))</f>
        <v/>
      </c>
      <c r="S9" s="32">
        <f>IF($B9="","",COUNTIF(G9:N9,"Received"))</f>
        <v/>
      </c>
      <c r="T9" s="32">
        <f>IF($B9="","",COUNTIF(G9:N9,"Needs Correction"))</f>
        <v/>
      </c>
      <c r="U9" s="33">
        <f>IF($B9="","",IF($D9&lt;&gt;"Yes","",IF($Q9&gt;=Settings!$C$13,"None",MID(IF(AND(G9&lt;&gt;"Accepted",G9&lt;&gt;"Not Needed",Settings!$C$15="Yes"),", "&amp;G$1,"")&amp;IF(AND(H9&lt;&gt;"Accepted",H9&lt;&gt;"Not Needed",Settings!$D$15="Yes"),", "&amp;H$1,"")&amp;IF(AND(I9&lt;&gt;"Accepted",I9&lt;&gt;"Not Needed",Settings!$E$15="Yes"),", "&amp;I$1,"")&amp;IF(AND(J9&lt;&gt;"Accepted",J9&lt;&gt;"Not Needed",Settings!$F$15="Yes"),", "&amp;J$1,"")&amp;IF(AND(K9&lt;&gt;"Accepted",K9&lt;&gt;"Not Needed",Settings!$G$15="Yes"),", "&amp;K$1,"")&amp;IF(AND(L9&lt;&gt;"Accepted",L9&lt;&gt;"Not Needed",Settings!$H$15="Yes"),", "&amp;L$1,"")&amp;IF(AND(M9&lt;&gt;"Accepted",M9&lt;&gt;"Not Needed",Settings!$I$15="Yes"),", "&amp;M$1,"")&amp;IF(AND(N9&lt;&gt;"Accepted",N9&lt;&gt;"Not Needed",Settings!$J$15="Yes"),", "&amp;N$1,""),3,400))))</f>
        <v/>
      </c>
    </row>
    <row r="10" ht="15" customHeight="1" s="21">
      <c r="A10" s="31" t="inlineStr">
        <is>
          <t>2026-27</t>
        </is>
      </c>
      <c r="B10" s="31" t="inlineStr">
        <is>
          <t>Blackshear ES</t>
        </is>
      </c>
      <c r="C10" s="31" t="inlineStr">
        <is>
          <t>NES Elementary</t>
        </is>
      </c>
      <c r="D10" s="31" t="inlineStr">
        <is>
          <t>Not Yet Confirmed</t>
        </is>
      </c>
      <c r="E10" s="31" t="n"/>
      <c r="F10" s="31" t="n"/>
      <c r="G10" s="31" t="inlineStr">
        <is>
          <t>Not Received</t>
        </is>
      </c>
      <c r="H10" s="31" t="inlineStr">
        <is>
          <t>Not Received</t>
        </is>
      </c>
      <c r="I10" s="31" t="inlineStr">
        <is>
          <t>Not Received</t>
        </is>
      </c>
      <c r="J10" s="31" t="inlineStr">
        <is>
          <t>Not Received</t>
        </is>
      </c>
      <c r="K10" s="31" t="inlineStr">
        <is>
          <t>Not Received</t>
        </is>
      </c>
      <c r="L10" s="31" t="inlineStr">
        <is>
          <t>Not Received</t>
        </is>
      </c>
      <c r="M10" s="31" t="inlineStr">
        <is>
          <t>Not Received</t>
        </is>
      </c>
      <c r="N10" s="31" t="inlineStr">
        <is>
          <t>Not Received</t>
        </is>
      </c>
      <c r="O10" s="32">
        <f>IF($B10="","",COUNTIF(G10:N10,"Accepted")+COUNTIF(G10:N10,"Received")+COUNTIF(G10:N10,"Needs Correction"))</f>
        <v/>
      </c>
      <c r="P10" s="32">
        <f>IF($B10="","",SUMPRODUCT(((G10:N10="Accepted")+(G10:N10="Not Needed"))*(Settings!$C$11:$J$11="Yes")))</f>
        <v/>
      </c>
      <c r="Q10" s="32">
        <f>IF($B10="","",SUMPRODUCT(((G10:N10="Accepted")+(G10:N10="Not Needed"))*(Settings!$C$15:$J$15="Yes")))</f>
        <v/>
      </c>
      <c r="R10" s="33">
        <f>IF($B10="","",IF($D10="No","No PTO/PTA",IF($D10&lt;&gt;"Yes","Not Yet Confirmed",IF($Q10&gt;=Settings!$C$13,"Legalized",IF($P10&gt;=Settings!$C$12,"Registered",IF($O10&gt;0,"In Progress","Not Started"))))))</f>
        <v/>
      </c>
      <c r="S10" s="32">
        <f>IF($B10="","",COUNTIF(G10:N10,"Received"))</f>
        <v/>
      </c>
      <c r="T10" s="32">
        <f>IF($B10="","",COUNTIF(G10:N10,"Needs Correction"))</f>
        <v/>
      </c>
      <c r="U10" s="33">
        <f>IF($B10="","",IF($D10&lt;&gt;"Yes","",IF($Q10&gt;=Settings!$C$13,"None",MID(IF(AND(G10&lt;&gt;"Accepted",G10&lt;&gt;"Not Needed",Settings!$C$15="Yes"),", "&amp;G$1,"")&amp;IF(AND(H10&lt;&gt;"Accepted",H10&lt;&gt;"Not Needed",Settings!$D$15="Yes"),", "&amp;H$1,"")&amp;IF(AND(I10&lt;&gt;"Accepted",I10&lt;&gt;"Not Needed",Settings!$E$15="Yes"),", "&amp;I$1,"")&amp;IF(AND(J10&lt;&gt;"Accepted",J10&lt;&gt;"Not Needed",Settings!$F$15="Yes"),", "&amp;J$1,"")&amp;IF(AND(K10&lt;&gt;"Accepted",K10&lt;&gt;"Not Needed",Settings!$G$15="Yes"),", "&amp;K$1,"")&amp;IF(AND(L10&lt;&gt;"Accepted",L10&lt;&gt;"Not Needed",Settings!$H$15="Yes"),", "&amp;L$1,"")&amp;IF(AND(M10&lt;&gt;"Accepted",M10&lt;&gt;"Not Needed",Settings!$I$15="Yes"),", "&amp;M$1,"")&amp;IF(AND(N10&lt;&gt;"Accepted",N10&lt;&gt;"Not Needed",Settings!$J$15="Yes"),", "&amp;N$1,""),3,400))))</f>
        <v/>
      </c>
    </row>
    <row r="11" ht="15" customHeight="1" s="21">
      <c r="A11" s="31" t="inlineStr">
        <is>
          <t>2026-27</t>
        </is>
      </c>
      <c r="B11" s="31" t="inlineStr">
        <is>
          <t>Bonham ES</t>
        </is>
      </c>
      <c r="C11" s="31" t="inlineStr">
        <is>
          <t>NES Elementary</t>
        </is>
      </c>
      <c r="D11" s="31" t="inlineStr">
        <is>
          <t>Not Yet Confirmed</t>
        </is>
      </c>
      <c r="E11" s="31" t="n"/>
      <c r="F11" s="31" t="n"/>
      <c r="G11" s="31" t="inlineStr">
        <is>
          <t>Not Received</t>
        </is>
      </c>
      <c r="H11" s="31" t="inlineStr">
        <is>
          <t>Not Received</t>
        </is>
      </c>
      <c r="I11" s="31" t="inlineStr">
        <is>
          <t>Not Received</t>
        </is>
      </c>
      <c r="J11" s="31" t="inlineStr">
        <is>
          <t>Not Received</t>
        </is>
      </c>
      <c r="K11" s="31" t="inlineStr">
        <is>
          <t>Not Received</t>
        </is>
      </c>
      <c r="L11" s="31" t="inlineStr">
        <is>
          <t>Not Received</t>
        </is>
      </c>
      <c r="M11" s="31" t="inlineStr">
        <is>
          <t>Not Received</t>
        </is>
      </c>
      <c r="N11" s="31" t="inlineStr">
        <is>
          <t>Not Received</t>
        </is>
      </c>
      <c r="O11" s="32">
        <f>IF($B11="","",COUNTIF(G11:N11,"Accepted")+COUNTIF(G11:N11,"Received")+COUNTIF(G11:N11,"Needs Correction"))</f>
        <v/>
      </c>
      <c r="P11" s="32">
        <f>IF($B11="","",SUMPRODUCT(((G11:N11="Accepted")+(G11:N11="Not Needed"))*(Settings!$C$11:$J$11="Yes")))</f>
        <v/>
      </c>
      <c r="Q11" s="32">
        <f>IF($B11="","",SUMPRODUCT(((G11:N11="Accepted")+(G11:N11="Not Needed"))*(Settings!$C$15:$J$15="Yes")))</f>
        <v/>
      </c>
      <c r="R11" s="33">
        <f>IF($B11="","",IF($D11="No","No PTO/PTA",IF($D11&lt;&gt;"Yes","Not Yet Confirmed",IF($Q11&gt;=Settings!$C$13,"Legalized",IF($P11&gt;=Settings!$C$12,"Registered",IF($O11&gt;0,"In Progress","Not Started"))))))</f>
        <v/>
      </c>
      <c r="S11" s="32">
        <f>IF($B11="","",COUNTIF(G11:N11,"Received"))</f>
        <v/>
      </c>
      <c r="T11" s="32">
        <f>IF($B11="","",COUNTIF(G11:N11,"Needs Correction"))</f>
        <v/>
      </c>
      <c r="U11" s="33">
        <f>IF($B11="","",IF($D11&lt;&gt;"Yes","",IF($Q11&gt;=Settings!$C$13,"None",MID(IF(AND(G11&lt;&gt;"Accepted",G11&lt;&gt;"Not Needed",Settings!$C$15="Yes"),", "&amp;G$1,"")&amp;IF(AND(H11&lt;&gt;"Accepted",H11&lt;&gt;"Not Needed",Settings!$D$15="Yes"),", "&amp;H$1,"")&amp;IF(AND(I11&lt;&gt;"Accepted",I11&lt;&gt;"Not Needed",Settings!$E$15="Yes"),", "&amp;I$1,"")&amp;IF(AND(J11&lt;&gt;"Accepted",J11&lt;&gt;"Not Needed",Settings!$F$15="Yes"),", "&amp;J$1,"")&amp;IF(AND(K11&lt;&gt;"Accepted",K11&lt;&gt;"Not Needed",Settings!$G$15="Yes"),", "&amp;K$1,"")&amp;IF(AND(L11&lt;&gt;"Accepted",L11&lt;&gt;"Not Needed",Settings!$H$15="Yes"),", "&amp;L$1,"")&amp;IF(AND(M11&lt;&gt;"Accepted",M11&lt;&gt;"Not Needed",Settings!$I$15="Yes"),", "&amp;M$1,"")&amp;IF(AND(N11&lt;&gt;"Accepted",N11&lt;&gt;"Not Needed",Settings!$J$15="Yes"),", "&amp;N$1,""),3,400))))</f>
        <v/>
      </c>
    </row>
    <row r="12" ht="15" customHeight="1" s="21">
      <c r="A12" s="31" t="inlineStr">
        <is>
          <t>2026-27</t>
        </is>
      </c>
      <c r="B12" s="31" t="inlineStr">
        <is>
          <t>Bonner ES</t>
        </is>
      </c>
      <c r="C12" s="31" t="inlineStr">
        <is>
          <t>NES Elementary</t>
        </is>
      </c>
      <c r="D12" s="31" t="inlineStr">
        <is>
          <t>Not Yet Confirmed</t>
        </is>
      </c>
      <c r="E12" s="31" t="n"/>
      <c r="F12" s="31" t="n"/>
      <c r="G12" s="31" t="inlineStr">
        <is>
          <t>Not Received</t>
        </is>
      </c>
      <c r="H12" s="31" t="inlineStr">
        <is>
          <t>Not Received</t>
        </is>
      </c>
      <c r="I12" s="31" t="inlineStr">
        <is>
          <t>Not Received</t>
        </is>
      </c>
      <c r="J12" s="31" t="inlineStr">
        <is>
          <t>Not Received</t>
        </is>
      </c>
      <c r="K12" s="31" t="inlineStr">
        <is>
          <t>Not Received</t>
        </is>
      </c>
      <c r="L12" s="31" t="inlineStr">
        <is>
          <t>Not Received</t>
        </is>
      </c>
      <c r="M12" s="31" t="inlineStr">
        <is>
          <t>Not Received</t>
        </is>
      </c>
      <c r="N12" s="31" t="inlineStr">
        <is>
          <t>Not Received</t>
        </is>
      </c>
      <c r="O12" s="32">
        <f>IF($B12="","",COUNTIF(G12:N12,"Accepted")+COUNTIF(G12:N12,"Received")+COUNTIF(G12:N12,"Needs Correction"))</f>
        <v/>
      </c>
      <c r="P12" s="32">
        <f>IF($B12="","",SUMPRODUCT(((G12:N12="Accepted")+(G12:N12="Not Needed"))*(Settings!$C$11:$J$11="Yes")))</f>
        <v/>
      </c>
      <c r="Q12" s="32">
        <f>IF($B12="","",SUMPRODUCT(((G12:N12="Accepted")+(G12:N12="Not Needed"))*(Settings!$C$15:$J$15="Yes")))</f>
        <v/>
      </c>
      <c r="R12" s="33">
        <f>IF($B12="","",IF($D12="No","No PTO/PTA",IF($D12&lt;&gt;"Yes","Not Yet Confirmed",IF($Q12&gt;=Settings!$C$13,"Legalized",IF($P12&gt;=Settings!$C$12,"Registered",IF($O12&gt;0,"In Progress","Not Started"))))))</f>
        <v/>
      </c>
      <c r="S12" s="32">
        <f>IF($B12="","",COUNTIF(G12:N12,"Received"))</f>
        <v/>
      </c>
      <c r="T12" s="32">
        <f>IF($B12="","",COUNTIF(G12:N12,"Needs Correction"))</f>
        <v/>
      </c>
      <c r="U12" s="33">
        <f>IF($B12="","",IF($D12&lt;&gt;"Yes","",IF($Q12&gt;=Settings!$C$13,"None",MID(IF(AND(G12&lt;&gt;"Accepted",G12&lt;&gt;"Not Needed",Settings!$C$15="Yes"),", "&amp;G$1,"")&amp;IF(AND(H12&lt;&gt;"Accepted",H12&lt;&gt;"Not Needed",Settings!$D$15="Yes"),", "&amp;H$1,"")&amp;IF(AND(I12&lt;&gt;"Accepted",I12&lt;&gt;"Not Needed",Settings!$E$15="Yes"),", "&amp;I$1,"")&amp;IF(AND(J12&lt;&gt;"Accepted",J12&lt;&gt;"Not Needed",Settings!$F$15="Yes"),", "&amp;J$1,"")&amp;IF(AND(K12&lt;&gt;"Accepted",K12&lt;&gt;"Not Needed",Settings!$G$15="Yes"),", "&amp;K$1,"")&amp;IF(AND(L12&lt;&gt;"Accepted",L12&lt;&gt;"Not Needed",Settings!$H$15="Yes"),", "&amp;L$1,"")&amp;IF(AND(M12&lt;&gt;"Accepted",M12&lt;&gt;"Not Needed",Settings!$I$15="Yes"),", "&amp;M$1,"")&amp;IF(AND(N12&lt;&gt;"Accepted",N12&lt;&gt;"Not Needed",Settings!$J$15="Yes"),", "&amp;N$1,""),3,400))))</f>
        <v/>
      </c>
    </row>
    <row r="13" ht="15" customHeight="1" s="21">
      <c r="A13" s="31" t="inlineStr">
        <is>
          <t>2026-27</t>
        </is>
      </c>
      <c r="B13" s="31" t="inlineStr">
        <is>
          <t>Browning ES</t>
        </is>
      </c>
      <c r="C13" s="31" t="inlineStr">
        <is>
          <t>NES Elementary</t>
        </is>
      </c>
      <c r="D13" s="31" t="inlineStr">
        <is>
          <t>Yes</t>
        </is>
      </c>
      <c r="E13" s="31" t="inlineStr">
        <is>
          <t>PTA</t>
        </is>
      </c>
      <c r="F13" s="31" t="n"/>
      <c r="G13" s="31" t="inlineStr">
        <is>
          <t>Accepted</t>
        </is>
      </c>
      <c r="H13" s="31" t="inlineStr">
        <is>
          <t>Not Received</t>
        </is>
      </c>
      <c r="I13" s="31" t="inlineStr">
        <is>
          <t>Not Received</t>
        </is>
      </c>
      <c r="J13" s="31" t="inlineStr">
        <is>
          <t>Not Received</t>
        </is>
      </c>
      <c r="K13" s="31" t="inlineStr">
        <is>
          <t>Accepted</t>
        </is>
      </c>
      <c r="L13" s="31" t="inlineStr">
        <is>
          <t>Accepted</t>
        </is>
      </c>
      <c r="M13" s="31" t="inlineStr">
        <is>
          <t>Not Received</t>
        </is>
      </c>
      <c r="N13" s="31" t="inlineStr">
        <is>
          <t>Not Received</t>
        </is>
      </c>
      <c r="O13" s="32">
        <f>IF($B13="","",COUNTIF(G13:N13,"Accepted")+COUNTIF(G13:N13,"Received")+COUNTIF(G13:N13,"Needs Correction"))</f>
        <v/>
      </c>
      <c r="P13" s="32">
        <f>IF($B13="","",SUMPRODUCT(((G13:N13="Accepted")+(G13:N13="Not Needed"))*(Settings!$C$11:$J$11="Yes")))</f>
        <v/>
      </c>
      <c r="Q13" s="32">
        <f>IF($B13="","",SUMPRODUCT(((G13:N13="Accepted")+(G13:N13="Not Needed"))*(Settings!$C$15:$J$15="Yes")))</f>
        <v/>
      </c>
      <c r="R13" s="33">
        <f>IF($B13="","",IF($D13="No","No PTO/PTA",IF($D13&lt;&gt;"Yes","Not Yet Confirmed",IF($Q13&gt;=Settings!$C$13,"Legalized",IF($P13&gt;=Settings!$C$12,"Registered",IF($O13&gt;0,"In Progress","Not Started"))))))</f>
        <v/>
      </c>
      <c r="S13" s="32">
        <f>IF($B13="","",COUNTIF(G13:N13,"Received"))</f>
        <v/>
      </c>
      <c r="T13" s="32">
        <f>IF($B13="","",COUNTIF(G13:N13,"Needs Correction"))</f>
        <v/>
      </c>
      <c r="U13" s="33">
        <f>IF($B13="","",IF($D13&lt;&gt;"Yes","",IF($Q13&gt;=Settings!$C$13,"None",MID(IF(AND(G13&lt;&gt;"Accepted",G13&lt;&gt;"Not Needed",Settings!$C$15="Yes"),", "&amp;G$1,"")&amp;IF(AND(H13&lt;&gt;"Accepted",H13&lt;&gt;"Not Needed",Settings!$D$15="Yes"),", "&amp;H$1,"")&amp;IF(AND(I13&lt;&gt;"Accepted",I13&lt;&gt;"Not Needed",Settings!$E$15="Yes"),", "&amp;I$1,"")&amp;IF(AND(J13&lt;&gt;"Accepted",J13&lt;&gt;"Not Needed",Settings!$F$15="Yes"),", "&amp;J$1,"")&amp;IF(AND(K13&lt;&gt;"Accepted",K13&lt;&gt;"Not Needed",Settings!$G$15="Yes"),", "&amp;K$1,"")&amp;IF(AND(L13&lt;&gt;"Accepted",L13&lt;&gt;"Not Needed",Settings!$H$15="Yes"),", "&amp;L$1,"")&amp;IF(AND(M13&lt;&gt;"Accepted",M13&lt;&gt;"Not Needed",Settings!$I$15="Yes"),", "&amp;M$1,"")&amp;IF(AND(N13&lt;&gt;"Accepted",N13&lt;&gt;"Not Needed",Settings!$J$15="Yes"),", "&amp;N$1,""),3,400))))</f>
        <v/>
      </c>
    </row>
    <row r="14" ht="15" customHeight="1" s="21">
      <c r="A14" s="31" t="inlineStr">
        <is>
          <t>2026-27</t>
        </is>
      </c>
      <c r="B14" s="31" t="inlineStr">
        <is>
          <t>Bruce ES</t>
        </is>
      </c>
      <c r="C14" s="31" t="inlineStr">
        <is>
          <t>NES Elementary</t>
        </is>
      </c>
      <c r="D14" s="31" t="inlineStr">
        <is>
          <t>No</t>
        </is>
      </c>
      <c r="E14" s="31" t="n"/>
      <c r="F14" s="31" t="n"/>
      <c r="G14" s="31" t="inlineStr">
        <is>
          <t>Not Received</t>
        </is>
      </c>
      <c r="H14" s="31" t="inlineStr">
        <is>
          <t>Not Received</t>
        </is>
      </c>
      <c r="I14" s="31" t="inlineStr">
        <is>
          <t>Not Received</t>
        </is>
      </c>
      <c r="J14" s="31" t="inlineStr">
        <is>
          <t>Not Received</t>
        </is>
      </c>
      <c r="K14" s="31" t="inlineStr">
        <is>
          <t>Not Received</t>
        </is>
      </c>
      <c r="L14" s="31" t="inlineStr">
        <is>
          <t>Not Received</t>
        </is>
      </c>
      <c r="M14" s="31" t="inlineStr">
        <is>
          <t>Not Received</t>
        </is>
      </c>
      <c r="N14" s="31" t="inlineStr">
        <is>
          <t>Not Received</t>
        </is>
      </c>
      <c r="O14" s="32">
        <f>IF($B14="","",COUNTIF(G14:N14,"Accepted")+COUNTIF(G14:N14,"Received")+COUNTIF(G14:N14,"Needs Correction"))</f>
        <v/>
      </c>
      <c r="P14" s="32">
        <f>IF($B14="","",SUMPRODUCT(((G14:N14="Accepted")+(G14:N14="Not Needed"))*(Settings!$C$11:$J$11="Yes")))</f>
        <v/>
      </c>
      <c r="Q14" s="32">
        <f>IF($B14="","",SUMPRODUCT(((G14:N14="Accepted")+(G14:N14="Not Needed"))*(Settings!$C$15:$J$15="Yes")))</f>
        <v/>
      </c>
      <c r="R14" s="33">
        <f>IF($B14="","",IF($D14="No","No PTO/PTA",IF($D14&lt;&gt;"Yes","Not Yet Confirmed",IF($Q14&gt;=Settings!$C$13,"Legalized",IF($P14&gt;=Settings!$C$12,"Registered",IF($O14&gt;0,"In Progress","Not Started"))))))</f>
        <v/>
      </c>
      <c r="S14" s="32">
        <f>IF($B14="","",COUNTIF(G14:N14,"Received"))</f>
        <v/>
      </c>
      <c r="T14" s="32">
        <f>IF($B14="","",COUNTIF(G14:N14,"Needs Correction"))</f>
        <v/>
      </c>
      <c r="U14" s="33">
        <f>IF($B14="","",IF($D14&lt;&gt;"Yes","",IF($Q14&gt;=Settings!$C$13,"None",MID(IF(AND(G14&lt;&gt;"Accepted",G14&lt;&gt;"Not Needed",Settings!$C$15="Yes"),", "&amp;G$1,"")&amp;IF(AND(H14&lt;&gt;"Accepted",H14&lt;&gt;"Not Needed",Settings!$D$15="Yes"),", "&amp;H$1,"")&amp;IF(AND(I14&lt;&gt;"Accepted",I14&lt;&gt;"Not Needed",Settings!$E$15="Yes"),", "&amp;I$1,"")&amp;IF(AND(J14&lt;&gt;"Accepted",J14&lt;&gt;"Not Needed",Settings!$F$15="Yes"),", "&amp;J$1,"")&amp;IF(AND(K14&lt;&gt;"Accepted",K14&lt;&gt;"Not Needed",Settings!$G$15="Yes"),", "&amp;K$1,"")&amp;IF(AND(L14&lt;&gt;"Accepted",L14&lt;&gt;"Not Needed",Settings!$H$15="Yes"),", "&amp;L$1,"")&amp;IF(AND(M14&lt;&gt;"Accepted",M14&lt;&gt;"Not Needed",Settings!$I$15="Yes"),", "&amp;M$1,"")&amp;IF(AND(N14&lt;&gt;"Accepted",N14&lt;&gt;"Not Needed",Settings!$J$15="Yes"),", "&amp;N$1,""),3,400))))</f>
        <v/>
      </c>
    </row>
    <row r="15" ht="15" customHeight="1" s="21">
      <c r="A15" s="31" t="inlineStr">
        <is>
          <t>2026-27</t>
        </is>
      </c>
      <c r="B15" s="31" t="inlineStr">
        <is>
          <t>Carrillo ES</t>
        </is>
      </c>
      <c r="C15" s="31" t="inlineStr">
        <is>
          <t>NES Elementary</t>
        </is>
      </c>
      <c r="D15" s="31" t="inlineStr">
        <is>
          <t>Not Yet Confirmed</t>
        </is>
      </c>
      <c r="E15" s="31" t="n"/>
      <c r="F15" s="31" t="n"/>
      <c r="G15" s="31" t="inlineStr">
        <is>
          <t>Not Received</t>
        </is>
      </c>
      <c r="H15" s="31" t="inlineStr">
        <is>
          <t>Not Received</t>
        </is>
      </c>
      <c r="I15" s="31" t="inlineStr">
        <is>
          <t>Not Received</t>
        </is>
      </c>
      <c r="J15" s="31" t="inlineStr">
        <is>
          <t>Not Received</t>
        </is>
      </c>
      <c r="K15" s="31" t="inlineStr">
        <is>
          <t>Not Received</t>
        </is>
      </c>
      <c r="L15" s="31" t="inlineStr">
        <is>
          <t>Not Received</t>
        </is>
      </c>
      <c r="M15" s="31" t="inlineStr">
        <is>
          <t>Not Received</t>
        </is>
      </c>
      <c r="N15" s="31" t="inlineStr">
        <is>
          <t>Not Received</t>
        </is>
      </c>
      <c r="O15" s="32">
        <f>IF($B15="","",COUNTIF(G15:N15,"Accepted")+COUNTIF(G15:N15,"Received")+COUNTIF(G15:N15,"Needs Correction"))</f>
        <v/>
      </c>
      <c r="P15" s="32">
        <f>IF($B15="","",SUMPRODUCT(((G15:N15="Accepted")+(G15:N15="Not Needed"))*(Settings!$C$11:$J$11="Yes")))</f>
        <v/>
      </c>
      <c r="Q15" s="32">
        <f>IF($B15="","",SUMPRODUCT(((G15:N15="Accepted")+(G15:N15="Not Needed"))*(Settings!$C$15:$J$15="Yes")))</f>
        <v/>
      </c>
      <c r="R15" s="33">
        <f>IF($B15="","",IF($D15="No","No PTO/PTA",IF($D15&lt;&gt;"Yes","Not Yet Confirmed",IF($Q15&gt;=Settings!$C$13,"Legalized",IF($P15&gt;=Settings!$C$12,"Registered",IF($O15&gt;0,"In Progress","Not Started"))))))</f>
        <v/>
      </c>
      <c r="S15" s="32">
        <f>IF($B15="","",COUNTIF(G15:N15,"Received"))</f>
        <v/>
      </c>
      <c r="T15" s="32">
        <f>IF($B15="","",COUNTIF(G15:N15,"Needs Correction"))</f>
        <v/>
      </c>
      <c r="U15" s="33">
        <f>IF($B15="","",IF($D15&lt;&gt;"Yes","",IF($Q15&gt;=Settings!$C$13,"None",MID(IF(AND(G15&lt;&gt;"Accepted",G15&lt;&gt;"Not Needed",Settings!$C$15="Yes"),", "&amp;G$1,"")&amp;IF(AND(H15&lt;&gt;"Accepted",H15&lt;&gt;"Not Needed",Settings!$D$15="Yes"),", "&amp;H$1,"")&amp;IF(AND(I15&lt;&gt;"Accepted",I15&lt;&gt;"Not Needed",Settings!$E$15="Yes"),", "&amp;I$1,"")&amp;IF(AND(J15&lt;&gt;"Accepted",J15&lt;&gt;"Not Needed",Settings!$F$15="Yes"),", "&amp;J$1,"")&amp;IF(AND(K15&lt;&gt;"Accepted",K15&lt;&gt;"Not Needed",Settings!$G$15="Yes"),", "&amp;K$1,"")&amp;IF(AND(L15&lt;&gt;"Accepted",L15&lt;&gt;"Not Needed",Settings!$H$15="Yes"),", "&amp;L$1,"")&amp;IF(AND(M15&lt;&gt;"Accepted",M15&lt;&gt;"Not Needed",Settings!$I$15="Yes"),", "&amp;M$1,"")&amp;IF(AND(N15&lt;&gt;"Accepted",N15&lt;&gt;"Not Needed",Settings!$J$15="Yes"),", "&amp;N$1,""),3,400))))</f>
        <v/>
      </c>
    </row>
    <row r="16" ht="15" customHeight="1" s="21">
      <c r="A16" s="31" t="inlineStr">
        <is>
          <t>2026-27</t>
        </is>
      </c>
      <c r="B16" s="31" t="inlineStr">
        <is>
          <t>Coop ES</t>
        </is>
      </c>
      <c r="C16" s="31" t="inlineStr">
        <is>
          <t>NES Elementary</t>
        </is>
      </c>
      <c r="D16" s="31" t="inlineStr">
        <is>
          <t>Not Yet Confirmed</t>
        </is>
      </c>
      <c r="E16" s="31" t="n"/>
      <c r="F16" s="31" t="n"/>
      <c r="G16" s="31" t="inlineStr">
        <is>
          <t>Not Received</t>
        </is>
      </c>
      <c r="H16" s="31" t="inlineStr">
        <is>
          <t>Not Received</t>
        </is>
      </c>
      <c r="I16" s="31" t="inlineStr">
        <is>
          <t>Not Received</t>
        </is>
      </c>
      <c r="J16" s="31" t="inlineStr">
        <is>
          <t>Not Received</t>
        </is>
      </c>
      <c r="K16" s="31" t="inlineStr">
        <is>
          <t>Not Received</t>
        </is>
      </c>
      <c r="L16" s="31" t="inlineStr">
        <is>
          <t>Not Received</t>
        </is>
      </c>
      <c r="M16" s="31" t="inlineStr">
        <is>
          <t>Not Received</t>
        </is>
      </c>
      <c r="N16" s="31" t="inlineStr">
        <is>
          <t>Not Received</t>
        </is>
      </c>
      <c r="O16" s="32">
        <f>IF($B16="","",COUNTIF(G16:N16,"Accepted")+COUNTIF(G16:N16,"Received")+COUNTIF(G16:N16,"Needs Correction"))</f>
        <v/>
      </c>
      <c r="P16" s="32">
        <f>IF($B16="","",SUMPRODUCT(((G16:N16="Accepted")+(G16:N16="Not Needed"))*(Settings!$C$11:$J$11="Yes")))</f>
        <v/>
      </c>
      <c r="Q16" s="32">
        <f>IF($B16="","",SUMPRODUCT(((G16:N16="Accepted")+(G16:N16="Not Needed"))*(Settings!$C$15:$J$15="Yes")))</f>
        <v/>
      </c>
      <c r="R16" s="33">
        <f>IF($B16="","",IF($D16="No","No PTO/PTA",IF($D16&lt;&gt;"Yes","Not Yet Confirmed",IF($Q16&gt;=Settings!$C$13,"Legalized",IF($P16&gt;=Settings!$C$12,"Registered",IF($O16&gt;0,"In Progress","Not Started"))))))</f>
        <v/>
      </c>
      <c r="S16" s="32">
        <f>IF($B16="","",COUNTIF(G16:N16,"Received"))</f>
        <v/>
      </c>
      <c r="T16" s="32">
        <f>IF($B16="","",COUNTIF(G16:N16,"Needs Correction"))</f>
        <v/>
      </c>
      <c r="U16" s="33">
        <f>IF($B16="","",IF($D16&lt;&gt;"Yes","",IF($Q16&gt;=Settings!$C$13,"None",MID(IF(AND(G16&lt;&gt;"Accepted",G16&lt;&gt;"Not Needed",Settings!$C$15="Yes"),", "&amp;G$1,"")&amp;IF(AND(H16&lt;&gt;"Accepted",H16&lt;&gt;"Not Needed",Settings!$D$15="Yes"),", "&amp;H$1,"")&amp;IF(AND(I16&lt;&gt;"Accepted",I16&lt;&gt;"Not Needed",Settings!$E$15="Yes"),", "&amp;I$1,"")&amp;IF(AND(J16&lt;&gt;"Accepted",J16&lt;&gt;"Not Needed",Settings!$F$15="Yes"),", "&amp;J$1,"")&amp;IF(AND(K16&lt;&gt;"Accepted",K16&lt;&gt;"Not Needed",Settings!$G$15="Yes"),", "&amp;K$1,"")&amp;IF(AND(L16&lt;&gt;"Accepted",L16&lt;&gt;"Not Needed",Settings!$H$15="Yes"),", "&amp;L$1,"")&amp;IF(AND(M16&lt;&gt;"Accepted",M16&lt;&gt;"Not Needed",Settings!$I$15="Yes"),", "&amp;M$1,"")&amp;IF(AND(N16&lt;&gt;"Accepted",N16&lt;&gt;"Not Needed",Settings!$J$15="Yes"),", "&amp;N$1,""),3,400))))</f>
        <v/>
      </c>
    </row>
    <row r="17" ht="15" customHeight="1" s="21">
      <c r="A17" s="31" t="inlineStr">
        <is>
          <t>2026-27</t>
        </is>
      </c>
      <c r="B17" s="31" t="inlineStr">
        <is>
          <t>Crockett ES</t>
        </is>
      </c>
      <c r="C17" s="31" t="inlineStr">
        <is>
          <t>NES Elementary</t>
        </is>
      </c>
      <c r="D17" s="31" t="inlineStr">
        <is>
          <t>Not Yet Confirmed</t>
        </is>
      </c>
      <c r="E17" s="31" t="n"/>
      <c r="F17" s="31" t="n"/>
      <c r="G17" s="31" t="inlineStr">
        <is>
          <t>Not Received</t>
        </is>
      </c>
      <c r="H17" s="31" t="inlineStr">
        <is>
          <t>Not Received</t>
        </is>
      </c>
      <c r="I17" s="31" t="inlineStr">
        <is>
          <t>Not Received</t>
        </is>
      </c>
      <c r="J17" s="31" t="inlineStr">
        <is>
          <t>Not Received</t>
        </is>
      </c>
      <c r="K17" s="31" t="inlineStr">
        <is>
          <t>Not Received</t>
        </is>
      </c>
      <c r="L17" s="31" t="inlineStr">
        <is>
          <t>Not Received</t>
        </is>
      </c>
      <c r="M17" s="31" t="inlineStr">
        <is>
          <t>Not Received</t>
        </is>
      </c>
      <c r="N17" s="31" t="inlineStr">
        <is>
          <t>Not Received</t>
        </is>
      </c>
      <c r="O17" s="32">
        <f>IF($B17="","",COUNTIF(G17:N17,"Accepted")+COUNTIF(G17:N17,"Received")+COUNTIF(G17:N17,"Needs Correction"))</f>
        <v/>
      </c>
      <c r="P17" s="32">
        <f>IF($B17="","",SUMPRODUCT(((G17:N17="Accepted")+(G17:N17="Not Needed"))*(Settings!$C$11:$J$11="Yes")))</f>
        <v/>
      </c>
      <c r="Q17" s="32">
        <f>IF($B17="","",SUMPRODUCT(((G17:N17="Accepted")+(G17:N17="Not Needed"))*(Settings!$C$15:$J$15="Yes")))</f>
        <v/>
      </c>
      <c r="R17" s="33">
        <f>IF($B17="","",IF($D17="No","No PTO/PTA",IF($D17&lt;&gt;"Yes","Not Yet Confirmed",IF($Q17&gt;=Settings!$C$13,"Legalized",IF($P17&gt;=Settings!$C$12,"Registered",IF($O17&gt;0,"In Progress","Not Started"))))))</f>
        <v/>
      </c>
      <c r="S17" s="32">
        <f>IF($B17="","",COUNTIF(G17:N17,"Received"))</f>
        <v/>
      </c>
      <c r="T17" s="32">
        <f>IF($B17="","",COUNTIF(G17:N17,"Needs Correction"))</f>
        <v/>
      </c>
      <c r="U17" s="33">
        <f>IF($B17="","",IF($D17&lt;&gt;"Yes","",IF($Q17&gt;=Settings!$C$13,"None",MID(IF(AND(G17&lt;&gt;"Accepted",G17&lt;&gt;"Not Needed",Settings!$C$15="Yes"),", "&amp;G$1,"")&amp;IF(AND(H17&lt;&gt;"Accepted",H17&lt;&gt;"Not Needed",Settings!$D$15="Yes"),", "&amp;H$1,"")&amp;IF(AND(I17&lt;&gt;"Accepted",I17&lt;&gt;"Not Needed",Settings!$E$15="Yes"),", "&amp;I$1,"")&amp;IF(AND(J17&lt;&gt;"Accepted",J17&lt;&gt;"Not Needed",Settings!$F$15="Yes"),", "&amp;J$1,"")&amp;IF(AND(K17&lt;&gt;"Accepted",K17&lt;&gt;"Not Needed",Settings!$G$15="Yes"),", "&amp;K$1,"")&amp;IF(AND(L17&lt;&gt;"Accepted",L17&lt;&gt;"Not Needed",Settings!$H$15="Yes"),", "&amp;L$1,"")&amp;IF(AND(M17&lt;&gt;"Accepted",M17&lt;&gt;"Not Needed",Settings!$I$15="Yes"),", "&amp;M$1,"")&amp;IF(AND(N17&lt;&gt;"Accepted",N17&lt;&gt;"Not Needed",Settings!$J$15="Yes"),", "&amp;N$1,""),3,400))))</f>
        <v/>
      </c>
    </row>
    <row r="18" ht="15" customHeight="1" s="21">
      <c r="A18" s="31" t="inlineStr">
        <is>
          <t>2026-27</t>
        </is>
      </c>
      <c r="B18" s="31" t="inlineStr">
        <is>
          <t>DeZavala ES</t>
        </is>
      </c>
      <c r="C18" s="31" t="inlineStr">
        <is>
          <t>NES Elementary</t>
        </is>
      </c>
      <c r="D18" s="31" t="inlineStr">
        <is>
          <t>Not Yet Confirmed</t>
        </is>
      </c>
      <c r="E18" s="31" t="n"/>
      <c r="F18" s="31" t="n"/>
      <c r="G18" s="31" t="inlineStr">
        <is>
          <t>Not Received</t>
        </is>
      </c>
      <c r="H18" s="31" t="inlineStr">
        <is>
          <t>Not Received</t>
        </is>
      </c>
      <c r="I18" s="31" t="inlineStr">
        <is>
          <t>Not Received</t>
        </is>
      </c>
      <c r="J18" s="31" t="inlineStr">
        <is>
          <t>Not Received</t>
        </is>
      </c>
      <c r="K18" s="31" t="inlineStr">
        <is>
          <t>Not Received</t>
        </is>
      </c>
      <c r="L18" s="31" t="inlineStr">
        <is>
          <t>Not Received</t>
        </is>
      </c>
      <c r="M18" s="31" t="inlineStr">
        <is>
          <t>Not Received</t>
        </is>
      </c>
      <c r="N18" s="31" t="inlineStr">
        <is>
          <t>Not Received</t>
        </is>
      </c>
      <c r="O18" s="32">
        <f>IF($B18="","",COUNTIF(G18:N18,"Accepted")+COUNTIF(G18:N18,"Received")+COUNTIF(G18:N18,"Needs Correction"))</f>
        <v/>
      </c>
      <c r="P18" s="32">
        <f>IF($B18="","",SUMPRODUCT(((G18:N18="Accepted")+(G18:N18="Not Needed"))*(Settings!$C$11:$J$11="Yes")))</f>
        <v/>
      </c>
      <c r="Q18" s="32">
        <f>IF($B18="","",SUMPRODUCT(((G18:N18="Accepted")+(G18:N18="Not Needed"))*(Settings!$C$15:$J$15="Yes")))</f>
        <v/>
      </c>
      <c r="R18" s="33">
        <f>IF($B18="","",IF($D18="No","No PTO/PTA",IF($D18&lt;&gt;"Yes","Not Yet Confirmed",IF($Q18&gt;=Settings!$C$13,"Legalized",IF($P18&gt;=Settings!$C$12,"Registered",IF($O18&gt;0,"In Progress","Not Started"))))))</f>
        <v/>
      </c>
      <c r="S18" s="32">
        <f>IF($B18="","",COUNTIF(G18:N18,"Received"))</f>
        <v/>
      </c>
      <c r="T18" s="32">
        <f>IF($B18="","",COUNTIF(G18:N18,"Needs Correction"))</f>
        <v/>
      </c>
      <c r="U18" s="33">
        <f>IF($B18="","",IF($D18&lt;&gt;"Yes","",IF($Q18&gt;=Settings!$C$13,"None",MID(IF(AND(G18&lt;&gt;"Accepted",G18&lt;&gt;"Not Needed",Settings!$C$15="Yes"),", "&amp;G$1,"")&amp;IF(AND(H18&lt;&gt;"Accepted",H18&lt;&gt;"Not Needed",Settings!$D$15="Yes"),", "&amp;H$1,"")&amp;IF(AND(I18&lt;&gt;"Accepted",I18&lt;&gt;"Not Needed",Settings!$E$15="Yes"),", "&amp;I$1,"")&amp;IF(AND(J18&lt;&gt;"Accepted",J18&lt;&gt;"Not Needed",Settings!$F$15="Yes"),", "&amp;J$1,"")&amp;IF(AND(K18&lt;&gt;"Accepted",K18&lt;&gt;"Not Needed",Settings!$G$15="Yes"),", "&amp;K$1,"")&amp;IF(AND(L18&lt;&gt;"Accepted",L18&lt;&gt;"Not Needed",Settings!$H$15="Yes"),", "&amp;L$1,"")&amp;IF(AND(M18&lt;&gt;"Accepted",M18&lt;&gt;"Not Needed",Settings!$I$15="Yes"),", "&amp;M$1,"")&amp;IF(AND(N18&lt;&gt;"Accepted",N18&lt;&gt;"Not Needed",Settings!$J$15="Yes"),", "&amp;N$1,""),3,400))))</f>
        <v/>
      </c>
    </row>
    <row r="19" ht="15" customHeight="1" s="21">
      <c r="A19" s="31" t="inlineStr">
        <is>
          <t>2026-27</t>
        </is>
      </c>
      <c r="B19" s="31" t="inlineStr">
        <is>
          <t>Eliot ES</t>
        </is>
      </c>
      <c r="C19" s="31" t="inlineStr">
        <is>
          <t>NES Elementary</t>
        </is>
      </c>
      <c r="D19" s="31" t="inlineStr">
        <is>
          <t>Not Yet Confirmed</t>
        </is>
      </c>
      <c r="E19" s="31" t="n"/>
      <c r="F19" s="31" t="n"/>
      <c r="G19" s="31" t="inlineStr">
        <is>
          <t>Not Received</t>
        </is>
      </c>
      <c r="H19" s="31" t="inlineStr">
        <is>
          <t>Not Received</t>
        </is>
      </c>
      <c r="I19" s="31" t="inlineStr">
        <is>
          <t>Not Received</t>
        </is>
      </c>
      <c r="J19" s="31" t="inlineStr">
        <is>
          <t>Not Received</t>
        </is>
      </c>
      <c r="K19" s="31" t="inlineStr">
        <is>
          <t>Not Received</t>
        </is>
      </c>
      <c r="L19" s="31" t="inlineStr">
        <is>
          <t>Not Received</t>
        </is>
      </c>
      <c r="M19" s="31" t="inlineStr">
        <is>
          <t>Not Received</t>
        </is>
      </c>
      <c r="N19" s="31" t="inlineStr">
        <is>
          <t>Not Received</t>
        </is>
      </c>
      <c r="O19" s="32">
        <f>IF($B19="","",COUNTIF(G19:N19,"Accepted")+COUNTIF(G19:N19,"Received")+COUNTIF(G19:N19,"Needs Correction"))</f>
        <v/>
      </c>
      <c r="P19" s="32">
        <f>IF($B19="","",SUMPRODUCT(((G19:N19="Accepted")+(G19:N19="Not Needed"))*(Settings!$C$11:$J$11="Yes")))</f>
        <v/>
      </c>
      <c r="Q19" s="32">
        <f>IF($B19="","",SUMPRODUCT(((G19:N19="Accepted")+(G19:N19="Not Needed"))*(Settings!$C$15:$J$15="Yes")))</f>
        <v/>
      </c>
      <c r="R19" s="33">
        <f>IF($B19="","",IF($D19="No","No PTO/PTA",IF($D19&lt;&gt;"Yes","Not Yet Confirmed",IF($Q19&gt;=Settings!$C$13,"Legalized",IF($P19&gt;=Settings!$C$12,"Registered",IF($O19&gt;0,"In Progress","Not Started"))))))</f>
        <v/>
      </c>
      <c r="S19" s="32">
        <f>IF($B19="","",COUNTIF(G19:N19,"Received"))</f>
        <v/>
      </c>
      <c r="T19" s="32">
        <f>IF($B19="","",COUNTIF(G19:N19,"Needs Correction"))</f>
        <v/>
      </c>
      <c r="U19" s="33">
        <f>IF($B19="","",IF($D19&lt;&gt;"Yes","",IF($Q19&gt;=Settings!$C$13,"None",MID(IF(AND(G19&lt;&gt;"Accepted",G19&lt;&gt;"Not Needed",Settings!$C$15="Yes"),", "&amp;G$1,"")&amp;IF(AND(H19&lt;&gt;"Accepted",H19&lt;&gt;"Not Needed",Settings!$D$15="Yes"),", "&amp;H$1,"")&amp;IF(AND(I19&lt;&gt;"Accepted",I19&lt;&gt;"Not Needed",Settings!$E$15="Yes"),", "&amp;I$1,"")&amp;IF(AND(J19&lt;&gt;"Accepted",J19&lt;&gt;"Not Needed",Settings!$F$15="Yes"),", "&amp;J$1,"")&amp;IF(AND(K19&lt;&gt;"Accepted",K19&lt;&gt;"Not Needed",Settings!$G$15="Yes"),", "&amp;K$1,"")&amp;IF(AND(L19&lt;&gt;"Accepted",L19&lt;&gt;"Not Needed",Settings!$H$15="Yes"),", "&amp;L$1,"")&amp;IF(AND(M19&lt;&gt;"Accepted",M19&lt;&gt;"Not Needed",Settings!$I$15="Yes"),", "&amp;M$1,"")&amp;IF(AND(N19&lt;&gt;"Accepted",N19&lt;&gt;"Not Needed",Settings!$J$15="Yes"),", "&amp;N$1,""),3,400))))</f>
        <v/>
      </c>
    </row>
    <row r="20" ht="15" customHeight="1" s="21">
      <c r="A20" s="31" t="inlineStr">
        <is>
          <t>2026-27</t>
        </is>
      </c>
      <c r="B20" s="31" t="inlineStr">
        <is>
          <t>Elmore ES</t>
        </is>
      </c>
      <c r="C20" s="31" t="inlineStr">
        <is>
          <t>NES Elementary</t>
        </is>
      </c>
      <c r="D20" s="31" t="inlineStr">
        <is>
          <t>Not Yet Confirmed</t>
        </is>
      </c>
      <c r="E20" s="31" t="n"/>
      <c r="F20" s="31" t="n"/>
      <c r="G20" s="31" t="inlineStr">
        <is>
          <t>Not Received</t>
        </is>
      </c>
      <c r="H20" s="31" t="inlineStr">
        <is>
          <t>Not Received</t>
        </is>
      </c>
      <c r="I20" s="31" t="inlineStr">
        <is>
          <t>Not Received</t>
        </is>
      </c>
      <c r="J20" s="31" t="inlineStr">
        <is>
          <t>Not Received</t>
        </is>
      </c>
      <c r="K20" s="31" t="inlineStr">
        <is>
          <t>Not Received</t>
        </is>
      </c>
      <c r="L20" s="31" t="inlineStr">
        <is>
          <t>Not Received</t>
        </is>
      </c>
      <c r="M20" s="31" t="inlineStr">
        <is>
          <t>Not Received</t>
        </is>
      </c>
      <c r="N20" s="31" t="inlineStr">
        <is>
          <t>Not Received</t>
        </is>
      </c>
      <c r="O20" s="32">
        <f>IF($B20="","",COUNTIF(G20:N20,"Accepted")+COUNTIF(G20:N20,"Received")+COUNTIF(G20:N20,"Needs Correction"))</f>
        <v/>
      </c>
      <c r="P20" s="32">
        <f>IF($B20="","",SUMPRODUCT(((G20:N20="Accepted")+(G20:N20="Not Needed"))*(Settings!$C$11:$J$11="Yes")))</f>
        <v/>
      </c>
      <c r="Q20" s="32">
        <f>IF($B20="","",SUMPRODUCT(((G20:N20="Accepted")+(G20:N20="Not Needed"))*(Settings!$C$15:$J$15="Yes")))</f>
        <v/>
      </c>
      <c r="R20" s="33">
        <f>IF($B20="","",IF($D20="No","No PTO/PTA",IF($D20&lt;&gt;"Yes","Not Yet Confirmed",IF($Q20&gt;=Settings!$C$13,"Legalized",IF($P20&gt;=Settings!$C$12,"Registered",IF($O20&gt;0,"In Progress","Not Started"))))))</f>
        <v/>
      </c>
      <c r="S20" s="32">
        <f>IF($B20="","",COUNTIF(G20:N20,"Received"))</f>
        <v/>
      </c>
      <c r="T20" s="32">
        <f>IF($B20="","",COUNTIF(G20:N20,"Needs Correction"))</f>
        <v/>
      </c>
      <c r="U20" s="33">
        <f>IF($B20="","",IF($D20&lt;&gt;"Yes","",IF($Q20&gt;=Settings!$C$13,"None",MID(IF(AND(G20&lt;&gt;"Accepted",G20&lt;&gt;"Not Needed",Settings!$C$15="Yes"),", "&amp;G$1,"")&amp;IF(AND(H20&lt;&gt;"Accepted",H20&lt;&gt;"Not Needed",Settings!$D$15="Yes"),", "&amp;H$1,"")&amp;IF(AND(I20&lt;&gt;"Accepted",I20&lt;&gt;"Not Needed",Settings!$E$15="Yes"),", "&amp;I$1,"")&amp;IF(AND(J20&lt;&gt;"Accepted",J20&lt;&gt;"Not Needed",Settings!$F$15="Yes"),", "&amp;J$1,"")&amp;IF(AND(K20&lt;&gt;"Accepted",K20&lt;&gt;"Not Needed",Settings!$G$15="Yes"),", "&amp;K$1,"")&amp;IF(AND(L20&lt;&gt;"Accepted",L20&lt;&gt;"Not Needed",Settings!$H$15="Yes"),", "&amp;L$1,"")&amp;IF(AND(M20&lt;&gt;"Accepted",M20&lt;&gt;"Not Needed",Settings!$I$15="Yes"),", "&amp;M$1,"")&amp;IF(AND(N20&lt;&gt;"Accepted",N20&lt;&gt;"Not Needed",Settings!$J$15="Yes"),", "&amp;N$1,""),3,400))))</f>
        <v/>
      </c>
    </row>
    <row r="21" ht="15" customHeight="1" s="21">
      <c r="A21" s="31" t="inlineStr">
        <is>
          <t>2026-27</t>
        </is>
      </c>
      <c r="B21" s="31" t="inlineStr">
        <is>
          <t>Gallegos ES</t>
        </is>
      </c>
      <c r="C21" s="31" t="inlineStr">
        <is>
          <t>NES Elementary</t>
        </is>
      </c>
      <c r="D21" s="31" t="inlineStr">
        <is>
          <t>Not Yet Confirmed</t>
        </is>
      </c>
      <c r="E21" s="31" t="n"/>
      <c r="F21" s="31" t="n"/>
      <c r="G21" s="31" t="inlineStr">
        <is>
          <t>Not Received</t>
        </is>
      </c>
      <c r="H21" s="31" t="inlineStr">
        <is>
          <t>Not Received</t>
        </is>
      </c>
      <c r="I21" s="31" t="inlineStr">
        <is>
          <t>Not Received</t>
        </is>
      </c>
      <c r="J21" s="31" t="inlineStr">
        <is>
          <t>Not Received</t>
        </is>
      </c>
      <c r="K21" s="31" t="inlineStr">
        <is>
          <t>Not Received</t>
        </is>
      </c>
      <c r="L21" s="31" t="inlineStr">
        <is>
          <t>Not Received</t>
        </is>
      </c>
      <c r="M21" s="31" t="inlineStr">
        <is>
          <t>Not Received</t>
        </is>
      </c>
      <c r="N21" s="31" t="inlineStr">
        <is>
          <t>Not Received</t>
        </is>
      </c>
      <c r="O21" s="32">
        <f>IF($B21="","",COUNTIF(G21:N21,"Accepted")+COUNTIF(G21:N21,"Received")+COUNTIF(G21:N21,"Needs Correction"))</f>
        <v/>
      </c>
      <c r="P21" s="32">
        <f>IF($B21="","",SUMPRODUCT(((G21:N21="Accepted")+(G21:N21="Not Needed"))*(Settings!$C$11:$J$11="Yes")))</f>
        <v/>
      </c>
      <c r="Q21" s="32">
        <f>IF($B21="","",SUMPRODUCT(((G21:N21="Accepted")+(G21:N21="Not Needed"))*(Settings!$C$15:$J$15="Yes")))</f>
        <v/>
      </c>
      <c r="R21" s="33">
        <f>IF($B21="","",IF($D21="No","No PTO/PTA",IF($D21&lt;&gt;"Yes","Not Yet Confirmed",IF($Q21&gt;=Settings!$C$13,"Legalized",IF($P21&gt;=Settings!$C$12,"Registered",IF($O21&gt;0,"In Progress","Not Started"))))))</f>
        <v/>
      </c>
      <c r="S21" s="32">
        <f>IF($B21="","",COUNTIF(G21:N21,"Received"))</f>
        <v/>
      </c>
      <c r="T21" s="32">
        <f>IF($B21="","",COUNTIF(G21:N21,"Needs Correction"))</f>
        <v/>
      </c>
      <c r="U21" s="33">
        <f>IF($B21="","",IF($D21&lt;&gt;"Yes","",IF($Q21&gt;=Settings!$C$13,"None",MID(IF(AND(G21&lt;&gt;"Accepted",G21&lt;&gt;"Not Needed",Settings!$C$15="Yes"),", "&amp;G$1,"")&amp;IF(AND(H21&lt;&gt;"Accepted",H21&lt;&gt;"Not Needed",Settings!$D$15="Yes"),", "&amp;H$1,"")&amp;IF(AND(I21&lt;&gt;"Accepted",I21&lt;&gt;"Not Needed",Settings!$E$15="Yes"),", "&amp;I$1,"")&amp;IF(AND(J21&lt;&gt;"Accepted",J21&lt;&gt;"Not Needed",Settings!$F$15="Yes"),", "&amp;J$1,"")&amp;IF(AND(K21&lt;&gt;"Accepted",K21&lt;&gt;"Not Needed",Settings!$G$15="Yes"),", "&amp;K$1,"")&amp;IF(AND(L21&lt;&gt;"Accepted",L21&lt;&gt;"Not Needed",Settings!$H$15="Yes"),", "&amp;L$1,"")&amp;IF(AND(M21&lt;&gt;"Accepted",M21&lt;&gt;"Not Needed",Settings!$I$15="Yes"),", "&amp;M$1,"")&amp;IF(AND(N21&lt;&gt;"Accepted",N21&lt;&gt;"Not Needed",Settings!$J$15="Yes"),", "&amp;N$1,""),3,400))))</f>
        <v/>
      </c>
    </row>
    <row r="22" ht="15" customHeight="1" s="21">
      <c r="A22" s="31" t="inlineStr">
        <is>
          <t>2026-27</t>
        </is>
      </c>
      <c r="B22" s="31" t="inlineStr">
        <is>
          <t>Golfcrest ES</t>
        </is>
      </c>
      <c r="C22" s="31" t="inlineStr">
        <is>
          <t>NES Elementary</t>
        </is>
      </c>
      <c r="D22" s="31" t="inlineStr">
        <is>
          <t>Not Yet Confirmed</t>
        </is>
      </c>
      <c r="E22" s="31" t="n"/>
      <c r="F22" s="31" t="n"/>
      <c r="G22" s="31" t="inlineStr">
        <is>
          <t>Not Received</t>
        </is>
      </c>
      <c r="H22" s="31" t="inlineStr">
        <is>
          <t>Not Received</t>
        </is>
      </c>
      <c r="I22" s="31" t="inlineStr">
        <is>
          <t>Not Received</t>
        </is>
      </c>
      <c r="J22" s="31" t="inlineStr">
        <is>
          <t>Not Received</t>
        </is>
      </c>
      <c r="K22" s="31" t="inlineStr">
        <is>
          <t>Not Received</t>
        </is>
      </c>
      <c r="L22" s="31" t="inlineStr">
        <is>
          <t>Not Received</t>
        </is>
      </c>
      <c r="M22" s="31" t="inlineStr">
        <is>
          <t>Not Received</t>
        </is>
      </c>
      <c r="N22" s="31" t="inlineStr">
        <is>
          <t>Not Received</t>
        </is>
      </c>
      <c r="O22" s="32">
        <f>IF($B22="","",COUNTIF(G22:N22,"Accepted")+COUNTIF(G22:N22,"Received")+COUNTIF(G22:N22,"Needs Correction"))</f>
        <v/>
      </c>
      <c r="P22" s="32">
        <f>IF($B22="","",SUMPRODUCT(((G22:N22="Accepted")+(G22:N22="Not Needed"))*(Settings!$C$11:$J$11="Yes")))</f>
        <v/>
      </c>
      <c r="Q22" s="32">
        <f>IF($B22="","",SUMPRODUCT(((G22:N22="Accepted")+(G22:N22="Not Needed"))*(Settings!$C$15:$J$15="Yes")))</f>
        <v/>
      </c>
      <c r="R22" s="33">
        <f>IF($B22="","",IF($D22="No","No PTO/PTA",IF($D22&lt;&gt;"Yes","Not Yet Confirmed",IF($Q22&gt;=Settings!$C$13,"Legalized",IF($P22&gt;=Settings!$C$12,"Registered",IF($O22&gt;0,"In Progress","Not Started"))))))</f>
        <v/>
      </c>
      <c r="S22" s="32">
        <f>IF($B22="","",COUNTIF(G22:N22,"Received"))</f>
        <v/>
      </c>
      <c r="T22" s="32">
        <f>IF($B22="","",COUNTIF(G22:N22,"Needs Correction"))</f>
        <v/>
      </c>
      <c r="U22" s="33">
        <f>IF($B22="","",IF($D22&lt;&gt;"Yes","",IF($Q22&gt;=Settings!$C$13,"None",MID(IF(AND(G22&lt;&gt;"Accepted",G22&lt;&gt;"Not Needed",Settings!$C$15="Yes"),", "&amp;G$1,"")&amp;IF(AND(H22&lt;&gt;"Accepted",H22&lt;&gt;"Not Needed",Settings!$D$15="Yes"),", "&amp;H$1,"")&amp;IF(AND(I22&lt;&gt;"Accepted",I22&lt;&gt;"Not Needed",Settings!$E$15="Yes"),", "&amp;I$1,"")&amp;IF(AND(J22&lt;&gt;"Accepted",J22&lt;&gt;"Not Needed",Settings!$F$15="Yes"),", "&amp;J$1,"")&amp;IF(AND(K22&lt;&gt;"Accepted",K22&lt;&gt;"Not Needed",Settings!$G$15="Yes"),", "&amp;K$1,"")&amp;IF(AND(L22&lt;&gt;"Accepted",L22&lt;&gt;"Not Needed",Settings!$H$15="Yes"),", "&amp;L$1,"")&amp;IF(AND(M22&lt;&gt;"Accepted",M22&lt;&gt;"Not Needed",Settings!$I$15="Yes"),", "&amp;M$1,"")&amp;IF(AND(N22&lt;&gt;"Accepted",N22&lt;&gt;"Not Needed",Settings!$J$15="Yes"),", "&amp;N$1,""),3,400))))</f>
        <v/>
      </c>
    </row>
    <row r="23" ht="15" customHeight="1" s="21">
      <c r="A23" s="31" t="inlineStr">
        <is>
          <t>2026-27</t>
        </is>
      </c>
      <c r="B23" s="31" t="inlineStr">
        <is>
          <t>Gross ES</t>
        </is>
      </c>
      <c r="C23" s="31" t="inlineStr">
        <is>
          <t>NES Elementary</t>
        </is>
      </c>
      <c r="D23" s="31" t="inlineStr">
        <is>
          <t>No</t>
        </is>
      </c>
      <c r="E23" s="31" t="n"/>
      <c r="F23" s="31" t="n"/>
      <c r="G23" s="31" t="inlineStr">
        <is>
          <t>Not Received</t>
        </is>
      </c>
      <c r="H23" s="31" t="inlineStr">
        <is>
          <t>Not Received</t>
        </is>
      </c>
      <c r="I23" s="31" t="inlineStr">
        <is>
          <t>Not Received</t>
        </is>
      </c>
      <c r="J23" s="31" t="inlineStr">
        <is>
          <t>Not Received</t>
        </is>
      </c>
      <c r="K23" s="31" t="inlineStr">
        <is>
          <t>Not Received</t>
        </is>
      </c>
      <c r="L23" s="31" t="inlineStr">
        <is>
          <t>Not Received</t>
        </is>
      </c>
      <c r="M23" s="31" t="inlineStr">
        <is>
          <t>Not Received</t>
        </is>
      </c>
      <c r="N23" s="31" t="inlineStr">
        <is>
          <t>Not Received</t>
        </is>
      </c>
      <c r="O23" s="32">
        <f>IF($B23="","",COUNTIF(G23:N23,"Accepted")+COUNTIF(G23:N23,"Received")+COUNTIF(G23:N23,"Needs Correction"))</f>
        <v/>
      </c>
      <c r="P23" s="32">
        <f>IF($B23="","",SUMPRODUCT(((G23:N23="Accepted")+(G23:N23="Not Needed"))*(Settings!$C$11:$J$11="Yes")))</f>
        <v/>
      </c>
      <c r="Q23" s="32">
        <f>IF($B23="","",SUMPRODUCT(((G23:N23="Accepted")+(G23:N23="Not Needed"))*(Settings!$C$15:$J$15="Yes")))</f>
        <v/>
      </c>
      <c r="R23" s="33">
        <f>IF($B23="","",IF($D23="No","No PTO/PTA",IF($D23&lt;&gt;"Yes","Not Yet Confirmed",IF($Q23&gt;=Settings!$C$13,"Legalized",IF($P23&gt;=Settings!$C$12,"Registered",IF($O23&gt;0,"In Progress","Not Started"))))))</f>
        <v/>
      </c>
      <c r="S23" s="32">
        <f>IF($B23="","",COUNTIF(G23:N23,"Received"))</f>
        <v/>
      </c>
      <c r="T23" s="32">
        <f>IF($B23="","",COUNTIF(G23:N23,"Needs Correction"))</f>
        <v/>
      </c>
      <c r="U23" s="33">
        <f>IF($B23="","",IF($D23&lt;&gt;"Yes","",IF($Q23&gt;=Settings!$C$13,"None",MID(IF(AND(G23&lt;&gt;"Accepted",G23&lt;&gt;"Not Needed",Settings!$C$15="Yes"),", "&amp;G$1,"")&amp;IF(AND(H23&lt;&gt;"Accepted",H23&lt;&gt;"Not Needed",Settings!$D$15="Yes"),", "&amp;H$1,"")&amp;IF(AND(I23&lt;&gt;"Accepted",I23&lt;&gt;"Not Needed",Settings!$E$15="Yes"),", "&amp;I$1,"")&amp;IF(AND(J23&lt;&gt;"Accepted",J23&lt;&gt;"Not Needed",Settings!$F$15="Yes"),", "&amp;J$1,"")&amp;IF(AND(K23&lt;&gt;"Accepted",K23&lt;&gt;"Not Needed",Settings!$G$15="Yes"),", "&amp;K$1,"")&amp;IF(AND(L23&lt;&gt;"Accepted",L23&lt;&gt;"Not Needed",Settings!$H$15="Yes"),", "&amp;L$1,"")&amp;IF(AND(M23&lt;&gt;"Accepted",M23&lt;&gt;"Not Needed",Settings!$I$15="Yes"),", "&amp;M$1,"")&amp;IF(AND(N23&lt;&gt;"Accepted",N23&lt;&gt;"Not Needed",Settings!$J$15="Yes"),", "&amp;N$1,""),3,400))))</f>
        <v/>
      </c>
    </row>
    <row r="24" ht="15" customHeight="1" s="21">
      <c r="A24" s="31" t="inlineStr">
        <is>
          <t>2026-27</t>
        </is>
      </c>
      <c r="B24" s="31" t="inlineStr">
        <is>
          <t>Harris RP ES</t>
        </is>
      </c>
      <c r="C24" s="31" t="inlineStr">
        <is>
          <t>NES Elementary</t>
        </is>
      </c>
      <c r="D24" s="31" t="inlineStr">
        <is>
          <t>Not Yet Confirmed</t>
        </is>
      </c>
      <c r="E24" s="31" t="n"/>
      <c r="F24" s="31" t="n"/>
      <c r="G24" s="31" t="inlineStr">
        <is>
          <t>Not Received</t>
        </is>
      </c>
      <c r="H24" s="31" t="inlineStr">
        <is>
          <t>Not Received</t>
        </is>
      </c>
      <c r="I24" s="31" t="inlineStr">
        <is>
          <t>Not Received</t>
        </is>
      </c>
      <c r="J24" s="31" t="inlineStr">
        <is>
          <t>Not Received</t>
        </is>
      </c>
      <c r="K24" s="31" t="inlineStr">
        <is>
          <t>Not Received</t>
        </is>
      </c>
      <c r="L24" s="31" t="inlineStr">
        <is>
          <t>Not Received</t>
        </is>
      </c>
      <c r="M24" s="31" t="inlineStr">
        <is>
          <t>Not Received</t>
        </is>
      </c>
      <c r="N24" s="31" t="inlineStr">
        <is>
          <t>Not Received</t>
        </is>
      </c>
      <c r="O24" s="32">
        <f>IF($B24="","",COUNTIF(G24:N24,"Accepted")+COUNTIF(G24:N24,"Received")+COUNTIF(G24:N24,"Needs Correction"))</f>
        <v/>
      </c>
      <c r="P24" s="32">
        <f>IF($B24="","",SUMPRODUCT(((G24:N24="Accepted")+(G24:N24="Not Needed"))*(Settings!$C$11:$J$11="Yes")))</f>
        <v/>
      </c>
      <c r="Q24" s="32">
        <f>IF($B24="","",SUMPRODUCT(((G24:N24="Accepted")+(G24:N24="Not Needed"))*(Settings!$C$15:$J$15="Yes")))</f>
        <v/>
      </c>
      <c r="R24" s="33">
        <f>IF($B24="","",IF($D24="No","No PTO/PTA",IF($D24&lt;&gt;"Yes","Not Yet Confirmed",IF($Q24&gt;=Settings!$C$13,"Legalized",IF($P24&gt;=Settings!$C$12,"Registered",IF($O24&gt;0,"In Progress","Not Started"))))))</f>
        <v/>
      </c>
      <c r="S24" s="32">
        <f>IF($B24="","",COUNTIF(G24:N24,"Received"))</f>
        <v/>
      </c>
      <c r="T24" s="32">
        <f>IF($B24="","",COUNTIF(G24:N24,"Needs Correction"))</f>
        <v/>
      </c>
      <c r="U24" s="33">
        <f>IF($B24="","",IF($D24&lt;&gt;"Yes","",IF($Q24&gt;=Settings!$C$13,"None",MID(IF(AND(G24&lt;&gt;"Accepted",G24&lt;&gt;"Not Needed",Settings!$C$15="Yes"),", "&amp;G$1,"")&amp;IF(AND(H24&lt;&gt;"Accepted",H24&lt;&gt;"Not Needed",Settings!$D$15="Yes"),", "&amp;H$1,"")&amp;IF(AND(I24&lt;&gt;"Accepted",I24&lt;&gt;"Not Needed",Settings!$E$15="Yes"),", "&amp;I$1,"")&amp;IF(AND(J24&lt;&gt;"Accepted",J24&lt;&gt;"Not Needed",Settings!$F$15="Yes"),", "&amp;J$1,"")&amp;IF(AND(K24&lt;&gt;"Accepted",K24&lt;&gt;"Not Needed",Settings!$G$15="Yes"),", "&amp;K$1,"")&amp;IF(AND(L24&lt;&gt;"Accepted",L24&lt;&gt;"Not Needed",Settings!$H$15="Yes"),", "&amp;L$1,"")&amp;IF(AND(M24&lt;&gt;"Accepted",M24&lt;&gt;"Not Needed",Settings!$I$15="Yes"),", "&amp;M$1,"")&amp;IF(AND(N24&lt;&gt;"Accepted",N24&lt;&gt;"Not Needed",Settings!$J$15="Yes"),", "&amp;N$1,""),3,400))))</f>
        <v/>
      </c>
    </row>
    <row r="25" ht="15" customHeight="1" s="21">
      <c r="A25" s="31" t="inlineStr">
        <is>
          <t>2026-27</t>
        </is>
      </c>
      <c r="B25" s="31" t="inlineStr">
        <is>
          <t>Hartsfield ES</t>
        </is>
      </c>
      <c r="C25" s="31" t="inlineStr">
        <is>
          <t>NES Elementary</t>
        </is>
      </c>
      <c r="D25" s="31" t="inlineStr">
        <is>
          <t>Not Yet Confirmed</t>
        </is>
      </c>
      <c r="E25" s="31" t="n"/>
      <c r="F25" s="31" t="n"/>
      <c r="G25" s="31" t="inlineStr">
        <is>
          <t>Not Received</t>
        </is>
      </c>
      <c r="H25" s="31" t="inlineStr">
        <is>
          <t>Not Received</t>
        </is>
      </c>
      <c r="I25" s="31" t="inlineStr">
        <is>
          <t>Not Received</t>
        </is>
      </c>
      <c r="J25" s="31" t="inlineStr">
        <is>
          <t>Not Received</t>
        </is>
      </c>
      <c r="K25" s="31" t="inlineStr">
        <is>
          <t>Not Received</t>
        </is>
      </c>
      <c r="L25" s="31" t="inlineStr">
        <is>
          <t>Not Received</t>
        </is>
      </c>
      <c r="M25" s="31" t="inlineStr">
        <is>
          <t>Not Received</t>
        </is>
      </c>
      <c r="N25" s="31" t="inlineStr">
        <is>
          <t>Not Received</t>
        </is>
      </c>
      <c r="O25" s="32">
        <f>IF($B25="","",COUNTIF(G25:N25,"Accepted")+COUNTIF(G25:N25,"Received")+COUNTIF(G25:N25,"Needs Correction"))</f>
        <v/>
      </c>
      <c r="P25" s="32">
        <f>IF($B25="","",SUMPRODUCT(((G25:N25="Accepted")+(G25:N25="Not Needed"))*(Settings!$C$11:$J$11="Yes")))</f>
        <v/>
      </c>
      <c r="Q25" s="32">
        <f>IF($B25="","",SUMPRODUCT(((G25:N25="Accepted")+(G25:N25="Not Needed"))*(Settings!$C$15:$J$15="Yes")))</f>
        <v/>
      </c>
      <c r="R25" s="33">
        <f>IF($B25="","",IF($D25="No","No PTO/PTA",IF($D25&lt;&gt;"Yes","Not Yet Confirmed",IF($Q25&gt;=Settings!$C$13,"Legalized",IF($P25&gt;=Settings!$C$12,"Registered",IF($O25&gt;0,"In Progress","Not Started"))))))</f>
        <v/>
      </c>
      <c r="S25" s="32">
        <f>IF($B25="","",COUNTIF(G25:N25,"Received"))</f>
        <v/>
      </c>
      <c r="T25" s="32">
        <f>IF($B25="","",COUNTIF(G25:N25,"Needs Correction"))</f>
        <v/>
      </c>
      <c r="U25" s="33">
        <f>IF($B25="","",IF($D25&lt;&gt;"Yes","",IF($Q25&gt;=Settings!$C$13,"None",MID(IF(AND(G25&lt;&gt;"Accepted",G25&lt;&gt;"Not Needed",Settings!$C$15="Yes"),", "&amp;G$1,"")&amp;IF(AND(H25&lt;&gt;"Accepted",H25&lt;&gt;"Not Needed",Settings!$D$15="Yes"),", "&amp;H$1,"")&amp;IF(AND(I25&lt;&gt;"Accepted",I25&lt;&gt;"Not Needed",Settings!$E$15="Yes"),", "&amp;I$1,"")&amp;IF(AND(J25&lt;&gt;"Accepted",J25&lt;&gt;"Not Needed",Settings!$F$15="Yes"),", "&amp;J$1,"")&amp;IF(AND(K25&lt;&gt;"Accepted",K25&lt;&gt;"Not Needed",Settings!$G$15="Yes"),", "&amp;K$1,"")&amp;IF(AND(L25&lt;&gt;"Accepted",L25&lt;&gt;"Not Needed",Settings!$H$15="Yes"),", "&amp;L$1,"")&amp;IF(AND(M25&lt;&gt;"Accepted",M25&lt;&gt;"Not Needed",Settings!$I$15="Yes"),", "&amp;M$1,"")&amp;IF(AND(N25&lt;&gt;"Accepted",N25&lt;&gt;"Not Needed",Settings!$J$15="Yes"),", "&amp;N$1,""),3,400))))</f>
        <v/>
      </c>
    </row>
    <row r="26" ht="15" customHeight="1" s="21">
      <c r="A26" s="31" t="inlineStr">
        <is>
          <t>2026-27</t>
        </is>
      </c>
      <c r="B26" s="31" t="inlineStr">
        <is>
          <t>Highland Heights ES</t>
        </is>
      </c>
      <c r="C26" s="31" t="inlineStr">
        <is>
          <t>NES Elementary</t>
        </is>
      </c>
      <c r="D26" s="31" t="inlineStr">
        <is>
          <t>Not Yet Confirmed</t>
        </is>
      </c>
      <c r="E26" s="31" t="n"/>
      <c r="F26" s="31" t="n"/>
      <c r="G26" s="31" t="inlineStr">
        <is>
          <t>Not Received</t>
        </is>
      </c>
      <c r="H26" s="31" t="inlineStr">
        <is>
          <t>Not Received</t>
        </is>
      </c>
      <c r="I26" s="31" t="inlineStr">
        <is>
          <t>Not Received</t>
        </is>
      </c>
      <c r="J26" s="31" t="inlineStr">
        <is>
          <t>Not Received</t>
        </is>
      </c>
      <c r="K26" s="31" t="inlineStr">
        <is>
          <t>Not Received</t>
        </is>
      </c>
      <c r="L26" s="31" t="inlineStr">
        <is>
          <t>Not Received</t>
        </is>
      </c>
      <c r="M26" s="31" t="inlineStr">
        <is>
          <t>Not Received</t>
        </is>
      </c>
      <c r="N26" s="31" t="inlineStr">
        <is>
          <t>Not Received</t>
        </is>
      </c>
      <c r="O26" s="32">
        <f>IF($B26="","",COUNTIF(G26:N26,"Accepted")+COUNTIF(G26:N26,"Received")+COUNTIF(G26:N26,"Needs Correction"))</f>
        <v/>
      </c>
      <c r="P26" s="32">
        <f>IF($B26="","",SUMPRODUCT(((G26:N26="Accepted")+(G26:N26="Not Needed"))*(Settings!$C$11:$J$11="Yes")))</f>
        <v/>
      </c>
      <c r="Q26" s="32">
        <f>IF($B26="","",SUMPRODUCT(((G26:N26="Accepted")+(G26:N26="Not Needed"))*(Settings!$C$15:$J$15="Yes")))</f>
        <v/>
      </c>
      <c r="R26" s="33">
        <f>IF($B26="","",IF($D26="No","No PTO/PTA",IF($D26&lt;&gt;"Yes","Not Yet Confirmed",IF($Q26&gt;=Settings!$C$13,"Legalized",IF($P26&gt;=Settings!$C$12,"Registered",IF($O26&gt;0,"In Progress","Not Started"))))))</f>
        <v/>
      </c>
      <c r="S26" s="32">
        <f>IF($B26="","",COUNTIF(G26:N26,"Received"))</f>
        <v/>
      </c>
      <c r="T26" s="32">
        <f>IF($B26="","",COUNTIF(G26:N26,"Needs Correction"))</f>
        <v/>
      </c>
      <c r="U26" s="33">
        <f>IF($B26="","",IF($D26&lt;&gt;"Yes","",IF($Q26&gt;=Settings!$C$13,"None",MID(IF(AND(G26&lt;&gt;"Accepted",G26&lt;&gt;"Not Needed",Settings!$C$15="Yes"),", "&amp;G$1,"")&amp;IF(AND(H26&lt;&gt;"Accepted",H26&lt;&gt;"Not Needed",Settings!$D$15="Yes"),", "&amp;H$1,"")&amp;IF(AND(I26&lt;&gt;"Accepted",I26&lt;&gt;"Not Needed",Settings!$E$15="Yes"),", "&amp;I$1,"")&amp;IF(AND(J26&lt;&gt;"Accepted",J26&lt;&gt;"Not Needed",Settings!$F$15="Yes"),", "&amp;J$1,"")&amp;IF(AND(K26&lt;&gt;"Accepted",K26&lt;&gt;"Not Needed",Settings!$G$15="Yes"),", "&amp;K$1,"")&amp;IF(AND(L26&lt;&gt;"Accepted",L26&lt;&gt;"Not Needed",Settings!$H$15="Yes"),", "&amp;L$1,"")&amp;IF(AND(M26&lt;&gt;"Accepted",M26&lt;&gt;"Not Needed",Settings!$I$15="Yes"),", "&amp;M$1,"")&amp;IF(AND(N26&lt;&gt;"Accepted",N26&lt;&gt;"Not Needed",Settings!$J$15="Yes"),", "&amp;N$1,""),3,400))))</f>
        <v/>
      </c>
    </row>
    <row r="27" ht="15" customHeight="1" s="21">
      <c r="A27" s="31" t="inlineStr">
        <is>
          <t>2026-27</t>
        </is>
      </c>
      <c r="B27" s="31" t="inlineStr">
        <is>
          <t>Hilliard ES</t>
        </is>
      </c>
      <c r="C27" s="31" t="inlineStr">
        <is>
          <t>NES Elementary</t>
        </is>
      </c>
      <c r="D27" s="31" t="inlineStr">
        <is>
          <t>Not Yet Confirmed</t>
        </is>
      </c>
      <c r="E27" s="31" t="n"/>
      <c r="F27" s="31" t="n"/>
      <c r="G27" s="31" t="inlineStr">
        <is>
          <t>Not Received</t>
        </is>
      </c>
      <c r="H27" s="31" t="inlineStr">
        <is>
          <t>Not Received</t>
        </is>
      </c>
      <c r="I27" s="31" t="inlineStr">
        <is>
          <t>Not Received</t>
        </is>
      </c>
      <c r="J27" s="31" t="inlineStr">
        <is>
          <t>Not Received</t>
        </is>
      </c>
      <c r="K27" s="31" t="inlineStr">
        <is>
          <t>Not Received</t>
        </is>
      </c>
      <c r="L27" s="31" t="inlineStr">
        <is>
          <t>Not Received</t>
        </is>
      </c>
      <c r="M27" s="31" t="inlineStr">
        <is>
          <t>Not Received</t>
        </is>
      </c>
      <c r="N27" s="31" t="inlineStr">
        <is>
          <t>Not Received</t>
        </is>
      </c>
      <c r="O27" s="32">
        <f>IF($B27="","",COUNTIF(G27:N27,"Accepted")+COUNTIF(G27:N27,"Received")+COUNTIF(G27:N27,"Needs Correction"))</f>
        <v/>
      </c>
      <c r="P27" s="32">
        <f>IF($B27="","",SUMPRODUCT(((G27:N27="Accepted")+(G27:N27="Not Needed"))*(Settings!$C$11:$J$11="Yes")))</f>
        <v/>
      </c>
      <c r="Q27" s="32">
        <f>IF($B27="","",SUMPRODUCT(((G27:N27="Accepted")+(G27:N27="Not Needed"))*(Settings!$C$15:$J$15="Yes")))</f>
        <v/>
      </c>
      <c r="R27" s="33">
        <f>IF($B27="","",IF($D27="No","No PTO/PTA",IF($D27&lt;&gt;"Yes","Not Yet Confirmed",IF($Q27&gt;=Settings!$C$13,"Legalized",IF($P27&gt;=Settings!$C$12,"Registered",IF($O27&gt;0,"In Progress","Not Started"))))))</f>
        <v/>
      </c>
      <c r="S27" s="32">
        <f>IF($B27="","",COUNTIF(G27:N27,"Received"))</f>
        <v/>
      </c>
      <c r="T27" s="32">
        <f>IF($B27="","",COUNTIF(G27:N27,"Needs Correction"))</f>
        <v/>
      </c>
      <c r="U27" s="33">
        <f>IF($B27="","",IF($D27&lt;&gt;"Yes","",IF($Q27&gt;=Settings!$C$13,"None",MID(IF(AND(G27&lt;&gt;"Accepted",G27&lt;&gt;"Not Needed",Settings!$C$15="Yes"),", "&amp;G$1,"")&amp;IF(AND(H27&lt;&gt;"Accepted",H27&lt;&gt;"Not Needed",Settings!$D$15="Yes"),", "&amp;H$1,"")&amp;IF(AND(I27&lt;&gt;"Accepted",I27&lt;&gt;"Not Needed",Settings!$E$15="Yes"),", "&amp;I$1,"")&amp;IF(AND(J27&lt;&gt;"Accepted",J27&lt;&gt;"Not Needed",Settings!$F$15="Yes"),", "&amp;J$1,"")&amp;IF(AND(K27&lt;&gt;"Accepted",K27&lt;&gt;"Not Needed",Settings!$G$15="Yes"),", "&amp;K$1,"")&amp;IF(AND(L27&lt;&gt;"Accepted",L27&lt;&gt;"Not Needed",Settings!$H$15="Yes"),", "&amp;L$1,"")&amp;IF(AND(M27&lt;&gt;"Accepted",M27&lt;&gt;"Not Needed",Settings!$I$15="Yes"),", "&amp;M$1,"")&amp;IF(AND(N27&lt;&gt;"Accepted",N27&lt;&gt;"Not Needed",Settings!$J$15="Yes"),", "&amp;N$1,""),3,400))))</f>
        <v/>
      </c>
    </row>
    <row r="28" ht="15" customHeight="1" s="21">
      <c r="A28" s="31" t="inlineStr">
        <is>
          <t>2026-27</t>
        </is>
      </c>
      <c r="B28" s="31" t="inlineStr">
        <is>
          <t>Kennedy ES</t>
        </is>
      </c>
      <c r="C28" s="31" t="inlineStr">
        <is>
          <t>NES Elementary</t>
        </is>
      </c>
      <c r="D28" s="31" t="inlineStr">
        <is>
          <t>No</t>
        </is>
      </c>
      <c r="E28" s="31" t="n"/>
      <c r="F28" s="31" t="n"/>
      <c r="G28" s="31" t="inlineStr">
        <is>
          <t>Not Received</t>
        </is>
      </c>
      <c r="H28" s="31" t="inlineStr">
        <is>
          <t>Not Received</t>
        </is>
      </c>
      <c r="I28" s="31" t="inlineStr">
        <is>
          <t>Not Received</t>
        </is>
      </c>
      <c r="J28" s="31" t="inlineStr">
        <is>
          <t>Not Received</t>
        </is>
      </c>
      <c r="K28" s="31" t="inlineStr">
        <is>
          <t>Not Received</t>
        </is>
      </c>
      <c r="L28" s="31" t="inlineStr">
        <is>
          <t>Not Received</t>
        </is>
      </c>
      <c r="M28" s="31" t="inlineStr">
        <is>
          <t>Not Received</t>
        </is>
      </c>
      <c r="N28" s="31" t="inlineStr">
        <is>
          <t>Not Received</t>
        </is>
      </c>
      <c r="O28" s="32">
        <f>IF($B28="","",COUNTIF(G28:N28,"Accepted")+COUNTIF(G28:N28,"Received")+COUNTIF(G28:N28,"Needs Correction"))</f>
        <v/>
      </c>
      <c r="P28" s="32">
        <f>IF($B28="","",SUMPRODUCT(((G28:N28="Accepted")+(G28:N28="Not Needed"))*(Settings!$C$11:$J$11="Yes")))</f>
        <v/>
      </c>
      <c r="Q28" s="32">
        <f>IF($B28="","",SUMPRODUCT(((G28:N28="Accepted")+(G28:N28="Not Needed"))*(Settings!$C$15:$J$15="Yes")))</f>
        <v/>
      </c>
      <c r="R28" s="33">
        <f>IF($B28="","",IF($D28="No","No PTO/PTA",IF($D28&lt;&gt;"Yes","Not Yet Confirmed",IF($Q28&gt;=Settings!$C$13,"Legalized",IF($P28&gt;=Settings!$C$12,"Registered",IF($O28&gt;0,"In Progress","Not Started"))))))</f>
        <v/>
      </c>
      <c r="S28" s="32">
        <f>IF($B28="","",COUNTIF(G28:N28,"Received"))</f>
        <v/>
      </c>
      <c r="T28" s="32">
        <f>IF($B28="","",COUNTIF(G28:N28,"Needs Correction"))</f>
        <v/>
      </c>
      <c r="U28" s="33">
        <f>IF($B28="","",IF($D28&lt;&gt;"Yes","",IF($Q28&gt;=Settings!$C$13,"None",MID(IF(AND(G28&lt;&gt;"Accepted",G28&lt;&gt;"Not Needed",Settings!$C$15="Yes"),", "&amp;G$1,"")&amp;IF(AND(H28&lt;&gt;"Accepted",H28&lt;&gt;"Not Needed",Settings!$D$15="Yes"),", "&amp;H$1,"")&amp;IF(AND(I28&lt;&gt;"Accepted",I28&lt;&gt;"Not Needed",Settings!$E$15="Yes"),", "&amp;I$1,"")&amp;IF(AND(J28&lt;&gt;"Accepted",J28&lt;&gt;"Not Needed",Settings!$F$15="Yes"),", "&amp;J$1,"")&amp;IF(AND(K28&lt;&gt;"Accepted",K28&lt;&gt;"Not Needed",Settings!$G$15="Yes"),", "&amp;K$1,"")&amp;IF(AND(L28&lt;&gt;"Accepted",L28&lt;&gt;"Not Needed",Settings!$H$15="Yes"),", "&amp;L$1,"")&amp;IF(AND(M28&lt;&gt;"Accepted",M28&lt;&gt;"Not Needed",Settings!$I$15="Yes"),", "&amp;M$1,"")&amp;IF(AND(N28&lt;&gt;"Accepted",N28&lt;&gt;"Not Needed",Settings!$J$15="Yes"),", "&amp;N$1,""),3,400))))</f>
        <v/>
      </c>
    </row>
    <row r="29" ht="15" customHeight="1" s="21">
      <c r="A29" s="31" t="inlineStr">
        <is>
          <t>2026-27</t>
        </is>
      </c>
      <c r="B29" s="31" t="inlineStr">
        <is>
          <t>Ketelsen ES</t>
        </is>
      </c>
      <c r="C29" s="31" t="inlineStr">
        <is>
          <t>NES Elementary</t>
        </is>
      </c>
      <c r="D29" s="31" t="inlineStr">
        <is>
          <t>Yes</t>
        </is>
      </c>
      <c r="E29" s="31" t="inlineStr">
        <is>
          <t>PTA</t>
        </is>
      </c>
      <c r="F29" s="31" t="n"/>
      <c r="G29" s="31" t="inlineStr">
        <is>
          <t>Not Received</t>
        </is>
      </c>
      <c r="H29" s="31" t="inlineStr">
        <is>
          <t>Not Received</t>
        </is>
      </c>
      <c r="I29" s="31" t="inlineStr">
        <is>
          <t>Not Received</t>
        </is>
      </c>
      <c r="J29" s="31" t="inlineStr">
        <is>
          <t>Accepted</t>
        </is>
      </c>
      <c r="K29" s="31" t="inlineStr">
        <is>
          <t>Accepted</t>
        </is>
      </c>
      <c r="L29" s="31" t="inlineStr">
        <is>
          <t>Accepted</t>
        </is>
      </c>
      <c r="M29" s="31" t="inlineStr">
        <is>
          <t>Not Received</t>
        </is>
      </c>
      <c r="N29" s="31" t="inlineStr">
        <is>
          <t>Not Received</t>
        </is>
      </c>
      <c r="O29" s="32">
        <f>IF($B29="","",COUNTIF(G29:N29,"Accepted")+COUNTIF(G29:N29,"Received")+COUNTIF(G29:N29,"Needs Correction"))</f>
        <v/>
      </c>
      <c r="P29" s="32">
        <f>IF($B29="","",SUMPRODUCT(((G29:N29="Accepted")+(G29:N29="Not Needed"))*(Settings!$C$11:$J$11="Yes")))</f>
        <v/>
      </c>
      <c r="Q29" s="32">
        <f>IF($B29="","",SUMPRODUCT(((G29:N29="Accepted")+(G29:N29="Not Needed"))*(Settings!$C$15:$J$15="Yes")))</f>
        <v/>
      </c>
      <c r="R29" s="33">
        <f>IF($B29="","",IF($D29="No","No PTO/PTA",IF($D29&lt;&gt;"Yes","Not Yet Confirmed",IF($Q29&gt;=Settings!$C$13,"Legalized",IF($P29&gt;=Settings!$C$12,"Registered",IF($O29&gt;0,"In Progress","Not Started"))))))</f>
        <v/>
      </c>
      <c r="S29" s="32">
        <f>IF($B29="","",COUNTIF(G29:N29,"Received"))</f>
        <v/>
      </c>
      <c r="T29" s="32">
        <f>IF($B29="","",COUNTIF(G29:N29,"Needs Correction"))</f>
        <v/>
      </c>
      <c r="U29" s="33">
        <f>IF($B29="","",IF($D29&lt;&gt;"Yes","",IF($Q29&gt;=Settings!$C$13,"None",MID(IF(AND(G29&lt;&gt;"Accepted",G29&lt;&gt;"Not Needed",Settings!$C$15="Yes"),", "&amp;G$1,"")&amp;IF(AND(H29&lt;&gt;"Accepted",H29&lt;&gt;"Not Needed",Settings!$D$15="Yes"),", "&amp;H$1,"")&amp;IF(AND(I29&lt;&gt;"Accepted",I29&lt;&gt;"Not Needed",Settings!$E$15="Yes"),", "&amp;I$1,"")&amp;IF(AND(J29&lt;&gt;"Accepted",J29&lt;&gt;"Not Needed",Settings!$F$15="Yes"),", "&amp;J$1,"")&amp;IF(AND(K29&lt;&gt;"Accepted",K29&lt;&gt;"Not Needed",Settings!$G$15="Yes"),", "&amp;K$1,"")&amp;IF(AND(L29&lt;&gt;"Accepted",L29&lt;&gt;"Not Needed",Settings!$H$15="Yes"),", "&amp;L$1,"")&amp;IF(AND(M29&lt;&gt;"Accepted",M29&lt;&gt;"Not Needed",Settings!$I$15="Yes"),", "&amp;M$1,"")&amp;IF(AND(N29&lt;&gt;"Accepted",N29&lt;&gt;"Not Needed",Settings!$J$15="Yes"),", "&amp;N$1,""),3,400))))</f>
        <v/>
      </c>
    </row>
    <row r="30" ht="15" customHeight="1" s="21">
      <c r="A30" s="31" t="inlineStr">
        <is>
          <t>2026-27</t>
        </is>
      </c>
      <c r="B30" s="31" t="inlineStr">
        <is>
          <t>Lockhart ES</t>
        </is>
      </c>
      <c r="C30" s="31" t="inlineStr">
        <is>
          <t>NES Elementary</t>
        </is>
      </c>
      <c r="D30" s="31" t="inlineStr">
        <is>
          <t>Not Yet Confirmed</t>
        </is>
      </c>
      <c r="E30" s="31" t="n"/>
      <c r="F30" s="31" t="n"/>
      <c r="G30" s="31" t="inlineStr">
        <is>
          <t>Not Received</t>
        </is>
      </c>
      <c r="H30" s="31" t="inlineStr">
        <is>
          <t>Not Received</t>
        </is>
      </c>
      <c r="I30" s="31" t="inlineStr">
        <is>
          <t>Not Received</t>
        </is>
      </c>
      <c r="J30" s="31" t="inlineStr">
        <is>
          <t>Not Received</t>
        </is>
      </c>
      <c r="K30" s="31" t="inlineStr">
        <is>
          <t>Not Received</t>
        </is>
      </c>
      <c r="L30" s="31" t="inlineStr">
        <is>
          <t>Not Received</t>
        </is>
      </c>
      <c r="M30" s="31" t="inlineStr">
        <is>
          <t>Not Received</t>
        </is>
      </c>
      <c r="N30" s="31" t="inlineStr">
        <is>
          <t>Not Received</t>
        </is>
      </c>
      <c r="O30" s="32">
        <f>IF($B30="","",COUNTIF(G30:N30,"Accepted")+COUNTIF(G30:N30,"Received")+COUNTIF(G30:N30,"Needs Correction"))</f>
        <v/>
      </c>
      <c r="P30" s="32">
        <f>IF($B30="","",SUMPRODUCT(((G30:N30="Accepted")+(G30:N30="Not Needed"))*(Settings!$C$11:$J$11="Yes")))</f>
        <v/>
      </c>
      <c r="Q30" s="32">
        <f>IF($B30="","",SUMPRODUCT(((G30:N30="Accepted")+(G30:N30="Not Needed"))*(Settings!$C$15:$J$15="Yes")))</f>
        <v/>
      </c>
      <c r="R30" s="33">
        <f>IF($B30="","",IF($D30="No","No PTO/PTA",IF($D30&lt;&gt;"Yes","Not Yet Confirmed",IF($Q30&gt;=Settings!$C$13,"Legalized",IF($P30&gt;=Settings!$C$12,"Registered",IF($O30&gt;0,"In Progress","Not Started"))))))</f>
        <v/>
      </c>
      <c r="S30" s="32">
        <f>IF($B30="","",COUNTIF(G30:N30,"Received"))</f>
        <v/>
      </c>
      <c r="T30" s="32">
        <f>IF($B30="","",COUNTIF(G30:N30,"Needs Correction"))</f>
        <v/>
      </c>
      <c r="U30" s="33">
        <f>IF($B30="","",IF($D30&lt;&gt;"Yes","",IF($Q30&gt;=Settings!$C$13,"None",MID(IF(AND(G30&lt;&gt;"Accepted",G30&lt;&gt;"Not Needed",Settings!$C$15="Yes"),", "&amp;G$1,"")&amp;IF(AND(H30&lt;&gt;"Accepted",H30&lt;&gt;"Not Needed",Settings!$D$15="Yes"),", "&amp;H$1,"")&amp;IF(AND(I30&lt;&gt;"Accepted",I30&lt;&gt;"Not Needed",Settings!$E$15="Yes"),", "&amp;I$1,"")&amp;IF(AND(J30&lt;&gt;"Accepted",J30&lt;&gt;"Not Needed",Settings!$F$15="Yes"),", "&amp;J$1,"")&amp;IF(AND(K30&lt;&gt;"Accepted",K30&lt;&gt;"Not Needed",Settings!$G$15="Yes"),", "&amp;K$1,"")&amp;IF(AND(L30&lt;&gt;"Accepted",L30&lt;&gt;"Not Needed",Settings!$H$15="Yes"),", "&amp;L$1,"")&amp;IF(AND(M30&lt;&gt;"Accepted",M30&lt;&gt;"Not Needed",Settings!$I$15="Yes"),", "&amp;M$1,"")&amp;IF(AND(N30&lt;&gt;"Accepted",N30&lt;&gt;"Not Needed",Settings!$J$15="Yes"),", "&amp;N$1,""),3,400))))</f>
        <v/>
      </c>
    </row>
    <row r="31" ht="15" customHeight="1" s="21">
      <c r="A31" s="31" t="inlineStr">
        <is>
          <t>2026-27</t>
        </is>
      </c>
      <c r="B31" s="31" t="inlineStr">
        <is>
          <t>Longfellow ES</t>
        </is>
      </c>
      <c r="C31" s="31" t="inlineStr">
        <is>
          <t>NES Elementary</t>
        </is>
      </c>
      <c r="D31" s="31" t="inlineStr">
        <is>
          <t>Not Yet Confirmed</t>
        </is>
      </c>
      <c r="E31" s="31" t="n"/>
      <c r="F31" s="31" t="n"/>
      <c r="G31" s="31" t="inlineStr">
        <is>
          <t>Not Received</t>
        </is>
      </c>
      <c r="H31" s="31" t="inlineStr">
        <is>
          <t>Not Received</t>
        </is>
      </c>
      <c r="I31" s="31" t="inlineStr">
        <is>
          <t>Not Received</t>
        </is>
      </c>
      <c r="J31" s="31" t="inlineStr">
        <is>
          <t>Not Received</t>
        </is>
      </c>
      <c r="K31" s="31" t="inlineStr">
        <is>
          <t>Not Received</t>
        </is>
      </c>
      <c r="L31" s="31" t="inlineStr">
        <is>
          <t>Not Received</t>
        </is>
      </c>
      <c r="M31" s="31" t="inlineStr">
        <is>
          <t>Not Received</t>
        </is>
      </c>
      <c r="N31" s="31" t="inlineStr">
        <is>
          <t>Not Received</t>
        </is>
      </c>
      <c r="O31" s="32">
        <f>IF($B31="","",COUNTIF(G31:N31,"Accepted")+COUNTIF(G31:N31,"Received")+COUNTIF(G31:N31,"Needs Correction"))</f>
        <v/>
      </c>
      <c r="P31" s="32">
        <f>IF($B31="","",SUMPRODUCT(((G31:N31="Accepted")+(G31:N31="Not Needed"))*(Settings!$C$11:$J$11="Yes")))</f>
        <v/>
      </c>
      <c r="Q31" s="32">
        <f>IF($B31="","",SUMPRODUCT(((G31:N31="Accepted")+(G31:N31="Not Needed"))*(Settings!$C$15:$J$15="Yes")))</f>
        <v/>
      </c>
      <c r="R31" s="33">
        <f>IF($B31="","",IF($D31="No","No PTO/PTA",IF($D31&lt;&gt;"Yes","Not Yet Confirmed",IF($Q31&gt;=Settings!$C$13,"Legalized",IF($P31&gt;=Settings!$C$12,"Registered",IF($O31&gt;0,"In Progress","Not Started"))))))</f>
        <v/>
      </c>
      <c r="S31" s="32">
        <f>IF($B31="","",COUNTIF(G31:N31,"Received"))</f>
        <v/>
      </c>
      <c r="T31" s="32">
        <f>IF($B31="","",COUNTIF(G31:N31,"Needs Correction"))</f>
        <v/>
      </c>
      <c r="U31" s="33">
        <f>IF($B31="","",IF($D31&lt;&gt;"Yes","",IF($Q31&gt;=Settings!$C$13,"None",MID(IF(AND(G31&lt;&gt;"Accepted",G31&lt;&gt;"Not Needed",Settings!$C$15="Yes"),", "&amp;G$1,"")&amp;IF(AND(H31&lt;&gt;"Accepted",H31&lt;&gt;"Not Needed",Settings!$D$15="Yes"),", "&amp;H$1,"")&amp;IF(AND(I31&lt;&gt;"Accepted",I31&lt;&gt;"Not Needed",Settings!$E$15="Yes"),", "&amp;I$1,"")&amp;IF(AND(J31&lt;&gt;"Accepted",J31&lt;&gt;"Not Needed",Settings!$F$15="Yes"),", "&amp;J$1,"")&amp;IF(AND(K31&lt;&gt;"Accepted",K31&lt;&gt;"Not Needed",Settings!$G$15="Yes"),", "&amp;K$1,"")&amp;IF(AND(L31&lt;&gt;"Accepted",L31&lt;&gt;"Not Needed",Settings!$H$15="Yes"),", "&amp;L$1,"")&amp;IF(AND(M31&lt;&gt;"Accepted",M31&lt;&gt;"Not Needed",Settings!$I$15="Yes"),", "&amp;M$1,"")&amp;IF(AND(N31&lt;&gt;"Accepted",N31&lt;&gt;"Not Needed",Settings!$J$15="Yes"),", "&amp;N$1,""),3,400))))</f>
        <v/>
      </c>
    </row>
    <row r="32" ht="15" customHeight="1" s="21">
      <c r="A32" s="31" t="inlineStr">
        <is>
          <t>2026-27</t>
        </is>
      </c>
      <c r="B32" s="31" t="inlineStr">
        <is>
          <t>Martinez R ES</t>
        </is>
      </c>
      <c r="C32" s="31" t="inlineStr">
        <is>
          <t>NES Elementary</t>
        </is>
      </c>
      <c r="D32" s="31" t="inlineStr">
        <is>
          <t>Not Yet Confirmed</t>
        </is>
      </c>
      <c r="E32" s="31" t="n"/>
      <c r="F32" s="31" t="n"/>
      <c r="G32" s="31" t="inlineStr">
        <is>
          <t>Not Received</t>
        </is>
      </c>
      <c r="H32" s="31" t="inlineStr">
        <is>
          <t>Not Received</t>
        </is>
      </c>
      <c r="I32" s="31" t="inlineStr">
        <is>
          <t>Not Received</t>
        </is>
      </c>
      <c r="J32" s="31" t="inlineStr">
        <is>
          <t>Not Received</t>
        </is>
      </c>
      <c r="K32" s="31" t="inlineStr">
        <is>
          <t>Not Received</t>
        </is>
      </c>
      <c r="L32" s="31" t="inlineStr">
        <is>
          <t>Not Received</t>
        </is>
      </c>
      <c r="M32" s="31" t="inlineStr">
        <is>
          <t>Not Received</t>
        </is>
      </c>
      <c r="N32" s="31" t="inlineStr">
        <is>
          <t>Not Received</t>
        </is>
      </c>
      <c r="O32" s="32">
        <f>IF($B32="","",COUNTIF(G32:N32,"Accepted")+COUNTIF(G32:N32,"Received")+COUNTIF(G32:N32,"Needs Correction"))</f>
        <v/>
      </c>
      <c r="P32" s="32">
        <f>IF($B32="","",SUMPRODUCT(((G32:N32="Accepted")+(G32:N32="Not Needed"))*(Settings!$C$11:$J$11="Yes")))</f>
        <v/>
      </c>
      <c r="Q32" s="32">
        <f>IF($B32="","",SUMPRODUCT(((G32:N32="Accepted")+(G32:N32="Not Needed"))*(Settings!$C$15:$J$15="Yes")))</f>
        <v/>
      </c>
      <c r="R32" s="33">
        <f>IF($B32="","",IF($D32="No","No PTO/PTA",IF($D32&lt;&gt;"Yes","Not Yet Confirmed",IF($Q32&gt;=Settings!$C$13,"Legalized",IF($P32&gt;=Settings!$C$12,"Registered",IF($O32&gt;0,"In Progress","Not Started"))))))</f>
        <v/>
      </c>
      <c r="S32" s="32">
        <f>IF($B32="","",COUNTIF(G32:N32,"Received"))</f>
        <v/>
      </c>
      <c r="T32" s="32">
        <f>IF($B32="","",COUNTIF(G32:N32,"Needs Correction"))</f>
        <v/>
      </c>
      <c r="U32" s="33">
        <f>IF($B32="","",IF($D32&lt;&gt;"Yes","",IF($Q32&gt;=Settings!$C$13,"None",MID(IF(AND(G32&lt;&gt;"Accepted",G32&lt;&gt;"Not Needed",Settings!$C$15="Yes"),", "&amp;G$1,"")&amp;IF(AND(H32&lt;&gt;"Accepted",H32&lt;&gt;"Not Needed",Settings!$D$15="Yes"),", "&amp;H$1,"")&amp;IF(AND(I32&lt;&gt;"Accepted",I32&lt;&gt;"Not Needed",Settings!$E$15="Yes"),", "&amp;I$1,"")&amp;IF(AND(J32&lt;&gt;"Accepted",J32&lt;&gt;"Not Needed",Settings!$F$15="Yes"),", "&amp;J$1,"")&amp;IF(AND(K32&lt;&gt;"Accepted",K32&lt;&gt;"Not Needed",Settings!$G$15="Yes"),", "&amp;K$1,"")&amp;IF(AND(L32&lt;&gt;"Accepted",L32&lt;&gt;"Not Needed",Settings!$H$15="Yes"),", "&amp;L$1,"")&amp;IF(AND(M32&lt;&gt;"Accepted",M32&lt;&gt;"Not Needed",Settings!$I$15="Yes"),", "&amp;M$1,"")&amp;IF(AND(N32&lt;&gt;"Accepted",N32&lt;&gt;"Not Needed",Settings!$J$15="Yes"),", "&amp;N$1,""),3,400))))</f>
        <v/>
      </c>
    </row>
    <row r="33" ht="15" customHeight="1" s="21">
      <c r="A33" s="31" t="inlineStr">
        <is>
          <t>2026-27</t>
        </is>
      </c>
      <c r="B33" s="31" t="inlineStr">
        <is>
          <t>Mitchell ES</t>
        </is>
      </c>
      <c r="C33" s="31" t="inlineStr">
        <is>
          <t>NES Elementary</t>
        </is>
      </c>
      <c r="D33" s="31" t="inlineStr">
        <is>
          <t>Not Yet Confirmed</t>
        </is>
      </c>
      <c r="E33" s="31" t="n"/>
      <c r="F33" s="31" t="n"/>
      <c r="G33" s="31" t="inlineStr">
        <is>
          <t>Not Received</t>
        </is>
      </c>
      <c r="H33" s="31" t="inlineStr">
        <is>
          <t>Not Received</t>
        </is>
      </c>
      <c r="I33" s="31" t="inlineStr">
        <is>
          <t>Not Received</t>
        </is>
      </c>
      <c r="J33" s="31" t="inlineStr">
        <is>
          <t>Not Received</t>
        </is>
      </c>
      <c r="K33" s="31" t="inlineStr">
        <is>
          <t>Not Received</t>
        </is>
      </c>
      <c r="L33" s="31" t="inlineStr">
        <is>
          <t>Not Received</t>
        </is>
      </c>
      <c r="M33" s="31" t="inlineStr">
        <is>
          <t>Not Received</t>
        </is>
      </c>
      <c r="N33" s="31" t="inlineStr">
        <is>
          <t>Not Received</t>
        </is>
      </c>
      <c r="O33" s="32">
        <f>IF($B33="","",COUNTIF(G33:N33,"Accepted")+COUNTIF(G33:N33,"Received")+COUNTIF(G33:N33,"Needs Correction"))</f>
        <v/>
      </c>
      <c r="P33" s="32">
        <f>IF($B33="","",SUMPRODUCT(((G33:N33="Accepted")+(G33:N33="Not Needed"))*(Settings!$C$11:$J$11="Yes")))</f>
        <v/>
      </c>
      <c r="Q33" s="32">
        <f>IF($B33="","",SUMPRODUCT(((G33:N33="Accepted")+(G33:N33="Not Needed"))*(Settings!$C$15:$J$15="Yes")))</f>
        <v/>
      </c>
      <c r="R33" s="33">
        <f>IF($B33="","",IF($D33="No","No PTO/PTA",IF($D33&lt;&gt;"Yes","Not Yet Confirmed",IF($Q33&gt;=Settings!$C$13,"Legalized",IF($P33&gt;=Settings!$C$12,"Registered",IF($O33&gt;0,"In Progress","Not Started"))))))</f>
        <v/>
      </c>
      <c r="S33" s="32">
        <f>IF($B33="","",COUNTIF(G33:N33,"Received"))</f>
        <v/>
      </c>
      <c r="T33" s="32">
        <f>IF($B33="","",COUNTIF(G33:N33,"Needs Correction"))</f>
        <v/>
      </c>
      <c r="U33" s="33">
        <f>IF($B33="","",IF($D33&lt;&gt;"Yes","",IF($Q33&gt;=Settings!$C$13,"None",MID(IF(AND(G33&lt;&gt;"Accepted",G33&lt;&gt;"Not Needed",Settings!$C$15="Yes"),", "&amp;G$1,"")&amp;IF(AND(H33&lt;&gt;"Accepted",H33&lt;&gt;"Not Needed",Settings!$D$15="Yes"),", "&amp;H$1,"")&amp;IF(AND(I33&lt;&gt;"Accepted",I33&lt;&gt;"Not Needed",Settings!$E$15="Yes"),", "&amp;I$1,"")&amp;IF(AND(J33&lt;&gt;"Accepted",J33&lt;&gt;"Not Needed",Settings!$F$15="Yes"),", "&amp;J$1,"")&amp;IF(AND(K33&lt;&gt;"Accepted",K33&lt;&gt;"Not Needed",Settings!$G$15="Yes"),", "&amp;K$1,"")&amp;IF(AND(L33&lt;&gt;"Accepted",L33&lt;&gt;"Not Needed",Settings!$H$15="Yes"),", "&amp;L$1,"")&amp;IF(AND(M33&lt;&gt;"Accepted",M33&lt;&gt;"Not Needed",Settings!$I$15="Yes"),", "&amp;M$1,"")&amp;IF(AND(N33&lt;&gt;"Accepted",N33&lt;&gt;"Not Needed",Settings!$J$15="Yes"),", "&amp;N$1,""),3,400))))</f>
        <v/>
      </c>
    </row>
    <row r="34" ht="15" customHeight="1" s="21">
      <c r="A34" s="31" t="inlineStr">
        <is>
          <t>2026-27</t>
        </is>
      </c>
      <c r="B34" s="31" t="inlineStr">
        <is>
          <t>Oates ES</t>
        </is>
      </c>
      <c r="C34" s="31" t="inlineStr">
        <is>
          <t>NES Elementary</t>
        </is>
      </c>
      <c r="D34" s="31" t="inlineStr">
        <is>
          <t>Not Yet Confirmed</t>
        </is>
      </c>
      <c r="E34" s="31" t="n"/>
      <c r="F34" s="31" t="n"/>
      <c r="G34" s="31" t="inlineStr">
        <is>
          <t>Not Received</t>
        </is>
      </c>
      <c r="H34" s="31" t="inlineStr">
        <is>
          <t>Not Received</t>
        </is>
      </c>
      <c r="I34" s="31" t="inlineStr">
        <is>
          <t>Not Received</t>
        </is>
      </c>
      <c r="J34" s="31" t="inlineStr">
        <is>
          <t>Not Received</t>
        </is>
      </c>
      <c r="K34" s="31" t="inlineStr">
        <is>
          <t>Not Received</t>
        </is>
      </c>
      <c r="L34" s="31" t="inlineStr">
        <is>
          <t>Not Received</t>
        </is>
      </c>
      <c r="M34" s="31" t="inlineStr">
        <is>
          <t>Not Received</t>
        </is>
      </c>
      <c r="N34" s="31" t="inlineStr">
        <is>
          <t>Not Received</t>
        </is>
      </c>
      <c r="O34" s="32">
        <f>IF($B34="","",COUNTIF(G34:N34,"Accepted")+COUNTIF(G34:N34,"Received")+COUNTIF(G34:N34,"Needs Correction"))</f>
        <v/>
      </c>
      <c r="P34" s="32">
        <f>IF($B34="","",SUMPRODUCT(((G34:N34="Accepted")+(G34:N34="Not Needed"))*(Settings!$C$11:$J$11="Yes")))</f>
        <v/>
      </c>
      <c r="Q34" s="32">
        <f>IF($B34="","",SUMPRODUCT(((G34:N34="Accepted")+(G34:N34="Not Needed"))*(Settings!$C$15:$J$15="Yes")))</f>
        <v/>
      </c>
      <c r="R34" s="33">
        <f>IF($B34="","",IF($D34="No","No PTO/PTA",IF($D34&lt;&gt;"Yes","Not Yet Confirmed",IF($Q34&gt;=Settings!$C$13,"Legalized",IF($P34&gt;=Settings!$C$12,"Registered",IF($O34&gt;0,"In Progress","Not Started"))))))</f>
        <v/>
      </c>
      <c r="S34" s="32">
        <f>IF($B34="","",COUNTIF(G34:N34,"Received"))</f>
        <v/>
      </c>
      <c r="T34" s="32">
        <f>IF($B34="","",COUNTIF(G34:N34,"Needs Correction"))</f>
        <v/>
      </c>
      <c r="U34" s="33">
        <f>IF($B34="","",IF($D34&lt;&gt;"Yes","",IF($Q34&gt;=Settings!$C$13,"None",MID(IF(AND(G34&lt;&gt;"Accepted",G34&lt;&gt;"Not Needed",Settings!$C$15="Yes"),", "&amp;G$1,"")&amp;IF(AND(H34&lt;&gt;"Accepted",H34&lt;&gt;"Not Needed",Settings!$D$15="Yes"),", "&amp;H$1,"")&amp;IF(AND(I34&lt;&gt;"Accepted",I34&lt;&gt;"Not Needed",Settings!$E$15="Yes"),", "&amp;I$1,"")&amp;IF(AND(J34&lt;&gt;"Accepted",J34&lt;&gt;"Not Needed",Settings!$F$15="Yes"),", "&amp;J$1,"")&amp;IF(AND(K34&lt;&gt;"Accepted",K34&lt;&gt;"Not Needed",Settings!$G$15="Yes"),", "&amp;K$1,"")&amp;IF(AND(L34&lt;&gt;"Accepted",L34&lt;&gt;"Not Needed",Settings!$H$15="Yes"),", "&amp;L$1,"")&amp;IF(AND(M34&lt;&gt;"Accepted",M34&lt;&gt;"Not Needed",Settings!$I$15="Yes"),", "&amp;M$1,"")&amp;IF(AND(N34&lt;&gt;"Accepted",N34&lt;&gt;"Not Needed",Settings!$J$15="Yes"),", "&amp;N$1,""),3,400))))</f>
        <v/>
      </c>
    </row>
    <row r="35" ht="15" customHeight="1" s="21">
      <c r="A35" s="31" t="inlineStr">
        <is>
          <t>2026-27</t>
        </is>
      </c>
      <c r="B35" s="31" t="inlineStr">
        <is>
          <t>Osborne ES</t>
        </is>
      </c>
      <c r="C35" s="31" t="inlineStr">
        <is>
          <t>NES Elementary</t>
        </is>
      </c>
      <c r="D35" s="31" t="inlineStr">
        <is>
          <t>No</t>
        </is>
      </c>
      <c r="E35" s="31" t="n"/>
      <c r="F35" s="31" t="n"/>
      <c r="G35" s="31" t="inlineStr">
        <is>
          <t>Not Received</t>
        </is>
      </c>
      <c r="H35" s="31" t="inlineStr">
        <is>
          <t>Not Received</t>
        </is>
      </c>
      <c r="I35" s="31" t="inlineStr">
        <is>
          <t>Not Received</t>
        </is>
      </c>
      <c r="J35" s="31" t="inlineStr">
        <is>
          <t>Not Received</t>
        </is>
      </c>
      <c r="K35" s="31" t="inlineStr">
        <is>
          <t>Not Received</t>
        </is>
      </c>
      <c r="L35" s="31" t="inlineStr">
        <is>
          <t>Not Received</t>
        </is>
      </c>
      <c r="M35" s="31" t="inlineStr">
        <is>
          <t>Not Received</t>
        </is>
      </c>
      <c r="N35" s="31" t="inlineStr">
        <is>
          <t>Not Received</t>
        </is>
      </c>
      <c r="O35" s="32">
        <f>IF($B35="","",COUNTIF(G35:N35,"Accepted")+COUNTIF(G35:N35,"Received")+COUNTIF(G35:N35,"Needs Correction"))</f>
        <v/>
      </c>
      <c r="P35" s="32">
        <f>IF($B35="","",SUMPRODUCT(((G35:N35="Accepted")+(G35:N35="Not Needed"))*(Settings!$C$11:$J$11="Yes")))</f>
        <v/>
      </c>
      <c r="Q35" s="32">
        <f>IF($B35="","",SUMPRODUCT(((G35:N35="Accepted")+(G35:N35="Not Needed"))*(Settings!$C$15:$J$15="Yes")))</f>
        <v/>
      </c>
      <c r="R35" s="33">
        <f>IF($B35="","",IF($D35="No","No PTO/PTA",IF($D35&lt;&gt;"Yes","Not Yet Confirmed",IF($Q35&gt;=Settings!$C$13,"Legalized",IF($P35&gt;=Settings!$C$12,"Registered",IF($O35&gt;0,"In Progress","Not Started"))))))</f>
        <v/>
      </c>
      <c r="S35" s="32">
        <f>IF($B35="","",COUNTIF(G35:N35,"Received"))</f>
        <v/>
      </c>
      <c r="T35" s="32">
        <f>IF($B35="","",COUNTIF(G35:N35,"Needs Correction"))</f>
        <v/>
      </c>
      <c r="U35" s="33">
        <f>IF($B35="","",IF($D35&lt;&gt;"Yes","",IF($Q35&gt;=Settings!$C$13,"None",MID(IF(AND(G35&lt;&gt;"Accepted",G35&lt;&gt;"Not Needed",Settings!$C$15="Yes"),", "&amp;G$1,"")&amp;IF(AND(H35&lt;&gt;"Accepted",H35&lt;&gt;"Not Needed",Settings!$D$15="Yes"),", "&amp;H$1,"")&amp;IF(AND(I35&lt;&gt;"Accepted",I35&lt;&gt;"Not Needed",Settings!$E$15="Yes"),", "&amp;I$1,"")&amp;IF(AND(J35&lt;&gt;"Accepted",J35&lt;&gt;"Not Needed",Settings!$F$15="Yes"),", "&amp;J$1,"")&amp;IF(AND(K35&lt;&gt;"Accepted",K35&lt;&gt;"Not Needed",Settings!$G$15="Yes"),", "&amp;K$1,"")&amp;IF(AND(L35&lt;&gt;"Accepted",L35&lt;&gt;"Not Needed",Settings!$H$15="Yes"),", "&amp;L$1,"")&amp;IF(AND(M35&lt;&gt;"Accepted",M35&lt;&gt;"Not Needed",Settings!$I$15="Yes"),", "&amp;M$1,"")&amp;IF(AND(N35&lt;&gt;"Accepted",N35&lt;&gt;"Not Needed",Settings!$J$15="Yes"),", "&amp;N$1,""),3,400))))</f>
        <v/>
      </c>
    </row>
    <row r="36" ht="15" customHeight="1" s="21">
      <c r="A36" s="31" t="inlineStr">
        <is>
          <t>2026-27</t>
        </is>
      </c>
      <c r="B36" s="31" t="inlineStr">
        <is>
          <t>Peck ES</t>
        </is>
      </c>
      <c r="C36" s="31" t="inlineStr">
        <is>
          <t>NES Elementary</t>
        </is>
      </c>
      <c r="D36" s="31" t="inlineStr">
        <is>
          <t>Not Yet Confirmed</t>
        </is>
      </c>
      <c r="E36" s="31" t="n"/>
      <c r="F36" s="31" t="n"/>
      <c r="G36" s="31" t="inlineStr">
        <is>
          <t>Not Received</t>
        </is>
      </c>
      <c r="H36" s="31" t="inlineStr">
        <is>
          <t>Not Received</t>
        </is>
      </c>
      <c r="I36" s="31" t="inlineStr">
        <is>
          <t>Not Received</t>
        </is>
      </c>
      <c r="J36" s="31" t="inlineStr">
        <is>
          <t>Not Received</t>
        </is>
      </c>
      <c r="K36" s="31" t="inlineStr">
        <is>
          <t>Not Received</t>
        </is>
      </c>
      <c r="L36" s="31" t="inlineStr">
        <is>
          <t>Not Received</t>
        </is>
      </c>
      <c r="M36" s="31" t="inlineStr">
        <is>
          <t>Not Received</t>
        </is>
      </c>
      <c r="N36" s="31" t="inlineStr">
        <is>
          <t>Not Received</t>
        </is>
      </c>
      <c r="O36" s="32">
        <f>IF($B36="","",COUNTIF(G36:N36,"Accepted")+COUNTIF(G36:N36,"Received")+COUNTIF(G36:N36,"Needs Correction"))</f>
        <v/>
      </c>
      <c r="P36" s="32">
        <f>IF($B36="","",SUMPRODUCT(((G36:N36="Accepted")+(G36:N36="Not Needed"))*(Settings!$C$11:$J$11="Yes")))</f>
        <v/>
      </c>
      <c r="Q36" s="32">
        <f>IF($B36="","",SUMPRODUCT(((G36:N36="Accepted")+(G36:N36="Not Needed"))*(Settings!$C$15:$J$15="Yes")))</f>
        <v/>
      </c>
      <c r="R36" s="33">
        <f>IF($B36="","",IF($D36="No","No PTO/PTA",IF($D36&lt;&gt;"Yes","Not Yet Confirmed",IF($Q36&gt;=Settings!$C$13,"Legalized",IF($P36&gt;=Settings!$C$12,"Registered",IF($O36&gt;0,"In Progress","Not Started"))))))</f>
        <v/>
      </c>
      <c r="S36" s="32">
        <f>IF($B36="","",COUNTIF(G36:N36,"Received"))</f>
        <v/>
      </c>
      <c r="T36" s="32">
        <f>IF($B36="","",COUNTIF(G36:N36,"Needs Correction"))</f>
        <v/>
      </c>
      <c r="U36" s="33">
        <f>IF($B36="","",IF($D36&lt;&gt;"Yes","",IF($Q36&gt;=Settings!$C$13,"None",MID(IF(AND(G36&lt;&gt;"Accepted",G36&lt;&gt;"Not Needed",Settings!$C$15="Yes"),", "&amp;G$1,"")&amp;IF(AND(H36&lt;&gt;"Accepted",H36&lt;&gt;"Not Needed",Settings!$D$15="Yes"),", "&amp;H$1,"")&amp;IF(AND(I36&lt;&gt;"Accepted",I36&lt;&gt;"Not Needed",Settings!$E$15="Yes"),", "&amp;I$1,"")&amp;IF(AND(J36&lt;&gt;"Accepted",J36&lt;&gt;"Not Needed",Settings!$F$15="Yes"),", "&amp;J$1,"")&amp;IF(AND(K36&lt;&gt;"Accepted",K36&lt;&gt;"Not Needed",Settings!$G$15="Yes"),", "&amp;K$1,"")&amp;IF(AND(L36&lt;&gt;"Accepted",L36&lt;&gt;"Not Needed",Settings!$H$15="Yes"),", "&amp;L$1,"")&amp;IF(AND(M36&lt;&gt;"Accepted",M36&lt;&gt;"Not Needed",Settings!$I$15="Yes"),", "&amp;M$1,"")&amp;IF(AND(N36&lt;&gt;"Accepted",N36&lt;&gt;"Not Needed",Settings!$J$15="Yes"),", "&amp;N$1,""),3,400))))</f>
        <v/>
      </c>
    </row>
    <row r="37" ht="15" customHeight="1" s="21">
      <c r="A37" s="31" t="inlineStr">
        <is>
          <t>2026-27</t>
        </is>
      </c>
      <c r="B37" s="31" t="inlineStr">
        <is>
          <t>Rucker ES</t>
        </is>
      </c>
      <c r="C37" s="31" t="inlineStr">
        <is>
          <t>NES Elementary</t>
        </is>
      </c>
      <c r="D37" s="31" t="inlineStr">
        <is>
          <t>Not Yet Confirmed</t>
        </is>
      </c>
      <c r="E37" s="31" t="n"/>
      <c r="F37" s="31" t="n"/>
      <c r="G37" s="31" t="inlineStr">
        <is>
          <t>Not Received</t>
        </is>
      </c>
      <c r="H37" s="31" t="inlineStr">
        <is>
          <t>Not Received</t>
        </is>
      </c>
      <c r="I37" s="31" t="inlineStr">
        <is>
          <t>Not Received</t>
        </is>
      </c>
      <c r="J37" s="31" t="inlineStr">
        <is>
          <t>Not Received</t>
        </is>
      </c>
      <c r="K37" s="31" t="inlineStr">
        <is>
          <t>Not Received</t>
        </is>
      </c>
      <c r="L37" s="31" t="inlineStr">
        <is>
          <t>Not Received</t>
        </is>
      </c>
      <c r="M37" s="31" t="inlineStr">
        <is>
          <t>Not Received</t>
        </is>
      </c>
      <c r="N37" s="31" t="inlineStr">
        <is>
          <t>Not Received</t>
        </is>
      </c>
      <c r="O37" s="32">
        <f>IF($B37="","",COUNTIF(G37:N37,"Accepted")+COUNTIF(G37:N37,"Received")+COUNTIF(G37:N37,"Needs Correction"))</f>
        <v/>
      </c>
      <c r="P37" s="32">
        <f>IF($B37="","",SUMPRODUCT(((G37:N37="Accepted")+(G37:N37="Not Needed"))*(Settings!$C$11:$J$11="Yes")))</f>
        <v/>
      </c>
      <c r="Q37" s="32">
        <f>IF($B37="","",SUMPRODUCT(((G37:N37="Accepted")+(G37:N37="Not Needed"))*(Settings!$C$15:$J$15="Yes")))</f>
        <v/>
      </c>
      <c r="R37" s="33">
        <f>IF($B37="","",IF($D37="No","No PTO/PTA",IF($D37&lt;&gt;"Yes","Not Yet Confirmed",IF($Q37&gt;=Settings!$C$13,"Legalized",IF($P37&gt;=Settings!$C$12,"Registered",IF($O37&gt;0,"In Progress","Not Started"))))))</f>
        <v/>
      </c>
      <c r="S37" s="32">
        <f>IF($B37="","",COUNTIF(G37:N37,"Received"))</f>
        <v/>
      </c>
      <c r="T37" s="32">
        <f>IF($B37="","",COUNTIF(G37:N37,"Needs Correction"))</f>
        <v/>
      </c>
      <c r="U37" s="33">
        <f>IF($B37="","",IF($D37&lt;&gt;"Yes","",IF($Q37&gt;=Settings!$C$13,"None",MID(IF(AND(G37&lt;&gt;"Accepted",G37&lt;&gt;"Not Needed",Settings!$C$15="Yes"),", "&amp;G$1,"")&amp;IF(AND(H37&lt;&gt;"Accepted",H37&lt;&gt;"Not Needed",Settings!$D$15="Yes"),", "&amp;H$1,"")&amp;IF(AND(I37&lt;&gt;"Accepted",I37&lt;&gt;"Not Needed",Settings!$E$15="Yes"),", "&amp;I$1,"")&amp;IF(AND(J37&lt;&gt;"Accepted",J37&lt;&gt;"Not Needed",Settings!$F$15="Yes"),", "&amp;J$1,"")&amp;IF(AND(K37&lt;&gt;"Accepted",K37&lt;&gt;"Not Needed",Settings!$G$15="Yes"),", "&amp;K$1,"")&amp;IF(AND(L37&lt;&gt;"Accepted",L37&lt;&gt;"Not Needed",Settings!$H$15="Yes"),", "&amp;L$1,"")&amp;IF(AND(M37&lt;&gt;"Accepted",M37&lt;&gt;"Not Needed",Settings!$I$15="Yes"),", "&amp;M$1,"")&amp;IF(AND(N37&lt;&gt;"Accepted",N37&lt;&gt;"Not Needed",Settings!$J$15="Yes"),", "&amp;N$1,""),3,400))))</f>
        <v/>
      </c>
    </row>
    <row r="38" ht="15" customHeight="1" s="21">
      <c r="A38" s="31" t="inlineStr">
        <is>
          <t>2026-27</t>
        </is>
      </c>
      <c r="B38" s="31" t="inlineStr">
        <is>
          <t>Seguin ES</t>
        </is>
      </c>
      <c r="C38" s="31" t="inlineStr">
        <is>
          <t>NES Elementary</t>
        </is>
      </c>
      <c r="D38" s="31" t="inlineStr">
        <is>
          <t>Not Yet Confirmed</t>
        </is>
      </c>
      <c r="E38" s="31" t="n"/>
      <c r="F38" s="31" t="n"/>
      <c r="G38" s="31" t="inlineStr">
        <is>
          <t>Not Received</t>
        </is>
      </c>
      <c r="H38" s="31" t="inlineStr">
        <is>
          <t>Not Received</t>
        </is>
      </c>
      <c r="I38" s="31" t="inlineStr">
        <is>
          <t>Not Received</t>
        </is>
      </c>
      <c r="J38" s="31" t="inlineStr">
        <is>
          <t>Not Received</t>
        </is>
      </c>
      <c r="K38" s="31" t="inlineStr">
        <is>
          <t>Not Received</t>
        </is>
      </c>
      <c r="L38" s="31" t="inlineStr">
        <is>
          <t>Not Received</t>
        </is>
      </c>
      <c r="M38" s="31" t="inlineStr">
        <is>
          <t>Not Received</t>
        </is>
      </c>
      <c r="N38" s="31" t="inlineStr">
        <is>
          <t>Not Received</t>
        </is>
      </c>
      <c r="O38" s="32">
        <f>IF($B38="","",COUNTIF(G38:N38,"Accepted")+COUNTIF(G38:N38,"Received")+COUNTIF(G38:N38,"Needs Correction"))</f>
        <v/>
      </c>
      <c r="P38" s="32">
        <f>IF($B38="","",SUMPRODUCT(((G38:N38="Accepted")+(G38:N38="Not Needed"))*(Settings!$C$11:$J$11="Yes")))</f>
        <v/>
      </c>
      <c r="Q38" s="32">
        <f>IF($B38="","",SUMPRODUCT(((G38:N38="Accepted")+(G38:N38="Not Needed"))*(Settings!$C$15:$J$15="Yes")))</f>
        <v/>
      </c>
      <c r="R38" s="33">
        <f>IF($B38="","",IF($D38="No","No PTO/PTA",IF($D38&lt;&gt;"Yes","Not Yet Confirmed",IF($Q38&gt;=Settings!$C$13,"Legalized",IF($P38&gt;=Settings!$C$12,"Registered",IF($O38&gt;0,"In Progress","Not Started"))))))</f>
        <v/>
      </c>
      <c r="S38" s="32">
        <f>IF($B38="","",COUNTIF(G38:N38,"Received"))</f>
        <v/>
      </c>
      <c r="T38" s="32">
        <f>IF($B38="","",COUNTIF(G38:N38,"Needs Correction"))</f>
        <v/>
      </c>
      <c r="U38" s="33">
        <f>IF($B38="","",IF($D38&lt;&gt;"Yes","",IF($Q38&gt;=Settings!$C$13,"None",MID(IF(AND(G38&lt;&gt;"Accepted",G38&lt;&gt;"Not Needed",Settings!$C$15="Yes"),", "&amp;G$1,"")&amp;IF(AND(H38&lt;&gt;"Accepted",H38&lt;&gt;"Not Needed",Settings!$D$15="Yes"),", "&amp;H$1,"")&amp;IF(AND(I38&lt;&gt;"Accepted",I38&lt;&gt;"Not Needed",Settings!$E$15="Yes"),", "&amp;I$1,"")&amp;IF(AND(J38&lt;&gt;"Accepted",J38&lt;&gt;"Not Needed",Settings!$F$15="Yes"),", "&amp;J$1,"")&amp;IF(AND(K38&lt;&gt;"Accepted",K38&lt;&gt;"Not Needed",Settings!$G$15="Yes"),", "&amp;K$1,"")&amp;IF(AND(L38&lt;&gt;"Accepted",L38&lt;&gt;"Not Needed",Settings!$H$15="Yes"),", "&amp;L$1,"")&amp;IF(AND(M38&lt;&gt;"Accepted",M38&lt;&gt;"Not Needed",Settings!$I$15="Yes"),", "&amp;M$1,"")&amp;IF(AND(N38&lt;&gt;"Accepted",N38&lt;&gt;"Not Needed",Settings!$J$15="Yes"),", "&amp;N$1,""),3,400))))</f>
        <v/>
      </c>
    </row>
    <row r="39" ht="15" customHeight="1" s="21">
      <c r="A39" s="31" t="inlineStr">
        <is>
          <t>2026-27</t>
        </is>
      </c>
      <c r="B39" s="31" t="inlineStr">
        <is>
          <t>Stevens ES</t>
        </is>
      </c>
      <c r="C39" s="31" t="inlineStr">
        <is>
          <t>NES Elementary</t>
        </is>
      </c>
      <c r="D39" s="31" t="inlineStr">
        <is>
          <t>Not Yet Confirmed</t>
        </is>
      </c>
      <c r="E39" s="31" t="n"/>
      <c r="F39" s="31" t="n"/>
      <c r="G39" s="31" t="inlineStr">
        <is>
          <t>Not Received</t>
        </is>
      </c>
      <c r="H39" s="31" t="inlineStr">
        <is>
          <t>Not Received</t>
        </is>
      </c>
      <c r="I39" s="31" t="inlineStr">
        <is>
          <t>Not Received</t>
        </is>
      </c>
      <c r="J39" s="31" t="inlineStr">
        <is>
          <t>Not Received</t>
        </is>
      </c>
      <c r="K39" s="31" t="inlineStr">
        <is>
          <t>Not Received</t>
        </is>
      </c>
      <c r="L39" s="31" t="inlineStr">
        <is>
          <t>Not Received</t>
        </is>
      </c>
      <c r="M39" s="31" t="inlineStr">
        <is>
          <t>Not Received</t>
        </is>
      </c>
      <c r="N39" s="31" t="inlineStr">
        <is>
          <t>Not Received</t>
        </is>
      </c>
      <c r="O39" s="32">
        <f>IF($B39="","",COUNTIF(G39:N39,"Accepted")+COUNTIF(G39:N39,"Received")+COUNTIF(G39:N39,"Needs Correction"))</f>
        <v/>
      </c>
      <c r="P39" s="32">
        <f>IF($B39="","",SUMPRODUCT(((G39:N39="Accepted")+(G39:N39="Not Needed"))*(Settings!$C$11:$J$11="Yes")))</f>
        <v/>
      </c>
      <c r="Q39" s="32">
        <f>IF($B39="","",SUMPRODUCT(((G39:N39="Accepted")+(G39:N39="Not Needed"))*(Settings!$C$15:$J$15="Yes")))</f>
        <v/>
      </c>
      <c r="R39" s="33">
        <f>IF($B39="","",IF($D39="No","No PTO/PTA",IF($D39&lt;&gt;"Yes","Not Yet Confirmed",IF($Q39&gt;=Settings!$C$13,"Legalized",IF($P39&gt;=Settings!$C$12,"Registered",IF($O39&gt;0,"In Progress","Not Started"))))))</f>
        <v/>
      </c>
      <c r="S39" s="32">
        <f>IF($B39="","",COUNTIF(G39:N39,"Received"))</f>
        <v/>
      </c>
      <c r="T39" s="32">
        <f>IF($B39="","",COUNTIF(G39:N39,"Needs Correction"))</f>
        <v/>
      </c>
      <c r="U39" s="33">
        <f>IF($B39="","",IF($D39&lt;&gt;"Yes","",IF($Q39&gt;=Settings!$C$13,"None",MID(IF(AND(G39&lt;&gt;"Accepted",G39&lt;&gt;"Not Needed",Settings!$C$15="Yes"),", "&amp;G$1,"")&amp;IF(AND(H39&lt;&gt;"Accepted",H39&lt;&gt;"Not Needed",Settings!$D$15="Yes"),", "&amp;H$1,"")&amp;IF(AND(I39&lt;&gt;"Accepted",I39&lt;&gt;"Not Needed",Settings!$E$15="Yes"),", "&amp;I$1,"")&amp;IF(AND(J39&lt;&gt;"Accepted",J39&lt;&gt;"Not Needed",Settings!$F$15="Yes"),", "&amp;J$1,"")&amp;IF(AND(K39&lt;&gt;"Accepted",K39&lt;&gt;"Not Needed",Settings!$G$15="Yes"),", "&amp;K$1,"")&amp;IF(AND(L39&lt;&gt;"Accepted",L39&lt;&gt;"Not Needed",Settings!$H$15="Yes"),", "&amp;L$1,"")&amp;IF(AND(M39&lt;&gt;"Accepted",M39&lt;&gt;"Not Needed",Settings!$I$15="Yes"),", "&amp;M$1,"")&amp;IF(AND(N39&lt;&gt;"Accepted",N39&lt;&gt;"Not Needed",Settings!$J$15="Yes"),", "&amp;N$1,""),3,400))))</f>
        <v/>
      </c>
    </row>
    <row r="40" ht="15" customHeight="1" s="21">
      <c r="A40" s="31" t="inlineStr">
        <is>
          <t>2026-27</t>
        </is>
      </c>
      <c r="B40" s="31" t="inlineStr">
        <is>
          <t>Walnut Bend ES</t>
        </is>
      </c>
      <c r="C40" s="31" t="inlineStr">
        <is>
          <t>NES Elementary</t>
        </is>
      </c>
      <c r="D40" s="31" t="inlineStr">
        <is>
          <t>Not Yet Confirmed</t>
        </is>
      </c>
      <c r="E40" s="31" t="n"/>
      <c r="F40" s="31" t="n"/>
      <c r="G40" s="31" t="inlineStr">
        <is>
          <t>Not Received</t>
        </is>
      </c>
      <c r="H40" s="31" t="inlineStr">
        <is>
          <t>Not Received</t>
        </is>
      </c>
      <c r="I40" s="31" t="inlineStr">
        <is>
          <t>Not Received</t>
        </is>
      </c>
      <c r="J40" s="31" t="inlineStr">
        <is>
          <t>Not Received</t>
        </is>
      </c>
      <c r="K40" s="31" t="inlineStr">
        <is>
          <t>Not Received</t>
        </is>
      </c>
      <c r="L40" s="31" t="inlineStr">
        <is>
          <t>Not Received</t>
        </is>
      </c>
      <c r="M40" s="31" t="inlineStr">
        <is>
          <t>Not Received</t>
        </is>
      </c>
      <c r="N40" s="31" t="inlineStr">
        <is>
          <t>Not Received</t>
        </is>
      </c>
      <c r="O40" s="32">
        <f>IF($B40="","",COUNTIF(G40:N40,"Accepted")+COUNTIF(G40:N40,"Received")+COUNTIF(G40:N40,"Needs Correction"))</f>
        <v/>
      </c>
      <c r="P40" s="32">
        <f>IF($B40="","",SUMPRODUCT(((G40:N40="Accepted")+(G40:N40="Not Needed"))*(Settings!$C$11:$J$11="Yes")))</f>
        <v/>
      </c>
      <c r="Q40" s="32">
        <f>IF($B40="","",SUMPRODUCT(((G40:N40="Accepted")+(G40:N40="Not Needed"))*(Settings!$C$15:$J$15="Yes")))</f>
        <v/>
      </c>
      <c r="R40" s="33">
        <f>IF($B40="","",IF($D40="No","No PTO/PTA",IF($D40&lt;&gt;"Yes","Not Yet Confirmed",IF($Q40&gt;=Settings!$C$13,"Legalized",IF($P40&gt;=Settings!$C$12,"Registered",IF($O40&gt;0,"In Progress","Not Started"))))))</f>
        <v/>
      </c>
      <c r="S40" s="32">
        <f>IF($B40="","",COUNTIF(G40:N40,"Received"))</f>
        <v/>
      </c>
      <c r="T40" s="32">
        <f>IF($B40="","",COUNTIF(G40:N40,"Needs Correction"))</f>
        <v/>
      </c>
      <c r="U40" s="33">
        <f>IF($B40="","",IF($D40&lt;&gt;"Yes","",IF($Q40&gt;=Settings!$C$13,"None",MID(IF(AND(G40&lt;&gt;"Accepted",G40&lt;&gt;"Not Needed",Settings!$C$15="Yes"),", "&amp;G$1,"")&amp;IF(AND(H40&lt;&gt;"Accepted",H40&lt;&gt;"Not Needed",Settings!$D$15="Yes"),", "&amp;H$1,"")&amp;IF(AND(I40&lt;&gt;"Accepted",I40&lt;&gt;"Not Needed",Settings!$E$15="Yes"),", "&amp;I$1,"")&amp;IF(AND(J40&lt;&gt;"Accepted",J40&lt;&gt;"Not Needed",Settings!$F$15="Yes"),", "&amp;J$1,"")&amp;IF(AND(K40&lt;&gt;"Accepted",K40&lt;&gt;"Not Needed",Settings!$G$15="Yes"),", "&amp;K$1,"")&amp;IF(AND(L40&lt;&gt;"Accepted",L40&lt;&gt;"Not Needed",Settings!$H$15="Yes"),", "&amp;L$1,"")&amp;IF(AND(M40&lt;&gt;"Accepted",M40&lt;&gt;"Not Needed",Settings!$I$15="Yes"),", "&amp;M$1,"")&amp;IF(AND(N40&lt;&gt;"Accepted",N40&lt;&gt;"Not Needed",Settings!$J$15="Yes"),", "&amp;N$1,""),3,400))))</f>
        <v/>
      </c>
    </row>
    <row r="41" ht="15" customHeight="1" s="21">
      <c r="A41" s="31" t="inlineStr">
        <is>
          <t>2026-27</t>
        </is>
      </c>
      <c r="B41" s="31" t="inlineStr">
        <is>
          <t>Woodson</t>
        </is>
      </c>
      <c r="C41" s="31" t="inlineStr">
        <is>
          <t>NES Elementary</t>
        </is>
      </c>
      <c r="D41" s="31" t="inlineStr">
        <is>
          <t>Not Yet Confirmed</t>
        </is>
      </c>
      <c r="E41" s="31" t="n"/>
      <c r="F41" s="31" t="n"/>
      <c r="G41" s="31" t="inlineStr">
        <is>
          <t>Not Received</t>
        </is>
      </c>
      <c r="H41" s="31" t="inlineStr">
        <is>
          <t>Not Received</t>
        </is>
      </c>
      <c r="I41" s="31" t="inlineStr">
        <is>
          <t>Not Received</t>
        </is>
      </c>
      <c r="J41" s="31" t="inlineStr">
        <is>
          <t>Not Received</t>
        </is>
      </c>
      <c r="K41" s="31" t="inlineStr">
        <is>
          <t>Not Received</t>
        </is>
      </c>
      <c r="L41" s="31" t="inlineStr">
        <is>
          <t>Not Received</t>
        </is>
      </c>
      <c r="M41" s="31" t="inlineStr">
        <is>
          <t>Not Received</t>
        </is>
      </c>
      <c r="N41" s="31" t="inlineStr">
        <is>
          <t>Not Received</t>
        </is>
      </c>
      <c r="O41" s="32">
        <f>IF($B41="","",COUNTIF(G41:N41,"Accepted")+COUNTIF(G41:N41,"Received")+COUNTIF(G41:N41,"Needs Correction"))</f>
        <v/>
      </c>
      <c r="P41" s="32">
        <f>IF($B41="","",SUMPRODUCT(((G41:N41="Accepted")+(G41:N41="Not Needed"))*(Settings!$C$11:$J$11="Yes")))</f>
        <v/>
      </c>
      <c r="Q41" s="32">
        <f>IF($B41="","",SUMPRODUCT(((G41:N41="Accepted")+(G41:N41="Not Needed"))*(Settings!$C$15:$J$15="Yes")))</f>
        <v/>
      </c>
      <c r="R41" s="33">
        <f>IF($B41="","",IF($D41="No","No PTO/PTA",IF($D41&lt;&gt;"Yes","Not Yet Confirmed",IF($Q41&gt;=Settings!$C$13,"Legalized",IF($P41&gt;=Settings!$C$12,"Registered",IF($O41&gt;0,"In Progress","Not Started"))))))</f>
        <v/>
      </c>
      <c r="S41" s="32">
        <f>IF($B41="","",COUNTIF(G41:N41,"Received"))</f>
        <v/>
      </c>
      <c r="T41" s="32">
        <f>IF($B41="","",COUNTIF(G41:N41,"Needs Correction"))</f>
        <v/>
      </c>
      <c r="U41" s="33">
        <f>IF($B41="","",IF($D41&lt;&gt;"Yes","",IF($Q41&gt;=Settings!$C$13,"None",MID(IF(AND(G41&lt;&gt;"Accepted",G41&lt;&gt;"Not Needed",Settings!$C$15="Yes"),", "&amp;G$1,"")&amp;IF(AND(H41&lt;&gt;"Accepted",H41&lt;&gt;"Not Needed",Settings!$D$15="Yes"),", "&amp;H$1,"")&amp;IF(AND(I41&lt;&gt;"Accepted",I41&lt;&gt;"Not Needed",Settings!$E$15="Yes"),", "&amp;I$1,"")&amp;IF(AND(J41&lt;&gt;"Accepted",J41&lt;&gt;"Not Needed",Settings!$F$15="Yes"),", "&amp;J$1,"")&amp;IF(AND(K41&lt;&gt;"Accepted",K41&lt;&gt;"Not Needed",Settings!$G$15="Yes"),", "&amp;K$1,"")&amp;IF(AND(L41&lt;&gt;"Accepted",L41&lt;&gt;"Not Needed",Settings!$H$15="Yes"),", "&amp;L$1,"")&amp;IF(AND(M41&lt;&gt;"Accepted",M41&lt;&gt;"Not Needed",Settings!$I$15="Yes"),", "&amp;M$1,"")&amp;IF(AND(N41&lt;&gt;"Accepted",N41&lt;&gt;"Not Needed",Settings!$J$15="Yes"),", "&amp;N$1,""),3,400))))</f>
        <v/>
      </c>
    </row>
    <row r="42" ht="15" customHeight="1" s="21">
      <c r="A42" s="31" t="inlineStr">
        <is>
          <t>2026-27</t>
        </is>
      </c>
      <c r="B42" s="31" t="inlineStr">
        <is>
          <t>Chrysalis MS</t>
        </is>
      </c>
      <c r="C42" s="31" t="inlineStr">
        <is>
          <t>NES Secondary</t>
        </is>
      </c>
      <c r="D42" s="31" t="inlineStr">
        <is>
          <t>Not Yet Confirmed</t>
        </is>
      </c>
      <c r="E42" s="31" t="n"/>
      <c r="F42" s="31" t="n"/>
      <c r="G42" s="31" t="inlineStr">
        <is>
          <t>Not Received</t>
        </is>
      </c>
      <c r="H42" s="31" t="inlineStr">
        <is>
          <t>Not Received</t>
        </is>
      </c>
      <c r="I42" s="31" t="inlineStr">
        <is>
          <t>Not Received</t>
        </is>
      </c>
      <c r="J42" s="31" t="inlineStr">
        <is>
          <t>Not Received</t>
        </is>
      </c>
      <c r="K42" s="31" t="inlineStr">
        <is>
          <t>Not Received</t>
        </is>
      </c>
      <c r="L42" s="31" t="inlineStr">
        <is>
          <t>Not Received</t>
        </is>
      </c>
      <c r="M42" s="31" t="inlineStr">
        <is>
          <t>Not Received</t>
        </is>
      </c>
      <c r="N42" s="31" t="inlineStr">
        <is>
          <t>Not Received</t>
        </is>
      </c>
      <c r="O42" s="32">
        <f>IF($B42="","",COUNTIF(G42:N42,"Accepted")+COUNTIF(G42:N42,"Received")+COUNTIF(G42:N42,"Needs Correction"))</f>
        <v/>
      </c>
      <c r="P42" s="32">
        <f>IF($B42="","",SUMPRODUCT(((G42:N42="Accepted")+(G42:N42="Not Needed"))*(Settings!$C$11:$J$11="Yes")))</f>
        <v/>
      </c>
      <c r="Q42" s="32">
        <f>IF($B42="","",SUMPRODUCT(((G42:N42="Accepted")+(G42:N42="Not Needed"))*(Settings!$C$15:$J$15="Yes")))</f>
        <v/>
      </c>
      <c r="R42" s="33">
        <f>IF($B42="","",IF($D42="No","No PTO/PTA",IF($D42&lt;&gt;"Yes","Not Yet Confirmed",IF($Q42&gt;=Settings!$C$13,"Legalized",IF($P42&gt;=Settings!$C$12,"Registered",IF($O42&gt;0,"In Progress","Not Started"))))))</f>
        <v/>
      </c>
      <c r="S42" s="32">
        <f>IF($B42="","",COUNTIF(G42:N42,"Received"))</f>
        <v/>
      </c>
      <c r="T42" s="32">
        <f>IF($B42="","",COUNTIF(G42:N42,"Needs Correction"))</f>
        <v/>
      </c>
      <c r="U42" s="33">
        <f>IF($B42="","",IF($D42&lt;&gt;"Yes","",IF($Q42&gt;=Settings!$C$13,"None",MID(IF(AND(G42&lt;&gt;"Accepted",G42&lt;&gt;"Not Needed",Settings!$C$15="Yes"),", "&amp;G$1,"")&amp;IF(AND(H42&lt;&gt;"Accepted",H42&lt;&gt;"Not Needed",Settings!$D$15="Yes"),", "&amp;H$1,"")&amp;IF(AND(I42&lt;&gt;"Accepted",I42&lt;&gt;"Not Needed",Settings!$E$15="Yes"),", "&amp;I$1,"")&amp;IF(AND(J42&lt;&gt;"Accepted",J42&lt;&gt;"Not Needed",Settings!$F$15="Yes"),", "&amp;J$1,"")&amp;IF(AND(K42&lt;&gt;"Accepted",K42&lt;&gt;"Not Needed",Settings!$G$15="Yes"),", "&amp;K$1,"")&amp;IF(AND(L42&lt;&gt;"Accepted",L42&lt;&gt;"Not Needed",Settings!$H$15="Yes"),", "&amp;L$1,"")&amp;IF(AND(M42&lt;&gt;"Accepted",M42&lt;&gt;"Not Needed",Settings!$I$15="Yes"),", "&amp;M$1,"")&amp;IF(AND(N42&lt;&gt;"Accepted",N42&lt;&gt;"Not Needed",Settings!$J$15="Yes"),", "&amp;N$1,""),3,400))))</f>
        <v/>
      </c>
    </row>
    <row r="43" ht="15" customHeight="1" s="21">
      <c r="A43" s="31" t="inlineStr">
        <is>
          <t>2026-27</t>
        </is>
      </c>
      <c r="B43" s="31" t="inlineStr">
        <is>
          <t>Clifton MS</t>
        </is>
      </c>
      <c r="C43" s="31" t="inlineStr">
        <is>
          <t>NES Secondary</t>
        </is>
      </c>
      <c r="D43" s="31" t="inlineStr">
        <is>
          <t>No</t>
        </is>
      </c>
      <c r="E43" s="31" t="n"/>
      <c r="F43" s="31" t="n"/>
      <c r="G43" s="31" t="inlineStr">
        <is>
          <t>Not Received</t>
        </is>
      </c>
      <c r="H43" s="31" t="inlineStr">
        <is>
          <t>Not Received</t>
        </is>
      </c>
      <c r="I43" s="31" t="inlineStr">
        <is>
          <t>Not Received</t>
        </is>
      </c>
      <c r="J43" s="31" t="inlineStr">
        <is>
          <t>Not Received</t>
        </is>
      </c>
      <c r="K43" s="31" t="inlineStr">
        <is>
          <t>Not Received</t>
        </is>
      </c>
      <c r="L43" s="31" t="inlineStr">
        <is>
          <t>Not Received</t>
        </is>
      </c>
      <c r="M43" s="31" t="inlineStr">
        <is>
          <t>Not Received</t>
        </is>
      </c>
      <c r="N43" s="31" t="inlineStr">
        <is>
          <t>Not Received</t>
        </is>
      </c>
      <c r="O43" s="32">
        <f>IF($B43="","",COUNTIF(G43:N43,"Accepted")+COUNTIF(G43:N43,"Received")+COUNTIF(G43:N43,"Needs Correction"))</f>
        <v/>
      </c>
      <c r="P43" s="32">
        <f>IF($B43="","",SUMPRODUCT(((G43:N43="Accepted")+(G43:N43="Not Needed"))*(Settings!$C$11:$J$11="Yes")))</f>
        <v/>
      </c>
      <c r="Q43" s="32">
        <f>IF($B43="","",SUMPRODUCT(((G43:N43="Accepted")+(G43:N43="Not Needed"))*(Settings!$C$15:$J$15="Yes")))</f>
        <v/>
      </c>
      <c r="R43" s="33">
        <f>IF($B43="","",IF($D43="No","No PTO/PTA",IF($D43&lt;&gt;"Yes","Not Yet Confirmed",IF($Q43&gt;=Settings!$C$13,"Legalized",IF($P43&gt;=Settings!$C$12,"Registered",IF($O43&gt;0,"In Progress","Not Started"))))))</f>
        <v/>
      </c>
      <c r="S43" s="32">
        <f>IF($B43="","",COUNTIF(G43:N43,"Received"))</f>
        <v/>
      </c>
      <c r="T43" s="32">
        <f>IF($B43="","",COUNTIF(G43:N43,"Needs Correction"))</f>
        <v/>
      </c>
      <c r="U43" s="33">
        <f>IF($B43="","",IF($D43&lt;&gt;"Yes","",IF($Q43&gt;=Settings!$C$13,"None",MID(IF(AND(G43&lt;&gt;"Accepted",G43&lt;&gt;"Not Needed",Settings!$C$15="Yes"),", "&amp;G$1,"")&amp;IF(AND(H43&lt;&gt;"Accepted",H43&lt;&gt;"Not Needed",Settings!$D$15="Yes"),", "&amp;H$1,"")&amp;IF(AND(I43&lt;&gt;"Accepted",I43&lt;&gt;"Not Needed",Settings!$E$15="Yes"),", "&amp;I$1,"")&amp;IF(AND(J43&lt;&gt;"Accepted",J43&lt;&gt;"Not Needed",Settings!$F$15="Yes"),", "&amp;J$1,"")&amp;IF(AND(K43&lt;&gt;"Accepted",K43&lt;&gt;"Not Needed",Settings!$G$15="Yes"),", "&amp;K$1,"")&amp;IF(AND(L43&lt;&gt;"Accepted",L43&lt;&gt;"Not Needed",Settings!$H$15="Yes"),", "&amp;L$1,"")&amp;IF(AND(M43&lt;&gt;"Accepted",M43&lt;&gt;"Not Needed",Settings!$I$15="Yes"),", "&amp;M$1,"")&amp;IF(AND(N43&lt;&gt;"Accepted",N43&lt;&gt;"Not Needed",Settings!$J$15="Yes"),", "&amp;N$1,""),3,400))))</f>
        <v/>
      </c>
    </row>
    <row r="44" ht="15" customHeight="1" s="21">
      <c r="A44" s="31" t="inlineStr">
        <is>
          <t>2026-27</t>
        </is>
      </c>
      <c r="B44" s="31" t="inlineStr">
        <is>
          <t>Cullen MS</t>
        </is>
      </c>
      <c r="C44" s="31" t="inlineStr">
        <is>
          <t>NES Secondary</t>
        </is>
      </c>
      <c r="D44" s="31" t="inlineStr">
        <is>
          <t>No</t>
        </is>
      </c>
      <c r="E44" s="31" t="n"/>
      <c r="F44" s="31" t="n"/>
      <c r="G44" s="31" t="inlineStr">
        <is>
          <t>Not Received</t>
        </is>
      </c>
      <c r="H44" s="31" t="inlineStr">
        <is>
          <t>Not Received</t>
        </is>
      </c>
      <c r="I44" s="31" t="inlineStr">
        <is>
          <t>Not Received</t>
        </is>
      </c>
      <c r="J44" s="31" t="inlineStr">
        <is>
          <t>Not Received</t>
        </is>
      </c>
      <c r="K44" s="31" t="inlineStr">
        <is>
          <t>Not Received</t>
        </is>
      </c>
      <c r="L44" s="31" t="inlineStr">
        <is>
          <t>Not Received</t>
        </is>
      </c>
      <c r="M44" s="31" t="inlineStr">
        <is>
          <t>Not Received</t>
        </is>
      </c>
      <c r="N44" s="31" t="inlineStr">
        <is>
          <t>Not Received</t>
        </is>
      </c>
      <c r="O44" s="32">
        <f>IF($B44="","",COUNTIF(G44:N44,"Accepted")+COUNTIF(G44:N44,"Received")+COUNTIF(G44:N44,"Needs Correction"))</f>
        <v/>
      </c>
      <c r="P44" s="32">
        <f>IF($B44="","",SUMPRODUCT(((G44:N44="Accepted")+(G44:N44="Not Needed"))*(Settings!$C$11:$J$11="Yes")))</f>
        <v/>
      </c>
      <c r="Q44" s="32">
        <f>IF($B44="","",SUMPRODUCT(((G44:N44="Accepted")+(G44:N44="Not Needed"))*(Settings!$C$15:$J$15="Yes")))</f>
        <v/>
      </c>
      <c r="R44" s="33">
        <f>IF($B44="","",IF($D44="No","No PTO/PTA",IF($D44&lt;&gt;"Yes","Not Yet Confirmed",IF($Q44&gt;=Settings!$C$13,"Legalized",IF($P44&gt;=Settings!$C$12,"Registered",IF($O44&gt;0,"In Progress","Not Started"))))))</f>
        <v/>
      </c>
      <c r="S44" s="32">
        <f>IF($B44="","",COUNTIF(G44:N44,"Received"))</f>
        <v/>
      </c>
      <c r="T44" s="32">
        <f>IF($B44="","",COUNTIF(G44:N44,"Needs Correction"))</f>
        <v/>
      </c>
      <c r="U44" s="33">
        <f>IF($B44="","",IF($D44&lt;&gt;"Yes","",IF($Q44&gt;=Settings!$C$13,"None",MID(IF(AND(G44&lt;&gt;"Accepted",G44&lt;&gt;"Not Needed",Settings!$C$15="Yes"),", "&amp;G$1,"")&amp;IF(AND(H44&lt;&gt;"Accepted",H44&lt;&gt;"Not Needed",Settings!$D$15="Yes"),", "&amp;H$1,"")&amp;IF(AND(I44&lt;&gt;"Accepted",I44&lt;&gt;"Not Needed",Settings!$E$15="Yes"),", "&amp;I$1,"")&amp;IF(AND(J44&lt;&gt;"Accepted",J44&lt;&gt;"Not Needed",Settings!$F$15="Yes"),", "&amp;J$1,"")&amp;IF(AND(K44&lt;&gt;"Accepted",K44&lt;&gt;"Not Needed",Settings!$G$15="Yes"),", "&amp;K$1,"")&amp;IF(AND(L44&lt;&gt;"Accepted",L44&lt;&gt;"Not Needed",Settings!$H$15="Yes"),", "&amp;L$1,"")&amp;IF(AND(M44&lt;&gt;"Accepted",M44&lt;&gt;"Not Needed",Settings!$I$15="Yes"),", "&amp;M$1,"")&amp;IF(AND(N44&lt;&gt;"Accepted",N44&lt;&gt;"Not Needed",Settings!$J$15="Yes"),", "&amp;N$1,""),3,400))))</f>
        <v/>
      </c>
    </row>
    <row r="45" ht="15" customHeight="1" s="21">
      <c r="A45" s="31" t="inlineStr">
        <is>
          <t>2026-27</t>
        </is>
      </c>
      <c r="B45" s="31" t="inlineStr">
        <is>
          <t>Edison MS</t>
        </is>
      </c>
      <c r="C45" s="31" t="inlineStr">
        <is>
          <t>NES Secondary</t>
        </is>
      </c>
      <c r="D45" s="31" t="inlineStr">
        <is>
          <t>Not Yet Confirmed</t>
        </is>
      </c>
      <c r="E45" s="31" t="n"/>
      <c r="F45" s="31" t="n"/>
      <c r="G45" s="31" t="inlineStr">
        <is>
          <t>Not Received</t>
        </is>
      </c>
      <c r="H45" s="31" t="inlineStr">
        <is>
          <t>Not Received</t>
        </is>
      </c>
      <c r="I45" s="31" t="inlineStr">
        <is>
          <t>Not Received</t>
        </is>
      </c>
      <c r="J45" s="31" t="inlineStr">
        <is>
          <t>Not Received</t>
        </is>
      </c>
      <c r="K45" s="31" t="inlineStr">
        <is>
          <t>Not Received</t>
        </is>
      </c>
      <c r="L45" s="31" t="inlineStr">
        <is>
          <t>Not Received</t>
        </is>
      </c>
      <c r="M45" s="31" t="inlineStr">
        <is>
          <t>Not Received</t>
        </is>
      </c>
      <c r="N45" s="31" t="inlineStr">
        <is>
          <t>Not Received</t>
        </is>
      </c>
      <c r="O45" s="32">
        <f>IF($B45="","",COUNTIF(G45:N45,"Accepted")+COUNTIF(G45:N45,"Received")+COUNTIF(G45:N45,"Needs Correction"))</f>
        <v/>
      </c>
      <c r="P45" s="32">
        <f>IF($B45="","",SUMPRODUCT(((G45:N45="Accepted")+(G45:N45="Not Needed"))*(Settings!$C$11:$J$11="Yes")))</f>
        <v/>
      </c>
      <c r="Q45" s="32">
        <f>IF($B45="","",SUMPRODUCT(((G45:N45="Accepted")+(G45:N45="Not Needed"))*(Settings!$C$15:$J$15="Yes")))</f>
        <v/>
      </c>
      <c r="R45" s="33">
        <f>IF($B45="","",IF($D45="No","No PTO/PTA",IF($D45&lt;&gt;"Yes","Not Yet Confirmed",IF($Q45&gt;=Settings!$C$13,"Legalized",IF($P45&gt;=Settings!$C$12,"Registered",IF($O45&gt;0,"In Progress","Not Started"))))))</f>
        <v/>
      </c>
      <c r="S45" s="32">
        <f>IF($B45="","",COUNTIF(G45:N45,"Received"))</f>
        <v/>
      </c>
      <c r="T45" s="32">
        <f>IF($B45="","",COUNTIF(G45:N45,"Needs Correction"))</f>
        <v/>
      </c>
      <c r="U45" s="33">
        <f>IF($B45="","",IF($D45&lt;&gt;"Yes","",IF($Q45&gt;=Settings!$C$13,"None",MID(IF(AND(G45&lt;&gt;"Accepted",G45&lt;&gt;"Not Needed",Settings!$C$15="Yes"),", "&amp;G$1,"")&amp;IF(AND(H45&lt;&gt;"Accepted",H45&lt;&gt;"Not Needed",Settings!$D$15="Yes"),", "&amp;H$1,"")&amp;IF(AND(I45&lt;&gt;"Accepted",I45&lt;&gt;"Not Needed",Settings!$E$15="Yes"),", "&amp;I$1,"")&amp;IF(AND(J45&lt;&gt;"Accepted",J45&lt;&gt;"Not Needed",Settings!$F$15="Yes"),", "&amp;J$1,"")&amp;IF(AND(K45&lt;&gt;"Accepted",K45&lt;&gt;"Not Needed",Settings!$G$15="Yes"),", "&amp;K$1,"")&amp;IF(AND(L45&lt;&gt;"Accepted",L45&lt;&gt;"Not Needed",Settings!$H$15="Yes"),", "&amp;L$1,"")&amp;IF(AND(M45&lt;&gt;"Accepted",M45&lt;&gt;"Not Needed",Settings!$I$15="Yes"),", "&amp;M$1,"")&amp;IF(AND(N45&lt;&gt;"Accepted",N45&lt;&gt;"Not Needed",Settings!$J$15="Yes"),", "&amp;N$1,""),3,400))))</f>
        <v/>
      </c>
    </row>
    <row r="46" ht="15" customHeight="1" s="21">
      <c r="A46" s="31" t="inlineStr">
        <is>
          <t>2026-27</t>
        </is>
      </c>
      <c r="B46" s="31" t="inlineStr">
        <is>
          <t>Fonville MS</t>
        </is>
      </c>
      <c r="C46" s="31" t="inlineStr">
        <is>
          <t>NES Secondary</t>
        </is>
      </c>
      <c r="D46" s="31" t="inlineStr">
        <is>
          <t>Not Yet Confirmed</t>
        </is>
      </c>
      <c r="E46" s="31" t="n"/>
      <c r="F46" s="31" t="n"/>
      <c r="G46" s="31" t="inlineStr">
        <is>
          <t>Not Received</t>
        </is>
      </c>
      <c r="H46" s="31" t="inlineStr">
        <is>
          <t>Not Received</t>
        </is>
      </c>
      <c r="I46" s="31" t="inlineStr">
        <is>
          <t>Not Received</t>
        </is>
      </c>
      <c r="J46" s="31" t="inlineStr">
        <is>
          <t>Not Received</t>
        </is>
      </c>
      <c r="K46" s="31" t="inlineStr">
        <is>
          <t>Not Received</t>
        </is>
      </c>
      <c r="L46" s="31" t="inlineStr">
        <is>
          <t>Not Received</t>
        </is>
      </c>
      <c r="M46" s="31" t="inlineStr">
        <is>
          <t>Not Received</t>
        </is>
      </c>
      <c r="N46" s="31" t="inlineStr">
        <is>
          <t>Not Received</t>
        </is>
      </c>
      <c r="O46" s="32">
        <f>IF($B46="","",COUNTIF(G46:N46,"Accepted")+COUNTIF(G46:N46,"Received")+COUNTIF(G46:N46,"Needs Correction"))</f>
        <v/>
      </c>
      <c r="P46" s="32">
        <f>IF($B46="","",SUMPRODUCT(((G46:N46="Accepted")+(G46:N46="Not Needed"))*(Settings!$C$11:$J$11="Yes")))</f>
        <v/>
      </c>
      <c r="Q46" s="32">
        <f>IF($B46="","",SUMPRODUCT(((G46:N46="Accepted")+(G46:N46="Not Needed"))*(Settings!$C$15:$J$15="Yes")))</f>
        <v/>
      </c>
      <c r="R46" s="33">
        <f>IF($B46="","",IF($D46="No","No PTO/PTA",IF($D46&lt;&gt;"Yes","Not Yet Confirmed",IF($Q46&gt;=Settings!$C$13,"Legalized",IF($P46&gt;=Settings!$C$12,"Registered",IF($O46&gt;0,"In Progress","Not Started"))))))</f>
        <v/>
      </c>
      <c r="S46" s="32">
        <f>IF($B46="","",COUNTIF(G46:N46,"Received"))</f>
        <v/>
      </c>
      <c r="T46" s="32">
        <f>IF($B46="","",COUNTIF(G46:N46,"Needs Correction"))</f>
        <v/>
      </c>
      <c r="U46" s="33">
        <f>IF($B46="","",IF($D46&lt;&gt;"Yes","",IF($Q46&gt;=Settings!$C$13,"None",MID(IF(AND(G46&lt;&gt;"Accepted",G46&lt;&gt;"Not Needed",Settings!$C$15="Yes"),", "&amp;G$1,"")&amp;IF(AND(H46&lt;&gt;"Accepted",H46&lt;&gt;"Not Needed",Settings!$D$15="Yes"),", "&amp;H$1,"")&amp;IF(AND(I46&lt;&gt;"Accepted",I46&lt;&gt;"Not Needed",Settings!$E$15="Yes"),", "&amp;I$1,"")&amp;IF(AND(J46&lt;&gt;"Accepted",J46&lt;&gt;"Not Needed",Settings!$F$15="Yes"),", "&amp;J$1,"")&amp;IF(AND(K46&lt;&gt;"Accepted",K46&lt;&gt;"Not Needed",Settings!$G$15="Yes"),", "&amp;K$1,"")&amp;IF(AND(L46&lt;&gt;"Accepted",L46&lt;&gt;"Not Needed",Settings!$H$15="Yes"),", "&amp;L$1,"")&amp;IF(AND(M46&lt;&gt;"Accepted",M46&lt;&gt;"Not Needed",Settings!$I$15="Yes"),", "&amp;M$1,"")&amp;IF(AND(N46&lt;&gt;"Accepted",N46&lt;&gt;"Not Needed",Settings!$J$15="Yes"),", "&amp;N$1,""),3,400))))</f>
        <v/>
      </c>
    </row>
    <row r="47" ht="15" customHeight="1" s="21">
      <c r="A47" s="31" t="inlineStr">
        <is>
          <t>2026-27</t>
        </is>
      </c>
      <c r="B47" s="31" t="inlineStr">
        <is>
          <t>Houston MSTC HS</t>
        </is>
      </c>
      <c r="C47" s="31" t="inlineStr">
        <is>
          <t>NES Secondary</t>
        </is>
      </c>
      <c r="D47" s="31" t="inlineStr">
        <is>
          <t>Not Yet Confirmed</t>
        </is>
      </c>
      <c r="E47" s="31" t="n"/>
      <c r="F47" s="31" t="n"/>
      <c r="G47" s="31" t="inlineStr">
        <is>
          <t>Not Received</t>
        </is>
      </c>
      <c r="H47" s="31" t="inlineStr">
        <is>
          <t>Not Received</t>
        </is>
      </c>
      <c r="I47" s="31" t="inlineStr">
        <is>
          <t>Not Received</t>
        </is>
      </c>
      <c r="J47" s="31" t="inlineStr">
        <is>
          <t>Not Received</t>
        </is>
      </c>
      <c r="K47" s="31" t="inlineStr">
        <is>
          <t>Not Received</t>
        </is>
      </c>
      <c r="L47" s="31" t="inlineStr">
        <is>
          <t>Not Received</t>
        </is>
      </c>
      <c r="M47" s="31" t="inlineStr">
        <is>
          <t>Not Received</t>
        </is>
      </c>
      <c r="N47" s="31" t="inlineStr">
        <is>
          <t>Not Received</t>
        </is>
      </c>
      <c r="O47" s="32">
        <f>IF($B47="","",COUNTIF(G47:N47,"Accepted")+COUNTIF(G47:N47,"Received")+COUNTIF(G47:N47,"Needs Correction"))</f>
        <v/>
      </c>
      <c r="P47" s="32">
        <f>IF($B47="","",SUMPRODUCT(((G47:N47="Accepted")+(G47:N47="Not Needed"))*(Settings!$C$11:$J$11="Yes")))</f>
        <v/>
      </c>
      <c r="Q47" s="32">
        <f>IF($B47="","",SUMPRODUCT(((G47:N47="Accepted")+(G47:N47="Not Needed"))*(Settings!$C$15:$J$15="Yes")))</f>
        <v/>
      </c>
      <c r="R47" s="33">
        <f>IF($B47="","",IF($D47="No","No PTO/PTA",IF($D47&lt;&gt;"Yes","Not Yet Confirmed",IF($Q47&gt;=Settings!$C$13,"Legalized",IF($P47&gt;=Settings!$C$12,"Registered",IF($O47&gt;0,"In Progress","Not Started"))))))</f>
        <v/>
      </c>
      <c r="S47" s="32">
        <f>IF($B47="","",COUNTIF(G47:N47,"Received"))</f>
        <v/>
      </c>
      <c r="T47" s="32">
        <f>IF($B47="","",COUNTIF(G47:N47,"Needs Correction"))</f>
        <v/>
      </c>
      <c r="U47" s="33">
        <f>IF($B47="","",IF($D47&lt;&gt;"Yes","",IF($Q47&gt;=Settings!$C$13,"None",MID(IF(AND(G47&lt;&gt;"Accepted",G47&lt;&gt;"Not Needed",Settings!$C$15="Yes"),", "&amp;G$1,"")&amp;IF(AND(H47&lt;&gt;"Accepted",H47&lt;&gt;"Not Needed",Settings!$D$15="Yes"),", "&amp;H$1,"")&amp;IF(AND(I47&lt;&gt;"Accepted",I47&lt;&gt;"Not Needed",Settings!$E$15="Yes"),", "&amp;I$1,"")&amp;IF(AND(J47&lt;&gt;"Accepted",J47&lt;&gt;"Not Needed",Settings!$F$15="Yes"),", "&amp;J$1,"")&amp;IF(AND(K47&lt;&gt;"Accepted",K47&lt;&gt;"Not Needed",Settings!$G$15="Yes"),", "&amp;K$1,"")&amp;IF(AND(L47&lt;&gt;"Accepted",L47&lt;&gt;"Not Needed",Settings!$H$15="Yes"),", "&amp;L$1,"")&amp;IF(AND(M47&lt;&gt;"Accepted",M47&lt;&gt;"Not Needed",Settings!$I$15="Yes"),", "&amp;M$1,"")&amp;IF(AND(N47&lt;&gt;"Accepted",N47&lt;&gt;"Not Needed",Settings!$J$15="Yes"),", "&amp;N$1,""),3,400))))</f>
        <v/>
      </c>
    </row>
    <row r="48" ht="15" customHeight="1" s="21">
      <c r="A48" s="31" t="inlineStr">
        <is>
          <t>2026-27</t>
        </is>
      </c>
      <c r="B48" s="31" t="inlineStr">
        <is>
          <t>Fleming McReynolds MS</t>
        </is>
      </c>
      <c r="C48" s="31" t="inlineStr">
        <is>
          <t>NES Secondary</t>
        </is>
      </c>
      <c r="D48" s="31" t="inlineStr">
        <is>
          <t>No</t>
        </is>
      </c>
      <c r="E48" s="31" t="n"/>
      <c r="F48" s="31" t="n"/>
      <c r="G48" s="31" t="inlineStr">
        <is>
          <t>Not Received</t>
        </is>
      </c>
      <c r="H48" s="31" t="inlineStr">
        <is>
          <t>Not Received</t>
        </is>
      </c>
      <c r="I48" s="31" t="inlineStr">
        <is>
          <t>Not Received</t>
        </is>
      </c>
      <c r="J48" s="31" t="inlineStr">
        <is>
          <t>Not Received</t>
        </is>
      </c>
      <c r="K48" s="31" t="inlineStr">
        <is>
          <t>Not Received</t>
        </is>
      </c>
      <c r="L48" s="31" t="inlineStr">
        <is>
          <t>Not Received</t>
        </is>
      </c>
      <c r="M48" s="31" t="inlineStr">
        <is>
          <t>Not Received</t>
        </is>
      </c>
      <c r="N48" s="31" t="inlineStr">
        <is>
          <t>Not Received</t>
        </is>
      </c>
      <c r="O48" s="32">
        <f>IF($B48="","",COUNTIF(G48:N48,"Accepted")+COUNTIF(G48:N48,"Received")+COUNTIF(G48:N48,"Needs Correction"))</f>
        <v/>
      </c>
      <c r="P48" s="32">
        <f>IF($B48="","",SUMPRODUCT(((G48:N48="Accepted")+(G48:N48="Not Needed"))*(Settings!$C$11:$J$11="Yes")))</f>
        <v/>
      </c>
      <c r="Q48" s="32">
        <f>IF($B48="","",SUMPRODUCT(((G48:N48="Accepted")+(G48:N48="Not Needed"))*(Settings!$C$15:$J$15="Yes")))</f>
        <v/>
      </c>
      <c r="R48" s="33">
        <f>IF($B48="","",IF($D48="No","No PTO/PTA",IF($D48&lt;&gt;"Yes","Not Yet Confirmed",IF($Q48&gt;=Settings!$C$13,"Legalized",IF($P48&gt;=Settings!$C$12,"Registered",IF($O48&gt;0,"In Progress","Not Started"))))))</f>
        <v/>
      </c>
      <c r="S48" s="32">
        <f>IF($B48="","",COUNTIF(G48:N48,"Received"))</f>
        <v/>
      </c>
      <c r="T48" s="32">
        <f>IF($B48="","",COUNTIF(G48:N48,"Needs Correction"))</f>
        <v/>
      </c>
      <c r="U48" s="33">
        <f>IF($B48="","",IF($D48&lt;&gt;"Yes","",IF($Q48&gt;=Settings!$C$13,"None",MID(IF(AND(G48&lt;&gt;"Accepted",G48&lt;&gt;"Not Needed",Settings!$C$15="Yes"),", "&amp;G$1,"")&amp;IF(AND(H48&lt;&gt;"Accepted",H48&lt;&gt;"Not Needed",Settings!$D$15="Yes"),", "&amp;H$1,"")&amp;IF(AND(I48&lt;&gt;"Accepted",I48&lt;&gt;"Not Needed",Settings!$E$15="Yes"),", "&amp;I$1,"")&amp;IF(AND(J48&lt;&gt;"Accepted",J48&lt;&gt;"Not Needed",Settings!$F$15="Yes"),", "&amp;J$1,"")&amp;IF(AND(K48&lt;&gt;"Accepted",K48&lt;&gt;"Not Needed",Settings!$G$15="Yes"),", "&amp;K$1,"")&amp;IF(AND(L48&lt;&gt;"Accepted",L48&lt;&gt;"Not Needed",Settings!$H$15="Yes"),", "&amp;L$1,"")&amp;IF(AND(M48&lt;&gt;"Accepted",M48&lt;&gt;"Not Needed",Settings!$I$15="Yes"),", "&amp;M$1,"")&amp;IF(AND(N48&lt;&gt;"Accepted",N48&lt;&gt;"Not Needed",Settings!$J$15="Yes"),", "&amp;N$1,""),3,400))))</f>
        <v/>
      </c>
    </row>
    <row r="49" ht="15" customHeight="1" s="21">
      <c r="A49" s="31" t="inlineStr">
        <is>
          <t>2026-27</t>
        </is>
      </c>
      <c r="B49" s="31" t="inlineStr">
        <is>
          <t>Westbury HS</t>
        </is>
      </c>
      <c r="C49" s="31" t="inlineStr">
        <is>
          <t>NES Secondary</t>
        </is>
      </c>
      <c r="D49" s="31" t="inlineStr">
        <is>
          <t>Not Yet Confirmed</t>
        </is>
      </c>
      <c r="E49" s="31" t="n"/>
      <c r="F49" s="31" t="n"/>
      <c r="G49" s="31" t="inlineStr">
        <is>
          <t>Not Received</t>
        </is>
      </c>
      <c r="H49" s="31" t="inlineStr">
        <is>
          <t>Not Received</t>
        </is>
      </c>
      <c r="I49" s="31" t="inlineStr">
        <is>
          <t>Not Received</t>
        </is>
      </c>
      <c r="J49" s="31" t="inlineStr">
        <is>
          <t>Not Received</t>
        </is>
      </c>
      <c r="K49" s="31" t="inlineStr">
        <is>
          <t>Not Received</t>
        </is>
      </c>
      <c r="L49" s="31" t="inlineStr">
        <is>
          <t>Not Received</t>
        </is>
      </c>
      <c r="M49" s="31" t="inlineStr">
        <is>
          <t>Not Received</t>
        </is>
      </c>
      <c r="N49" s="31" t="inlineStr">
        <is>
          <t>Not Received</t>
        </is>
      </c>
      <c r="O49" s="32">
        <f>IF($B49="","",COUNTIF(G49:N49,"Accepted")+COUNTIF(G49:N49,"Received")+COUNTIF(G49:N49,"Needs Correction"))</f>
        <v/>
      </c>
      <c r="P49" s="32">
        <f>IF($B49="","",SUMPRODUCT(((G49:N49="Accepted")+(G49:N49="Not Needed"))*(Settings!$C$11:$J$11="Yes")))</f>
        <v/>
      </c>
      <c r="Q49" s="32">
        <f>IF($B49="","",SUMPRODUCT(((G49:N49="Accepted")+(G49:N49="Not Needed"))*(Settings!$C$15:$J$15="Yes")))</f>
        <v/>
      </c>
      <c r="R49" s="33">
        <f>IF($B49="","",IF($D49="No","No PTO/PTA",IF($D49&lt;&gt;"Yes","Not Yet Confirmed",IF($Q49&gt;=Settings!$C$13,"Legalized",IF($P49&gt;=Settings!$C$12,"Registered",IF($O49&gt;0,"In Progress","Not Started"))))))</f>
        <v/>
      </c>
      <c r="S49" s="32">
        <f>IF($B49="","",COUNTIF(G49:N49,"Received"))</f>
        <v/>
      </c>
      <c r="T49" s="32">
        <f>IF($B49="","",COUNTIF(G49:N49,"Needs Correction"))</f>
        <v/>
      </c>
      <c r="U49" s="33">
        <f>IF($B49="","",IF($D49&lt;&gt;"Yes","",IF($Q49&gt;=Settings!$C$13,"None",MID(IF(AND(G49&lt;&gt;"Accepted",G49&lt;&gt;"Not Needed",Settings!$C$15="Yes"),", "&amp;G$1,"")&amp;IF(AND(H49&lt;&gt;"Accepted",H49&lt;&gt;"Not Needed",Settings!$D$15="Yes"),", "&amp;H$1,"")&amp;IF(AND(I49&lt;&gt;"Accepted",I49&lt;&gt;"Not Needed",Settings!$E$15="Yes"),", "&amp;I$1,"")&amp;IF(AND(J49&lt;&gt;"Accepted",J49&lt;&gt;"Not Needed",Settings!$F$15="Yes"),", "&amp;J$1,"")&amp;IF(AND(K49&lt;&gt;"Accepted",K49&lt;&gt;"Not Needed",Settings!$G$15="Yes"),", "&amp;K$1,"")&amp;IF(AND(L49&lt;&gt;"Accepted",L49&lt;&gt;"Not Needed",Settings!$H$15="Yes"),", "&amp;L$1,"")&amp;IF(AND(M49&lt;&gt;"Accepted",M49&lt;&gt;"Not Needed",Settings!$I$15="Yes"),", "&amp;M$1,"")&amp;IF(AND(N49&lt;&gt;"Accepted",N49&lt;&gt;"Not Needed",Settings!$J$15="Yes"),", "&amp;N$1,""),3,400))))</f>
        <v/>
      </c>
    </row>
    <row r="50" ht="15" customHeight="1" s="21">
      <c r="A50" s="31" t="inlineStr">
        <is>
          <t>2026-27</t>
        </is>
      </c>
      <c r="B50" s="31" t="inlineStr">
        <is>
          <t>Williams MS</t>
        </is>
      </c>
      <c r="C50" s="31" t="inlineStr">
        <is>
          <t>NES Secondary</t>
        </is>
      </c>
      <c r="D50" s="31" t="inlineStr">
        <is>
          <t>No</t>
        </is>
      </c>
      <c r="E50" s="31" t="n"/>
      <c r="F50" s="31" t="n"/>
      <c r="G50" s="31" t="inlineStr">
        <is>
          <t>Not Received</t>
        </is>
      </c>
      <c r="H50" s="31" t="inlineStr">
        <is>
          <t>Not Received</t>
        </is>
      </c>
      <c r="I50" s="31" t="inlineStr">
        <is>
          <t>Not Received</t>
        </is>
      </c>
      <c r="J50" s="31" t="inlineStr">
        <is>
          <t>Not Received</t>
        </is>
      </c>
      <c r="K50" s="31" t="inlineStr">
        <is>
          <t>Not Received</t>
        </is>
      </c>
      <c r="L50" s="31" t="inlineStr">
        <is>
          <t>Not Received</t>
        </is>
      </c>
      <c r="M50" s="31" t="inlineStr">
        <is>
          <t>Not Received</t>
        </is>
      </c>
      <c r="N50" s="31" t="inlineStr">
        <is>
          <t>Not Received</t>
        </is>
      </c>
      <c r="O50" s="32">
        <f>IF($B50="","",COUNTIF(G50:N50,"Accepted")+COUNTIF(G50:N50,"Received")+COUNTIF(G50:N50,"Needs Correction"))</f>
        <v/>
      </c>
      <c r="P50" s="32">
        <f>IF($B50="","",SUMPRODUCT(((G50:N50="Accepted")+(G50:N50="Not Needed"))*(Settings!$C$11:$J$11="Yes")))</f>
        <v/>
      </c>
      <c r="Q50" s="32">
        <f>IF($B50="","",SUMPRODUCT(((G50:N50="Accepted")+(G50:N50="Not Needed"))*(Settings!$C$15:$J$15="Yes")))</f>
        <v/>
      </c>
      <c r="R50" s="33">
        <f>IF($B50="","",IF($D50="No","No PTO/PTA",IF($D50&lt;&gt;"Yes","Not Yet Confirmed",IF($Q50&gt;=Settings!$C$13,"Legalized",IF($P50&gt;=Settings!$C$12,"Registered",IF($O50&gt;0,"In Progress","Not Started"))))))</f>
        <v/>
      </c>
      <c r="S50" s="32">
        <f>IF($B50="","",COUNTIF(G50:N50,"Received"))</f>
        <v/>
      </c>
      <c r="T50" s="32">
        <f>IF($B50="","",COUNTIF(G50:N50,"Needs Correction"))</f>
        <v/>
      </c>
      <c r="U50" s="33">
        <f>IF($B50="","",IF($D50&lt;&gt;"Yes","",IF($Q50&gt;=Settings!$C$13,"None",MID(IF(AND(G50&lt;&gt;"Accepted",G50&lt;&gt;"Not Needed",Settings!$C$15="Yes"),", "&amp;G$1,"")&amp;IF(AND(H50&lt;&gt;"Accepted",H50&lt;&gt;"Not Needed",Settings!$D$15="Yes"),", "&amp;H$1,"")&amp;IF(AND(I50&lt;&gt;"Accepted",I50&lt;&gt;"Not Needed",Settings!$E$15="Yes"),", "&amp;I$1,"")&amp;IF(AND(J50&lt;&gt;"Accepted",J50&lt;&gt;"Not Needed",Settings!$F$15="Yes"),", "&amp;J$1,"")&amp;IF(AND(K50&lt;&gt;"Accepted",K50&lt;&gt;"Not Needed",Settings!$G$15="Yes"),", "&amp;K$1,"")&amp;IF(AND(L50&lt;&gt;"Accepted",L50&lt;&gt;"Not Needed",Settings!$H$15="Yes"),", "&amp;L$1,"")&amp;IF(AND(M50&lt;&gt;"Accepted",M50&lt;&gt;"Not Needed",Settings!$I$15="Yes"),", "&amp;M$1,"")&amp;IF(AND(N50&lt;&gt;"Accepted",N50&lt;&gt;"Not Needed",Settings!$J$15="Yes"),", "&amp;N$1,""),3,400))))</f>
        <v/>
      </c>
    </row>
    <row r="51" ht="15" customHeight="1" s="21">
      <c r="A51" s="31" t="inlineStr">
        <is>
          <t>2026-27</t>
        </is>
      </c>
      <c r="B51" s="31" t="inlineStr">
        <is>
          <t>Worthing HS</t>
        </is>
      </c>
      <c r="C51" s="31" t="inlineStr">
        <is>
          <t>NES Secondary</t>
        </is>
      </c>
      <c r="D51" s="31" t="inlineStr">
        <is>
          <t>No</t>
        </is>
      </c>
      <c r="E51" s="31" t="n"/>
      <c r="F51" s="31" t="n"/>
      <c r="G51" s="31" t="inlineStr">
        <is>
          <t>Not Received</t>
        </is>
      </c>
      <c r="H51" s="31" t="inlineStr">
        <is>
          <t>Not Received</t>
        </is>
      </c>
      <c r="I51" s="31" t="inlineStr">
        <is>
          <t>Not Received</t>
        </is>
      </c>
      <c r="J51" s="31" t="inlineStr">
        <is>
          <t>Not Received</t>
        </is>
      </c>
      <c r="K51" s="31" t="inlineStr">
        <is>
          <t>Not Received</t>
        </is>
      </c>
      <c r="L51" s="31" t="inlineStr">
        <is>
          <t>Not Received</t>
        </is>
      </c>
      <c r="M51" s="31" t="inlineStr">
        <is>
          <t>Not Received</t>
        </is>
      </c>
      <c r="N51" s="31" t="inlineStr">
        <is>
          <t>Not Received</t>
        </is>
      </c>
      <c r="O51" s="32">
        <f>IF($B51="","",COUNTIF(G51:N51,"Accepted")+COUNTIF(G51:N51,"Received")+COUNTIF(G51:N51,"Needs Correction"))</f>
        <v/>
      </c>
      <c r="P51" s="32">
        <f>IF($B51="","",SUMPRODUCT(((G51:N51="Accepted")+(G51:N51="Not Needed"))*(Settings!$C$11:$J$11="Yes")))</f>
        <v/>
      </c>
      <c r="Q51" s="32">
        <f>IF($B51="","",SUMPRODUCT(((G51:N51="Accepted")+(G51:N51="Not Needed"))*(Settings!$C$15:$J$15="Yes")))</f>
        <v/>
      </c>
      <c r="R51" s="33">
        <f>IF($B51="","",IF($D51="No","No PTO/PTA",IF($D51&lt;&gt;"Yes","Not Yet Confirmed",IF($Q51&gt;=Settings!$C$13,"Legalized",IF($P51&gt;=Settings!$C$12,"Registered",IF($O51&gt;0,"In Progress","Not Started"))))))</f>
        <v/>
      </c>
      <c r="S51" s="32">
        <f>IF($B51="","",COUNTIF(G51:N51,"Received"))</f>
        <v/>
      </c>
      <c r="T51" s="32">
        <f>IF($B51="","",COUNTIF(G51:N51,"Needs Correction"))</f>
        <v/>
      </c>
      <c r="U51" s="33">
        <f>IF($B51="","",IF($D51&lt;&gt;"Yes","",IF($Q51&gt;=Settings!$C$13,"None",MID(IF(AND(G51&lt;&gt;"Accepted",G51&lt;&gt;"Not Needed",Settings!$C$15="Yes"),", "&amp;G$1,"")&amp;IF(AND(H51&lt;&gt;"Accepted",H51&lt;&gt;"Not Needed",Settings!$D$15="Yes"),", "&amp;H$1,"")&amp;IF(AND(I51&lt;&gt;"Accepted",I51&lt;&gt;"Not Needed",Settings!$E$15="Yes"),", "&amp;I$1,"")&amp;IF(AND(J51&lt;&gt;"Accepted",J51&lt;&gt;"Not Needed",Settings!$F$15="Yes"),", "&amp;J$1,"")&amp;IF(AND(K51&lt;&gt;"Accepted",K51&lt;&gt;"Not Needed",Settings!$G$15="Yes"),", "&amp;K$1,"")&amp;IF(AND(L51&lt;&gt;"Accepted",L51&lt;&gt;"Not Needed",Settings!$H$15="Yes"),", "&amp;L$1,"")&amp;IF(AND(M51&lt;&gt;"Accepted",M51&lt;&gt;"Not Needed",Settings!$I$15="Yes"),", "&amp;M$1,"")&amp;IF(AND(N51&lt;&gt;"Accepted",N51&lt;&gt;"Not Needed",Settings!$J$15="Yes"),", "&amp;N$1,""),3,400))))</f>
        <v/>
      </c>
    </row>
    <row r="52" ht="15" customHeight="1" s="21">
      <c r="A52" s="31" t="inlineStr">
        <is>
          <t>2026-27</t>
        </is>
      </c>
      <c r="B52" s="31" t="inlineStr">
        <is>
          <t>Yates HS</t>
        </is>
      </c>
      <c r="C52" s="31" t="inlineStr">
        <is>
          <t>NES Secondary</t>
        </is>
      </c>
      <c r="D52" s="31" t="inlineStr">
        <is>
          <t>Not Yet Confirmed</t>
        </is>
      </c>
      <c r="E52" s="31" t="n"/>
      <c r="F52" s="31" t="n"/>
      <c r="G52" s="31" t="inlineStr">
        <is>
          <t>Not Received</t>
        </is>
      </c>
      <c r="H52" s="31" t="inlineStr">
        <is>
          <t>Not Received</t>
        </is>
      </c>
      <c r="I52" s="31" t="inlineStr">
        <is>
          <t>Not Received</t>
        </is>
      </c>
      <c r="J52" s="31" t="inlineStr">
        <is>
          <t>Not Received</t>
        </is>
      </c>
      <c r="K52" s="31" t="inlineStr">
        <is>
          <t>Not Received</t>
        </is>
      </c>
      <c r="L52" s="31" t="inlineStr">
        <is>
          <t>Not Received</t>
        </is>
      </c>
      <c r="M52" s="31" t="inlineStr">
        <is>
          <t>Not Received</t>
        </is>
      </c>
      <c r="N52" s="31" t="inlineStr">
        <is>
          <t>Not Received</t>
        </is>
      </c>
      <c r="O52" s="32">
        <f>IF($B52="","",COUNTIF(G52:N52,"Accepted")+COUNTIF(G52:N52,"Received")+COUNTIF(G52:N52,"Needs Correction"))</f>
        <v/>
      </c>
      <c r="P52" s="32">
        <f>IF($B52="","",SUMPRODUCT(((G52:N52="Accepted")+(G52:N52="Not Needed"))*(Settings!$C$11:$J$11="Yes")))</f>
        <v/>
      </c>
      <c r="Q52" s="32">
        <f>IF($B52="","",SUMPRODUCT(((G52:N52="Accepted")+(G52:N52="Not Needed"))*(Settings!$C$15:$J$15="Yes")))</f>
        <v/>
      </c>
      <c r="R52" s="33">
        <f>IF($B52="","",IF($D52="No","No PTO/PTA",IF($D52&lt;&gt;"Yes","Not Yet Confirmed",IF($Q52&gt;=Settings!$C$13,"Legalized",IF($P52&gt;=Settings!$C$12,"Registered",IF($O52&gt;0,"In Progress","Not Started"))))))</f>
        <v/>
      </c>
      <c r="S52" s="32">
        <f>IF($B52="","",COUNTIF(G52:N52,"Received"))</f>
        <v/>
      </c>
      <c r="T52" s="32">
        <f>IF($B52="","",COUNTIF(G52:N52,"Needs Correction"))</f>
        <v/>
      </c>
      <c r="U52" s="33">
        <f>IF($B52="","",IF($D52&lt;&gt;"Yes","",IF($Q52&gt;=Settings!$C$13,"None",MID(IF(AND(G52&lt;&gt;"Accepted",G52&lt;&gt;"Not Needed",Settings!$C$15="Yes"),", "&amp;G$1,"")&amp;IF(AND(H52&lt;&gt;"Accepted",H52&lt;&gt;"Not Needed",Settings!$D$15="Yes"),", "&amp;H$1,"")&amp;IF(AND(I52&lt;&gt;"Accepted",I52&lt;&gt;"Not Needed",Settings!$E$15="Yes"),", "&amp;I$1,"")&amp;IF(AND(J52&lt;&gt;"Accepted",J52&lt;&gt;"Not Needed",Settings!$F$15="Yes"),", "&amp;J$1,"")&amp;IF(AND(K52&lt;&gt;"Accepted",K52&lt;&gt;"Not Needed",Settings!$G$15="Yes"),", "&amp;K$1,"")&amp;IF(AND(L52&lt;&gt;"Accepted",L52&lt;&gt;"Not Needed",Settings!$H$15="Yes"),", "&amp;L$1,"")&amp;IF(AND(M52&lt;&gt;"Accepted",M52&lt;&gt;"Not Needed",Settings!$I$15="Yes"),", "&amp;M$1,"")&amp;IF(AND(N52&lt;&gt;"Accepted",N52&lt;&gt;"Not Needed",Settings!$J$15="Yes"),", "&amp;N$1,""),3,400))))</f>
        <v/>
      </c>
    </row>
    <row r="53" ht="15" customHeight="1" s="21">
      <c r="A53" s="31" t="inlineStr">
        <is>
          <t>2026-27</t>
        </is>
      </c>
      <c r="B53" s="31" t="inlineStr">
        <is>
          <t>Arabic Immersion</t>
        </is>
      </c>
      <c r="C53" s="31" t="inlineStr">
        <is>
          <t>EAS Elementary</t>
        </is>
      </c>
      <c r="D53" s="31" t="inlineStr">
        <is>
          <t>Not Yet Confirmed</t>
        </is>
      </c>
      <c r="E53" s="31" t="n"/>
      <c r="F53" s="31" t="n"/>
      <c r="G53" s="31" t="inlineStr">
        <is>
          <t>Not Received</t>
        </is>
      </c>
      <c r="H53" s="31" t="inlineStr">
        <is>
          <t>Not Received</t>
        </is>
      </c>
      <c r="I53" s="31" t="inlineStr">
        <is>
          <t>Not Received</t>
        </is>
      </c>
      <c r="J53" s="31" t="inlineStr">
        <is>
          <t>Not Received</t>
        </is>
      </c>
      <c r="K53" s="31" t="inlineStr">
        <is>
          <t>Not Received</t>
        </is>
      </c>
      <c r="L53" s="31" t="inlineStr">
        <is>
          <t>Not Received</t>
        </is>
      </c>
      <c r="M53" s="31" t="inlineStr">
        <is>
          <t>Not Received</t>
        </is>
      </c>
      <c r="N53" s="31" t="inlineStr">
        <is>
          <t>Not Received</t>
        </is>
      </c>
      <c r="O53" s="32">
        <f>IF($B53="","",COUNTIF(G53:N53,"Accepted")+COUNTIF(G53:N53,"Received")+COUNTIF(G53:N53,"Needs Correction"))</f>
        <v/>
      </c>
      <c r="P53" s="32">
        <f>IF($B53="","",SUMPRODUCT(((G53:N53="Accepted")+(G53:N53="Not Needed"))*(Settings!$C$11:$J$11="Yes")))</f>
        <v/>
      </c>
      <c r="Q53" s="32">
        <f>IF($B53="","",SUMPRODUCT(((G53:N53="Accepted")+(G53:N53="Not Needed"))*(Settings!$C$15:$J$15="Yes")))</f>
        <v/>
      </c>
      <c r="R53" s="33">
        <f>IF($B53="","",IF($D53="No","No PTO/PTA",IF($D53&lt;&gt;"Yes","Not Yet Confirmed",IF($Q53&gt;=Settings!$C$13,"Legalized",IF($P53&gt;=Settings!$C$12,"Registered",IF($O53&gt;0,"In Progress","Not Started"))))))</f>
        <v/>
      </c>
      <c r="S53" s="32">
        <f>IF($B53="","",COUNTIF(G53:N53,"Received"))</f>
        <v/>
      </c>
      <c r="T53" s="32">
        <f>IF($B53="","",COUNTIF(G53:N53,"Needs Correction"))</f>
        <v/>
      </c>
      <c r="U53" s="33">
        <f>IF($B53="","",IF($D53&lt;&gt;"Yes","",IF($Q53&gt;=Settings!$C$13,"None",MID(IF(AND(G53&lt;&gt;"Accepted",G53&lt;&gt;"Not Needed",Settings!$C$15="Yes"),", "&amp;G$1,"")&amp;IF(AND(H53&lt;&gt;"Accepted",H53&lt;&gt;"Not Needed",Settings!$D$15="Yes"),", "&amp;H$1,"")&amp;IF(AND(I53&lt;&gt;"Accepted",I53&lt;&gt;"Not Needed",Settings!$E$15="Yes"),", "&amp;I$1,"")&amp;IF(AND(J53&lt;&gt;"Accepted",J53&lt;&gt;"Not Needed",Settings!$F$15="Yes"),", "&amp;J$1,"")&amp;IF(AND(K53&lt;&gt;"Accepted",K53&lt;&gt;"Not Needed",Settings!$G$15="Yes"),", "&amp;K$1,"")&amp;IF(AND(L53&lt;&gt;"Accepted",L53&lt;&gt;"Not Needed",Settings!$H$15="Yes"),", "&amp;L$1,"")&amp;IF(AND(M53&lt;&gt;"Accepted",M53&lt;&gt;"Not Needed",Settings!$I$15="Yes"),", "&amp;M$1,"")&amp;IF(AND(N53&lt;&gt;"Accepted",N53&lt;&gt;"Not Needed",Settings!$J$15="Yes"),", "&amp;N$1,""),3,400))))</f>
        <v/>
      </c>
    </row>
    <row r="54" ht="15" customHeight="1" s="21">
      <c r="A54" s="31" t="inlineStr">
        <is>
          <t>2026-27</t>
        </is>
      </c>
      <c r="B54" s="31" t="inlineStr">
        <is>
          <t>Baker Montessori</t>
        </is>
      </c>
      <c r="C54" s="31" t="inlineStr">
        <is>
          <t>EAS Elementary</t>
        </is>
      </c>
      <c r="D54" s="31" t="inlineStr">
        <is>
          <t>Not Yet Confirmed</t>
        </is>
      </c>
      <c r="E54" s="31" t="n"/>
      <c r="F54" s="31" t="n"/>
      <c r="G54" s="31" t="inlineStr">
        <is>
          <t>Not Received</t>
        </is>
      </c>
      <c r="H54" s="31" t="inlineStr">
        <is>
          <t>Not Received</t>
        </is>
      </c>
      <c r="I54" s="31" t="inlineStr">
        <is>
          <t>Not Received</t>
        </is>
      </c>
      <c r="J54" s="31" t="inlineStr">
        <is>
          <t>Not Received</t>
        </is>
      </c>
      <c r="K54" s="31" t="inlineStr">
        <is>
          <t>Not Received</t>
        </is>
      </c>
      <c r="L54" s="31" t="inlineStr">
        <is>
          <t>Not Received</t>
        </is>
      </c>
      <c r="M54" s="31" t="inlineStr">
        <is>
          <t>Not Received</t>
        </is>
      </c>
      <c r="N54" s="31" t="inlineStr">
        <is>
          <t>Not Received</t>
        </is>
      </c>
      <c r="O54" s="32">
        <f>IF($B54="","",COUNTIF(G54:N54,"Accepted")+COUNTIF(G54:N54,"Received")+COUNTIF(G54:N54,"Needs Correction"))</f>
        <v/>
      </c>
      <c r="P54" s="32">
        <f>IF($B54="","",SUMPRODUCT(((G54:N54="Accepted")+(G54:N54="Not Needed"))*(Settings!$C$11:$J$11="Yes")))</f>
        <v/>
      </c>
      <c r="Q54" s="32">
        <f>IF($B54="","",SUMPRODUCT(((G54:N54="Accepted")+(G54:N54="Not Needed"))*(Settings!$C$15:$J$15="Yes")))</f>
        <v/>
      </c>
      <c r="R54" s="33">
        <f>IF($B54="","",IF($D54="No","No PTO/PTA",IF($D54&lt;&gt;"Yes","Not Yet Confirmed",IF($Q54&gt;=Settings!$C$13,"Legalized",IF($P54&gt;=Settings!$C$12,"Registered",IF($O54&gt;0,"In Progress","Not Started"))))))</f>
        <v/>
      </c>
      <c r="S54" s="32">
        <f>IF($B54="","",COUNTIF(G54:N54,"Received"))</f>
        <v/>
      </c>
      <c r="T54" s="32">
        <f>IF($B54="","",COUNTIF(G54:N54,"Needs Correction"))</f>
        <v/>
      </c>
      <c r="U54" s="33">
        <f>IF($B54="","",IF($D54&lt;&gt;"Yes","",IF($Q54&gt;=Settings!$C$13,"None",MID(IF(AND(G54&lt;&gt;"Accepted",G54&lt;&gt;"Not Needed",Settings!$C$15="Yes"),", "&amp;G$1,"")&amp;IF(AND(H54&lt;&gt;"Accepted",H54&lt;&gt;"Not Needed",Settings!$D$15="Yes"),", "&amp;H$1,"")&amp;IF(AND(I54&lt;&gt;"Accepted",I54&lt;&gt;"Not Needed",Settings!$E$15="Yes"),", "&amp;I$1,"")&amp;IF(AND(J54&lt;&gt;"Accepted",J54&lt;&gt;"Not Needed",Settings!$F$15="Yes"),", "&amp;J$1,"")&amp;IF(AND(K54&lt;&gt;"Accepted",K54&lt;&gt;"Not Needed",Settings!$G$15="Yes"),", "&amp;K$1,"")&amp;IF(AND(L54&lt;&gt;"Accepted",L54&lt;&gt;"Not Needed",Settings!$H$15="Yes"),", "&amp;L$1,"")&amp;IF(AND(M54&lt;&gt;"Accepted",M54&lt;&gt;"Not Needed",Settings!$I$15="Yes"),", "&amp;M$1,"")&amp;IF(AND(N54&lt;&gt;"Accepted",N54&lt;&gt;"Not Needed",Settings!$J$15="Yes"),", "&amp;N$1,""),3,400))))</f>
        <v/>
      </c>
    </row>
    <row r="55" ht="15" customHeight="1" s="21">
      <c r="A55" s="31" t="inlineStr">
        <is>
          <t>2026-27</t>
        </is>
      </c>
      <c r="B55" s="31" t="inlineStr">
        <is>
          <t>Bellfort ECC</t>
        </is>
      </c>
      <c r="C55" s="31" t="inlineStr">
        <is>
          <t>EAS Elementary</t>
        </is>
      </c>
      <c r="D55" s="31" t="inlineStr">
        <is>
          <t>Not Yet Confirmed</t>
        </is>
      </c>
      <c r="E55" s="31" t="n"/>
      <c r="F55" s="31" t="n"/>
      <c r="G55" s="31" t="inlineStr">
        <is>
          <t>Not Received</t>
        </is>
      </c>
      <c r="H55" s="31" t="inlineStr">
        <is>
          <t>Not Received</t>
        </is>
      </c>
      <c r="I55" s="31" t="inlineStr">
        <is>
          <t>Not Received</t>
        </is>
      </c>
      <c r="J55" s="31" t="inlineStr">
        <is>
          <t>Not Received</t>
        </is>
      </c>
      <c r="K55" s="31" t="inlineStr">
        <is>
          <t>Not Received</t>
        </is>
      </c>
      <c r="L55" s="31" t="inlineStr">
        <is>
          <t>Not Received</t>
        </is>
      </c>
      <c r="M55" s="31" t="inlineStr">
        <is>
          <t>Not Received</t>
        </is>
      </c>
      <c r="N55" s="31" t="inlineStr">
        <is>
          <t>Not Received</t>
        </is>
      </c>
      <c r="O55" s="32">
        <f>IF($B55="","",COUNTIF(G55:N55,"Accepted")+COUNTIF(G55:N55,"Received")+COUNTIF(G55:N55,"Needs Correction"))</f>
        <v/>
      </c>
      <c r="P55" s="32">
        <f>IF($B55="","",SUMPRODUCT(((G55:N55="Accepted")+(G55:N55="Not Needed"))*(Settings!$C$11:$J$11="Yes")))</f>
        <v/>
      </c>
      <c r="Q55" s="32">
        <f>IF($B55="","",SUMPRODUCT(((G55:N55="Accepted")+(G55:N55="Not Needed"))*(Settings!$C$15:$J$15="Yes")))</f>
        <v/>
      </c>
      <c r="R55" s="33">
        <f>IF($B55="","",IF($D55="No","No PTO/PTA",IF($D55&lt;&gt;"Yes","Not Yet Confirmed",IF($Q55&gt;=Settings!$C$13,"Legalized",IF($P55&gt;=Settings!$C$12,"Registered",IF($O55&gt;0,"In Progress","Not Started"))))))</f>
        <v/>
      </c>
      <c r="S55" s="32">
        <f>IF($B55="","",COUNTIF(G55:N55,"Received"))</f>
        <v/>
      </c>
      <c r="T55" s="32">
        <f>IF($B55="","",COUNTIF(G55:N55,"Needs Correction"))</f>
        <v/>
      </c>
      <c r="U55" s="33">
        <f>IF($B55="","",IF($D55&lt;&gt;"Yes","",IF($Q55&gt;=Settings!$C$13,"None",MID(IF(AND(G55&lt;&gt;"Accepted",G55&lt;&gt;"Not Needed",Settings!$C$15="Yes"),", "&amp;G$1,"")&amp;IF(AND(H55&lt;&gt;"Accepted",H55&lt;&gt;"Not Needed",Settings!$D$15="Yes"),", "&amp;H$1,"")&amp;IF(AND(I55&lt;&gt;"Accepted",I55&lt;&gt;"Not Needed",Settings!$E$15="Yes"),", "&amp;I$1,"")&amp;IF(AND(J55&lt;&gt;"Accepted",J55&lt;&gt;"Not Needed",Settings!$F$15="Yes"),", "&amp;J$1,"")&amp;IF(AND(K55&lt;&gt;"Accepted",K55&lt;&gt;"Not Needed",Settings!$G$15="Yes"),", "&amp;K$1,"")&amp;IF(AND(L55&lt;&gt;"Accepted",L55&lt;&gt;"Not Needed",Settings!$H$15="Yes"),", "&amp;L$1,"")&amp;IF(AND(M55&lt;&gt;"Accepted",M55&lt;&gt;"Not Needed",Settings!$I$15="Yes"),", "&amp;M$1,"")&amp;IF(AND(N55&lt;&gt;"Accepted",N55&lt;&gt;"Not Needed",Settings!$J$15="Yes"),", "&amp;N$1,""),3,400))))</f>
        <v/>
      </c>
    </row>
    <row r="56" ht="15" customHeight="1" s="21">
      <c r="A56" s="31" t="inlineStr">
        <is>
          <t>2026-27</t>
        </is>
      </c>
      <c r="B56" s="31" t="inlineStr">
        <is>
          <t>Braeburn ES</t>
        </is>
      </c>
      <c r="C56" s="31" t="inlineStr">
        <is>
          <t>EAS Elementary</t>
        </is>
      </c>
      <c r="D56" s="31" t="inlineStr">
        <is>
          <t>Not Yet Confirmed</t>
        </is>
      </c>
      <c r="E56" s="31" t="n"/>
      <c r="F56" s="31" t="n"/>
      <c r="G56" s="31" t="inlineStr">
        <is>
          <t>Not Received</t>
        </is>
      </c>
      <c r="H56" s="31" t="inlineStr">
        <is>
          <t>Not Received</t>
        </is>
      </c>
      <c r="I56" s="31" t="inlineStr">
        <is>
          <t>Not Received</t>
        </is>
      </c>
      <c r="J56" s="31" t="inlineStr">
        <is>
          <t>Not Received</t>
        </is>
      </c>
      <c r="K56" s="31" t="inlineStr">
        <is>
          <t>Not Received</t>
        </is>
      </c>
      <c r="L56" s="31" t="inlineStr">
        <is>
          <t>Not Received</t>
        </is>
      </c>
      <c r="M56" s="31" t="inlineStr">
        <is>
          <t>Not Received</t>
        </is>
      </c>
      <c r="N56" s="31" t="inlineStr">
        <is>
          <t>Not Received</t>
        </is>
      </c>
      <c r="O56" s="32">
        <f>IF($B56="","",COUNTIF(G56:N56,"Accepted")+COUNTIF(G56:N56,"Received")+COUNTIF(G56:N56,"Needs Correction"))</f>
        <v/>
      </c>
      <c r="P56" s="32">
        <f>IF($B56="","",SUMPRODUCT(((G56:N56="Accepted")+(G56:N56="Not Needed"))*(Settings!$C$11:$J$11="Yes")))</f>
        <v/>
      </c>
      <c r="Q56" s="32">
        <f>IF($B56="","",SUMPRODUCT(((G56:N56="Accepted")+(G56:N56="Not Needed"))*(Settings!$C$15:$J$15="Yes")))</f>
        <v/>
      </c>
      <c r="R56" s="33">
        <f>IF($B56="","",IF($D56="No","No PTO/PTA",IF($D56&lt;&gt;"Yes","Not Yet Confirmed",IF($Q56&gt;=Settings!$C$13,"Legalized",IF($P56&gt;=Settings!$C$12,"Registered",IF($O56&gt;0,"In Progress","Not Started"))))))</f>
        <v/>
      </c>
      <c r="S56" s="32">
        <f>IF($B56="","",COUNTIF(G56:N56,"Received"))</f>
        <v/>
      </c>
      <c r="T56" s="32">
        <f>IF($B56="","",COUNTIF(G56:N56,"Needs Correction"))</f>
        <v/>
      </c>
      <c r="U56" s="33">
        <f>IF($B56="","",IF($D56&lt;&gt;"Yes","",IF($Q56&gt;=Settings!$C$13,"None",MID(IF(AND(G56&lt;&gt;"Accepted",G56&lt;&gt;"Not Needed",Settings!$C$15="Yes"),", "&amp;G$1,"")&amp;IF(AND(H56&lt;&gt;"Accepted",H56&lt;&gt;"Not Needed",Settings!$D$15="Yes"),", "&amp;H$1,"")&amp;IF(AND(I56&lt;&gt;"Accepted",I56&lt;&gt;"Not Needed",Settings!$E$15="Yes"),", "&amp;I$1,"")&amp;IF(AND(J56&lt;&gt;"Accepted",J56&lt;&gt;"Not Needed",Settings!$F$15="Yes"),", "&amp;J$1,"")&amp;IF(AND(K56&lt;&gt;"Accepted",K56&lt;&gt;"Not Needed",Settings!$G$15="Yes"),", "&amp;K$1,"")&amp;IF(AND(L56&lt;&gt;"Accepted",L56&lt;&gt;"Not Needed",Settings!$H$15="Yes"),", "&amp;L$1,"")&amp;IF(AND(M56&lt;&gt;"Accepted",M56&lt;&gt;"Not Needed",Settings!$I$15="Yes"),", "&amp;M$1,"")&amp;IF(AND(N56&lt;&gt;"Accepted",N56&lt;&gt;"Not Needed",Settings!$J$15="Yes"),", "&amp;N$1,""),3,400))))</f>
        <v/>
      </c>
    </row>
    <row r="57" ht="15" customHeight="1" s="21">
      <c r="A57" s="31" t="inlineStr">
        <is>
          <t>2026-27</t>
        </is>
      </c>
      <c r="B57" s="31" t="inlineStr">
        <is>
          <t>Briargrove ES</t>
        </is>
      </c>
      <c r="C57" s="31" t="inlineStr">
        <is>
          <t>EAS Elementary</t>
        </is>
      </c>
      <c r="D57" s="31" t="inlineStr">
        <is>
          <t>Not Yet Confirmed</t>
        </is>
      </c>
      <c r="E57" s="31" t="n"/>
      <c r="F57" s="31" t="n"/>
      <c r="G57" s="31" t="inlineStr">
        <is>
          <t>Not Received</t>
        </is>
      </c>
      <c r="H57" s="31" t="inlineStr">
        <is>
          <t>Not Received</t>
        </is>
      </c>
      <c r="I57" s="31" t="inlineStr">
        <is>
          <t>Not Received</t>
        </is>
      </c>
      <c r="J57" s="31" t="inlineStr">
        <is>
          <t>Not Received</t>
        </is>
      </c>
      <c r="K57" s="31" t="inlineStr">
        <is>
          <t>Not Received</t>
        </is>
      </c>
      <c r="L57" s="31" t="inlineStr">
        <is>
          <t>Not Received</t>
        </is>
      </c>
      <c r="M57" s="31" t="inlineStr">
        <is>
          <t>Not Received</t>
        </is>
      </c>
      <c r="N57" s="31" t="inlineStr">
        <is>
          <t>Not Received</t>
        </is>
      </c>
      <c r="O57" s="32">
        <f>IF($B57="","",COUNTIF(G57:N57,"Accepted")+COUNTIF(G57:N57,"Received")+COUNTIF(G57:N57,"Needs Correction"))</f>
        <v/>
      </c>
      <c r="P57" s="32">
        <f>IF($B57="","",SUMPRODUCT(((G57:N57="Accepted")+(G57:N57="Not Needed"))*(Settings!$C$11:$J$11="Yes")))</f>
        <v/>
      </c>
      <c r="Q57" s="32">
        <f>IF($B57="","",SUMPRODUCT(((G57:N57="Accepted")+(G57:N57="Not Needed"))*(Settings!$C$15:$J$15="Yes")))</f>
        <v/>
      </c>
      <c r="R57" s="33">
        <f>IF($B57="","",IF($D57="No","No PTO/PTA",IF($D57&lt;&gt;"Yes","Not Yet Confirmed",IF($Q57&gt;=Settings!$C$13,"Legalized",IF($P57&gt;=Settings!$C$12,"Registered",IF($O57&gt;0,"In Progress","Not Started"))))))</f>
        <v/>
      </c>
      <c r="S57" s="32">
        <f>IF($B57="","",COUNTIF(G57:N57,"Received"))</f>
        <v/>
      </c>
      <c r="T57" s="32">
        <f>IF($B57="","",COUNTIF(G57:N57,"Needs Correction"))</f>
        <v/>
      </c>
      <c r="U57" s="33">
        <f>IF($B57="","",IF($D57&lt;&gt;"Yes","",IF($Q57&gt;=Settings!$C$13,"None",MID(IF(AND(G57&lt;&gt;"Accepted",G57&lt;&gt;"Not Needed",Settings!$C$15="Yes"),", "&amp;G$1,"")&amp;IF(AND(H57&lt;&gt;"Accepted",H57&lt;&gt;"Not Needed",Settings!$D$15="Yes"),", "&amp;H$1,"")&amp;IF(AND(I57&lt;&gt;"Accepted",I57&lt;&gt;"Not Needed",Settings!$E$15="Yes"),", "&amp;I$1,"")&amp;IF(AND(J57&lt;&gt;"Accepted",J57&lt;&gt;"Not Needed",Settings!$F$15="Yes"),", "&amp;J$1,"")&amp;IF(AND(K57&lt;&gt;"Accepted",K57&lt;&gt;"Not Needed",Settings!$G$15="Yes"),", "&amp;K$1,"")&amp;IF(AND(L57&lt;&gt;"Accepted",L57&lt;&gt;"Not Needed",Settings!$H$15="Yes"),", "&amp;L$1,"")&amp;IF(AND(M57&lt;&gt;"Accepted",M57&lt;&gt;"Not Needed",Settings!$I$15="Yes"),", "&amp;M$1,"")&amp;IF(AND(N57&lt;&gt;"Accepted",N57&lt;&gt;"Not Needed",Settings!$J$15="Yes"),", "&amp;N$1,""),3,400))))</f>
        <v/>
      </c>
    </row>
    <row r="58" ht="15" customHeight="1" s="21">
      <c r="A58" s="31" t="inlineStr">
        <is>
          <t>2026-27</t>
        </is>
      </c>
      <c r="B58" s="31" t="inlineStr">
        <is>
          <t>Briarmeadow</t>
        </is>
      </c>
      <c r="C58" s="31" t="inlineStr">
        <is>
          <t>EAS Elementary</t>
        </is>
      </c>
      <c r="D58" s="31" t="inlineStr">
        <is>
          <t>Not Yet Confirmed</t>
        </is>
      </c>
      <c r="E58" s="31" t="n"/>
      <c r="F58" s="31" t="n"/>
      <c r="G58" s="31" t="inlineStr">
        <is>
          <t>Not Received</t>
        </is>
      </c>
      <c r="H58" s="31" t="inlineStr">
        <is>
          <t>Not Received</t>
        </is>
      </c>
      <c r="I58" s="31" t="inlineStr">
        <is>
          <t>Not Received</t>
        </is>
      </c>
      <c r="J58" s="31" t="inlineStr">
        <is>
          <t>Not Received</t>
        </is>
      </c>
      <c r="K58" s="31" t="inlineStr">
        <is>
          <t>Not Received</t>
        </is>
      </c>
      <c r="L58" s="31" t="inlineStr">
        <is>
          <t>Not Received</t>
        </is>
      </c>
      <c r="M58" s="31" t="inlineStr">
        <is>
          <t>Not Received</t>
        </is>
      </c>
      <c r="N58" s="31" t="inlineStr">
        <is>
          <t>Not Received</t>
        </is>
      </c>
      <c r="O58" s="32">
        <f>IF($B58="","",COUNTIF(G58:N58,"Accepted")+COUNTIF(G58:N58,"Received")+COUNTIF(G58:N58,"Needs Correction"))</f>
        <v/>
      </c>
      <c r="P58" s="32">
        <f>IF($B58="","",SUMPRODUCT(((G58:N58="Accepted")+(G58:N58="Not Needed"))*(Settings!$C$11:$J$11="Yes")))</f>
        <v/>
      </c>
      <c r="Q58" s="32">
        <f>IF($B58="","",SUMPRODUCT(((G58:N58="Accepted")+(G58:N58="Not Needed"))*(Settings!$C$15:$J$15="Yes")))</f>
        <v/>
      </c>
      <c r="R58" s="33">
        <f>IF($B58="","",IF($D58="No","No PTO/PTA",IF($D58&lt;&gt;"Yes","Not Yet Confirmed",IF($Q58&gt;=Settings!$C$13,"Legalized",IF($P58&gt;=Settings!$C$12,"Registered",IF($O58&gt;0,"In Progress","Not Started"))))))</f>
        <v/>
      </c>
      <c r="S58" s="32">
        <f>IF($B58="","",COUNTIF(G58:N58,"Received"))</f>
        <v/>
      </c>
      <c r="T58" s="32">
        <f>IF($B58="","",COUNTIF(G58:N58,"Needs Correction"))</f>
        <v/>
      </c>
      <c r="U58" s="33">
        <f>IF($B58="","",IF($D58&lt;&gt;"Yes","",IF($Q58&gt;=Settings!$C$13,"None",MID(IF(AND(G58&lt;&gt;"Accepted",G58&lt;&gt;"Not Needed",Settings!$C$15="Yes"),", "&amp;G$1,"")&amp;IF(AND(H58&lt;&gt;"Accepted",H58&lt;&gt;"Not Needed",Settings!$D$15="Yes"),", "&amp;H$1,"")&amp;IF(AND(I58&lt;&gt;"Accepted",I58&lt;&gt;"Not Needed",Settings!$E$15="Yes"),", "&amp;I$1,"")&amp;IF(AND(J58&lt;&gt;"Accepted",J58&lt;&gt;"Not Needed",Settings!$F$15="Yes"),", "&amp;J$1,"")&amp;IF(AND(K58&lt;&gt;"Accepted",K58&lt;&gt;"Not Needed",Settings!$G$15="Yes"),", "&amp;K$1,"")&amp;IF(AND(L58&lt;&gt;"Accepted",L58&lt;&gt;"Not Needed",Settings!$H$15="Yes"),", "&amp;L$1,"")&amp;IF(AND(M58&lt;&gt;"Accepted",M58&lt;&gt;"Not Needed",Settings!$I$15="Yes"),", "&amp;M$1,"")&amp;IF(AND(N58&lt;&gt;"Accepted",N58&lt;&gt;"Not Needed",Settings!$J$15="Yes"),", "&amp;N$1,""),3,400))))</f>
        <v/>
      </c>
    </row>
    <row r="59" ht="15" customHeight="1" s="21">
      <c r="A59" s="31" t="inlineStr">
        <is>
          <t>2026-27</t>
        </is>
      </c>
      <c r="B59" s="31" t="inlineStr">
        <is>
          <t>Burbank ES</t>
        </is>
      </c>
      <c r="C59" s="31" t="inlineStr">
        <is>
          <t>EAS Elementary</t>
        </is>
      </c>
      <c r="D59" s="31" t="inlineStr">
        <is>
          <t>Not Yet Confirmed</t>
        </is>
      </c>
      <c r="E59" s="31" t="n"/>
      <c r="F59" s="31" t="n"/>
      <c r="G59" s="31" t="inlineStr">
        <is>
          <t>Not Received</t>
        </is>
      </c>
      <c r="H59" s="31" t="inlineStr">
        <is>
          <t>Not Received</t>
        </is>
      </c>
      <c r="I59" s="31" t="inlineStr">
        <is>
          <t>Not Received</t>
        </is>
      </c>
      <c r="J59" s="31" t="inlineStr">
        <is>
          <t>Not Received</t>
        </is>
      </c>
      <c r="K59" s="31" t="inlineStr">
        <is>
          <t>Not Received</t>
        </is>
      </c>
      <c r="L59" s="31" t="inlineStr">
        <is>
          <t>Not Received</t>
        </is>
      </c>
      <c r="M59" s="31" t="inlineStr">
        <is>
          <t>Not Received</t>
        </is>
      </c>
      <c r="N59" s="31" t="inlineStr">
        <is>
          <t>Not Received</t>
        </is>
      </c>
      <c r="O59" s="32">
        <f>IF($B59="","",COUNTIF(G59:N59,"Accepted")+COUNTIF(G59:N59,"Received")+COUNTIF(G59:N59,"Needs Correction"))</f>
        <v/>
      </c>
      <c r="P59" s="32">
        <f>IF($B59="","",SUMPRODUCT(((G59:N59="Accepted")+(G59:N59="Not Needed"))*(Settings!$C$11:$J$11="Yes")))</f>
        <v/>
      </c>
      <c r="Q59" s="32">
        <f>IF($B59="","",SUMPRODUCT(((G59:N59="Accepted")+(G59:N59="Not Needed"))*(Settings!$C$15:$J$15="Yes")))</f>
        <v/>
      </c>
      <c r="R59" s="33">
        <f>IF($B59="","",IF($D59="No","No PTO/PTA",IF($D59&lt;&gt;"Yes","Not Yet Confirmed",IF($Q59&gt;=Settings!$C$13,"Legalized",IF($P59&gt;=Settings!$C$12,"Registered",IF($O59&gt;0,"In Progress","Not Started"))))))</f>
        <v/>
      </c>
      <c r="S59" s="32">
        <f>IF($B59="","",COUNTIF(G59:N59,"Received"))</f>
        <v/>
      </c>
      <c r="T59" s="32">
        <f>IF($B59="","",COUNTIF(G59:N59,"Needs Correction"))</f>
        <v/>
      </c>
      <c r="U59" s="33">
        <f>IF($B59="","",IF($D59&lt;&gt;"Yes","",IF($Q59&gt;=Settings!$C$13,"None",MID(IF(AND(G59&lt;&gt;"Accepted",G59&lt;&gt;"Not Needed",Settings!$C$15="Yes"),", "&amp;G$1,"")&amp;IF(AND(H59&lt;&gt;"Accepted",H59&lt;&gt;"Not Needed",Settings!$D$15="Yes"),", "&amp;H$1,"")&amp;IF(AND(I59&lt;&gt;"Accepted",I59&lt;&gt;"Not Needed",Settings!$E$15="Yes"),", "&amp;I$1,"")&amp;IF(AND(J59&lt;&gt;"Accepted",J59&lt;&gt;"Not Needed",Settings!$F$15="Yes"),", "&amp;J$1,"")&amp;IF(AND(K59&lt;&gt;"Accepted",K59&lt;&gt;"Not Needed",Settings!$G$15="Yes"),", "&amp;K$1,"")&amp;IF(AND(L59&lt;&gt;"Accepted",L59&lt;&gt;"Not Needed",Settings!$H$15="Yes"),", "&amp;L$1,"")&amp;IF(AND(M59&lt;&gt;"Accepted",M59&lt;&gt;"Not Needed",Settings!$I$15="Yes"),", "&amp;M$1,"")&amp;IF(AND(N59&lt;&gt;"Accepted",N59&lt;&gt;"Not Needed",Settings!$J$15="Yes"),", "&amp;N$1,""),3,400))))</f>
        <v/>
      </c>
    </row>
    <row r="60" ht="15" customHeight="1" s="21">
      <c r="A60" s="31" t="inlineStr">
        <is>
          <t>2026-27</t>
        </is>
      </c>
      <c r="B60" s="31" t="inlineStr">
        <is>
          <t>Bush ES</t>
        </is>
      </c>
      <c r="C60" s="31" t="inlineStr">
        <is>
          <t>EAS Elementary</t>
        </is>
      </c>
      <c r="D60" s="31" t="inlineStr">
        <is>
          <t>Not Yet Confirmed</t>
        </is>
      </c>
      <c r="E60" s="31" t="n"/>
      <c r="F60" s="31" t="n"/>
      <c r="G60" s="31" t="inlineStr">
        <is>
          <t>Not Received</t>
        </is>
      </c>
      <c r="H60" s="31" t="inlineStr">
        <is>
          <t>Not Received</t>
        </is>
      </c>
      <c r="I60" s="31" t="inlineStr">
        <is>
          <t>Not Received</t>
        </is>
      </c>
      <c r="J60" s="31" t="inlineStr">
        <is>
          <t>Not Received</t>
        </is>
      </c>
      <c r="K60" s="31" t="inlineStr">
        <is>
          <t>Not Received</t>
        </is>
      </c>
      <c r="L60" s="31" t="inlineStr">
        <is>
          <t>Not Received</t>
        </is>
      </c>
      <c r="M60" s="31" t="inlineStr">
        <is>
          <t>Not Received</t>
        </is>
      </c>
      <c r="N60" s="31" t="inlineStr">
        <is>
          <t>Not Received</t>
        </is>
      </c>
      <c r="O60" s="32">
        <f>IF($B60="","",COUNTIF(G60:N60,"Accepted")+COUNTIF(G60:N60,"Received")+COUNTIF(G60:N60,"Needs Correction"))</f>
        <v/>
      </c>
      <c r="P60" s="32">
        <f>IF($B60="","",SUMPRODUCT(((G60:N60="Accepted")+(G60:N60="Not Needed"))*(Settings!$C$11:$J$11="Yes")))</f>
        <v/>
      </c>
      <c r="Q60" s="32">
        <f>IF($B60="","",SUMPRODUCT(((G60:N60="Accepted")+(G60:N60="Not Needed"))*(Settings!$C$15:$J$15="Yes")))</f>
        <v/>
      </c>
      <c r="R60" s="33">
        <f>IF($B60="","",IF($D60="No","No PTO/PTA",IF($D60&lt;&gt;"Yes","Not Yet Confirmed",IF($Q60&gt;=Settings!$C$13,"Legalized",IF($P60&gt;=Settings!$C$12,"Registered",IF($O60&gt;0,"In Progress","Not Started"))))))</f>
        <v/>
      </c>
      <c r="S60" s="32">
        <f>IF($B60="","",COUNTIF(G60:N60,"Received"))</f>
        <v/>
      </c>
      <c r="T60" s="32">
        <f>IF($B60="","",COUNTIF(G60:N60,"Needs Correction"))</f>
        <v/>
      </c>
      <c r="U60" s="33">
        <f>IF($B60="","",IF($D60&lt;&gt;"Yes","",IF($Q60&gt;=Settings!$C$13,"None",MID(IF(AND(G60&lt;&gt;"Accepted",G60&lt;&gt;"Not Needed",Settings!$C$15="Yes"),", "&amp;G$1,"")&amp;IF(AND(H60&lt;&gt;"Accepted",H60&lt;&gt;"Not Needed",Settings!$D$15="Yes"),", "&amp;H$1,"")&amp;IF(AND(I60&lt;&gt;"Accepted",I60&lt;&gt;"Not Needed",Settings!$E$15="Yes"),", "&amp;I$1,"")&amp;IF(AND(J60&lt;&gt;"Accepted",J60&lt;&gt;"Not Needed",Settings!$F$15="Yes"),", "&amp;J$1,"")&amp;IF(AND(K60&lt;&gt;"Accepted",K60&lt;&gt;"Not Needed",Settings!$G$15="Yes"),", "&amp;K$1,"")&amp;IF(AND(L60&lt;&gt;"Accepted",L60&lt;&gt;"Not Needed",Settings!$H$15="Yes"),", "&amp;L$1,"")&amp;IF(AND(M60&lt;&gt;"Accepted",M60&lt;&gt;"Not Needed",Settings!$I$15="Yes"),", "&amp;M$1,"")&amp;IF(AND(N60&lt;&gt;"Accepted",N60&lt;&gt;"Not Needed",Settings!$J$15="Yes"),", "&amp;N$1,""),3,400))))</f>
        <v/>
      </c>
    </row>
    <row r="61" ht="15" customHeight="1" s="21">
      <c r="A61" s="31" t="inlineStr">
        <is>
          <t>2026-27</t>
        </is>
      </c>
      <c r="B61" s="31" t="inlineStr">
        <is>
          <t>Condit ES</t>
        </is>
      </c>
      <c r="C61" s="31" t="inlineStr">
        <is>
          <t>EAS Elementary</t>
        </is>
      </c>
      <c r="D61" s="31" t="inlineStr">
        <is>
          <t>Not Yet Confirmed</t>
        </is>
      </c>
      <c r="E61" s="31" t="n"/>
      <c r="F61" s="31" t="n"/>
      <c r="G61" s="31" t="inlineStr">
        <is>
          <t>Not Received</t>
        </is>
      </c>
      <c r="H61" s="31" t="inlineStr">
        <is>
          <t>Not Received</t>
        </is>
      </c>
      <c r="I61" s="31" t="inlineStr">
        <is>
          <t>Not Received</t>
        </is>
      </c>
      <c r="J61" s="31" t="inlineStr">
        <is>
          <t>Not Received</t>
        </is>
      </c>
      <c r="K61" s="31" t="inlineStr">
        <is>
          <t>Not Received</t>
        </is>
      </c>
      <c r="L61" s="31" t="inlineStr">
        <is>
          <t>Not Received</t>
        </is>
      </c>
      <c r="M61" s="31" t="inlineStr">
        <is>
          <t>Not Received</t>
        </is>
      </c>
      <c r="N61" s="31" t="inlineStr">
        <is>
          <t>Not Received</t>
        </is>
      </c>
      <c r="O61" s="32">
        <f>IF($B61="","",COUNTIF(G61:N61,"Accepted")+COUNTIF(G61:N61,"Received")+COUNTIF(G61:N61,"Needs Correction"))</f>
        <v/>
      </c>
      <c r="P61" s="32">
        <f>IF($B61="","",SUMPRODUCT(((G61:N61="Accepted")+(G61:N61="Not Needed"))*(Settings!$C$11:$J$11="Yes")))</f>
        <v/>
      </c>
      <c r="Q61" s="32">
        <f>IF($B61="","",SUMPRODUCT(((G61:N61="Accepted")+(G61:N61="Not Needed"))*(Settings!$C$15:$J$15="Yes")))</f>
        <v/>
      </c>
      <c r="R61" s="33">
        <f>IF($B61="","",IF($D61="No","No PTO/PTA",IF($D61&lt;&gt;"Yes","Not Yet Confirmed",IF($Q61&gt;=Settings!$C$13,"Legalized",IF($P61&gt;=Settings!$C$12,"Registered",IF($O61&gt;0,"In Progress","Not Started"))))))</f>
        <v/>
      </c>
      <c r="S61" s="32">
        <f>IF($B61="","",COUNTIF(G61:N61,"Received"))</f>
        <v/>
      </c>
      <c r="T61" s="32">
        <f>IF($B61="","",COUNTIF(G61:N61,"Needs Correction"))</f>
        <v/>
      </c>
      <c r="U61" s="33">
        <f>IF($B61="","",IF($D61&lt;&gt;"Yes","",IF($Q61&gt;=Settings!$C$13,"None",MID(IF(AND(G61&lt;&gt;"Accepted",G61&lt;&gt;"Not Needed",Settings!$C$15="Yes"),", "&amp;G$1,"")&amp;IF(AND(H61&lt;&gt;"Accepted",H61&lt;&gt;"Not Needed",Settings!$D$15="Yes"),", "&amp;H$1,"")&amp;IF(AND(I61&lt;&gt;"Accepted",I61&lt;&gt;"Not Needed",Settings!$E$15="Yes"),", "&amp;I$1,"")&amp;IF(AND(J61&lt;&gt;"Accepted",J61&lt;&gt;"Not Needed",Settings!$F$15="Yes"),", "&amp;J$1,"")&amp;IF(AND(K61&lt;&gt;"Accepted",K61&lt;&gt;"Not Needed",Settings!$G$15="Yes"),", "&amp;K$1,"")&amp;IF(AND(L61&lt;&gt;"Accepted",L61&lt;&gt;"Not Needed",Settings!$H$15="Yes"),", "&amp;L$1,"")&amp;IF(AND(M61&lt;&gt;"Accepted",M61&lt;&gt;"Not Needed",Settings!$I$15="Yes"),", "&amp;M$1,"")&amp;IF(AND(N61&lt;&gt;"Accepted",N61&lt;&gt;"Not Needed",Settings!$J$15="Yes"),", "&amp;N$1,""),3,400))))</f>
        <v/>
      </c>
    </row>
    <row r="62" ht="15" customHeight="1" s="21">
      <c r="A62" s="31" t="inlineStr">
        <is>
          <t>2026-27</t>
        </is>
      </c>
      <c r="B62" s="31" t="inlineStr">
        <is>
          <t>Cornelius ES</t>
        </is>
      </c>
      <c r="C62" s="31" t="inlineStr">
        <is>
          <t>EAS Elementary</t>
        </is>
      </c>
      <c r="D62" s="31" t="inlineStr">
        <is>
          <t>Not Yet Confirmed</t>
        </is>
      </c>
      <c r="E62" s="31" t="n"/>
      <c r="F62" s="31" t="n"/>
      <c r="G62" s="31" t="inlineStr">
        <is>
          <t>Not Received</t>
        </is>
      </c>
      <c r="H62" s="31" t="inlineStr">
        <is>
          <t>Not Received</t>
        </is>
      </c>
      <c r="I62" s="31" t="inlineStr">
        <is>
          <t>Not Received</t>
        </is>
      </c>
      <c r="J62" s="31" t="inlineStr">
        <is>
          <t>Not Received</t>
        </is>
      </c>
      <c r="K62" s="31" t="inlineStr">
        <is>
          <t>Not Received</t>
        </is>
      </c>
      <c r="L62" s="31" t="inlineStr">
        <is>
          <t>Not Received</t>
        </is>
      </c>
      <c r="M62" s="31" t="inlineStr">
        <is>
          <t>Not Received</t>
        </is>
      </c>
      <c r="N62" s="31" t="inlineStr">
        <is>
          <t>Not Received</t>
        </is>
      </c>
      <c r="O62" s="32">
        <f>IF($B62="","",COUNTIF(G62:N62,"Accepted")+COUNTIF(G62:N62,"Received")+COUNTIF(G62:N62,"Needs Correction"))</f>
        <v/>
      </c>
      <c r="P62" s="32">
        <f>IF($B62="","",SUMPRODUCT(((G62:N62="Accepted")+(G62:N62="Not Needed"))*(Settings!$C$11:$J$11="Yes")))</f>
        <v/>
      </c>
      <c r="Q62" s="32">
        <f>IF($B62="","",SUMPRODUCT(((G62:N62="Accepted")+(G62:N62="Not Needed"))*(Settings!$C$15:$J$15="Yes")))</f>
        <v/>
      </c>
      <c r="R62" s="33">
        <f>IF($B62="","",IF($D62="No","No PTO/PTA",IF($D62&lt;&gt;"Yes","Not Yet Confirmed",IF($Q62&gt;=Settings!$C$13,"Legalized",IF($P62&gt;=Settings!$C$12,"Registered",IF($O62&gt;0,"In Progress","Not Started"))))))</f>
        <v/>
      </c>
      <c r="S62" s="32">
        <f>IF($B62="","",COUNTIF(G62:N62,"Received"))</f>
        <v/>
      </c>
      <c r="T62" s="32">
        <f>IF($B62="","",COUNTIF(G62:N62,"Needs Correction"))</f>
        <v/>
      </c>
      <c r="U62" s="33">
        <f>IF($B62="","",IF($D62&lt;&gt;"Yes","",IF($Q62&gt;=Settings!$C$13,"None",MID(IF(AND(G62&lt;&gt;"Accepted",G62&lt;&gt;"Not Needed",Settings!$C$15="Yes"),", "&amp;G$1,"")&amp;IF(AND(H62&lt;&gt;"Accepted",H62&lt;&gt;"Not Needed",Settings!$D$15="Yes"),", "&amp;H$1,"")&amp;IF(AND(I62&lt;&gt;"Accepted",I62&lt;&gt;"Not Needed",Settings!$E$15="Yes"),", "&amp;I$1,"")&amp;IF(AND(J62&lt;&gt;"Accepted",J62&lt;&gt;"Not Needed",Settings!$F$15="Yes"),", "&amp;J$1,"")&amp;IF(AND(K62&lt;&gt;"Accepted",K62&lt;&gt;"Not Needed",Settings!$G$15="Yes"),", "&amp;K$1,"")&amp;IF(AND(L62&lt;&gt;"Accepted",L62&lt;&gt;"Not Needed",Settings!$H$15="Yes"),", "&amp;L$1,"")&amp;IF(AND(M62&lt;&gt;"Accepted",M62&lt;&gt;"Not Needed",Settings!$I$15="Yes"),", "&amp;M$1,"")&amp;IF(AND(N62&lt;&gt;"Accepted",N62&lt;&gt;"Not Needed",Settings!$J$15="Yes"),", "&amp;N$1,""),3,400))))</f>
        <v/>
      </c>
    </row>
    <row r="63" ht="15" customHeight="1" s="21">
      <c r="A63" s="31" t="inlineStr">
        <is>
          <t>2026-27</t>
        </is>
      </c>
      <c r="B63" s="31" t="inlineStr">
        <is>
          <t>Crespo ES</t>
        </is>
      </c>
      <c r="C63" s="31" t="inlineStr">
        <is>
          <t>EAS Elementary</t>
        </is>
      </c>
      <c r="D63" s="31" t="inlineStr">
        <is>
          <t>Not Yet Confirmed</t>
        </is>
      </c>
      <c r="E63" s="31" t="n"/>
      <c r="F63" s="31" t="n"/>
      <c r="G63" s="31" t="inlineStr">
        <is>
          <t>Not Received</t>
        </is>
      </c>
      <c r="H63" s="31" t="inlineStr">
        <is>
          <t>Not Received</t>
        </is>
      </c>
      <c r="I63" s="31" t="inlineStr">
        <is>
          <t>Not Received</t>
        </is>
      </c>
      <c r="J63" s="31" t="inlineStr">
        <is>
          <t>Not Received</t>
        </is>
      </c>
      <c r="K63" s="31" t="inlineStr">
        <is>
          <t>Not Received</t>
        </is>
      </c>
      <c r="L63" s="31" t="inlineStr">
        <is>
          <t>Not Received</t>
        </is>
      </c>
      <c r="M63" s="31" t="inlineStr">
        <is>
          <t>Not Received</t>
        </is>
      </c>
      <c r="N63" s="31" t="inlineStr">
        <is>
          <t>Not Received</t>
        </is>
      </c>
      <c r="O63" s="32">
        <f>IF($B63="","",COUNTIF(G63:N63,"Accepted")+COUNTIF(G63:N63,"Received")+COUNTIF(G63:N63,"Needs Correction"))</f>
        <v/>
      </c>
      <c r="P63" s="32">
        <f>IF($B63="","",SUMPRODUCT(((G63:N63="Accepted")+(G63:N63="Not Needed"))*(Settings!$C$11:$J$11="Yes")))</f>
        <v/>
      </c>
      <c r="Q63" s="32">
        <f>IF($B63="","",SUMPRODUCT(((G63:N63="Accepted")+(G63:N63="Not Needed"))*(Settings!$C$15:$J$15="Yes")))</f>
        <v/>
      </c>
      <c r="R63" s="33">
        <f>IF($B63="","",IF($D63="No","No PTO/PTA",IF($D63&lt;&gt;"Yes","Not Yet Confirmed",IF($Q63&gt;=Settings!$C$13,"Legalized",IF($P63&gt;=Settings!$C$12,"Registered",IF($O63&gt;0,"In Progress","Not Started"))))))</f>
        <v/>
      </c>
      <c r="S63" s="32">
        <f>IF($B63="","",COUNTIF(G63:N63,"Received"))</f>
        <v/>
      </c>
      <c r="T63" s="32">
        <f>IF($B63="","",COUNTIF(G63:N63,"Needs Correction"))</f>
        <v/>
      </c>
      <c r="U63" s="33">
        <f>IF($B63="","",IF($D63&lt;&gt;"Yes","",IF($Q63&gt;=Settings!$C$13,"None",MID(IF(AND(G63&lt;&gt;"Accepted",G63&lt;&gt;"Not Needed",Settings!$C$15="Yes"),", "&amp;G$1,"")&amp;IF(AND(H63&lt;&gt;"Accepted",H63&lt;&gt;"Not Needed",Settings!$D$15="Yes"),", "&amp;H$1,"")&amp;IF(AND(I63&lt;&gt;"Accepted",I63&lt;&gt;"Not Needed",Settings!$E$15="Yes"),", "&amp;I$1,"")&amp;IF(AND(J63&lt;&gt;"Accepted",J63&lt;&gt;"Not Needed",Settings!$F$15="Yes"),", "&amp;J$1,"")&amp;IF(AND(K63&lt;&gt;"Accepted",K63&lt;&gt;"Not Needed",Settings!$G$15="Yes"),", "&amp;K$1,"")&amp;IF(AND(L63&lt;&gt;"Accepted",L63&lt;&gt;"Not Needed",Settings!$H$15="Yes"),", "&amp;L$1,"")&amp;IF(AND(M63&lt;&gt;"Accepted",M63&lt;&gt;"Not Needed",Settings!$I$15="Yes"),", "&amp;M$1,"")&amp;IF(AND(N63&lt;&gt;"Accepted",N63&lt;&gt;"Not Needed",Settings!$J$15="Yes"),", "&amp;N$1,""),3,400))))</f>
        <v/>
      </c>
    </row>
    <row r="64" ht="15" customHeight="1" s="21">
      <c r="A64" s="31" t="inlineStr">
        <is>
          <t>2026-27</t>
        </is>
      </c>
      <c r="B64" s="31" t="inlineStr">
        <is>
          <t>Cunningham ES</t>
        </is>
      </c>
      <c r="C64" s="31" t="inlineStr">
        <is>
          <t>EAS Elementary</t>
        </is>
      </c>
      <c r="D64" s="31" t="inlineStr">
        <is>
          <t>Not Yet Confirmed</t>
        </is>
      </c>
      <c r="E64" s="31" t="n"/>
      <c r="F64" s="31" t="n"/>
      <c r="G64" s="31" t="inlineStr">
        <is>
          <t>Not Received</t>
        </is>
      </c>
      <c r="H64" s="31" t="inlineStr">
        <is>
          <t>Not Received</t>
        </is>
      </c>
      <c r="I64" s="31" t="inlineStr">
        <is>
          <t>Not Received</t>
        </is>
      </c>
      <c r="J64" s="31" t="inlineStr">
        <is>
          <t>Not Received</t>
        </is>
      </c>
      <c r="K64" s="31" t="inlineStr">
        <is>
          <t>Not Received</t>
        </is>
      </c>
      <c r="L64" s="31" t="inlineStr">
        <is>
          <t>Not Received</t>
        </is>
      </c>
      <c r="M64" s="31" t="inlineStr">
        <is>
          <t>Not Received</t>
        </is>
      </c>
      <c r="N64" s="31" t="inlineStr">
        <is>
          <t>Not Received</t>
        </is>
      </c>
      <c r="O64" s="32">
        <f>IF($B64="","",COUNTIF(G64:N64,"Accepted")+COUNTIF(G64:N64,"Received")+COUNTIF(G64:N64,"Needs Correction"))</f>
        <v/>
      </c>
      <c r="P64" s="32">
        <f>IF($B64="","",SUMPRODUCT(((G64:N64="Accepted")+(G64:N64="Not Needed"))*(Settings!$C$11:$J$11="Yes")))</f>
        <v/>
      </c>
      <c r="Q64" s="32">
        <f>IF($B64="","",SUMPRODUCT(((G64:N64="Accepted")+(G64:N64="Not Needed"))*(Settings!$C$15:$J$15="Yes")))</f>
        <v/>
      </c>
      <c r="R64" s="33">
        <f>IF($B64="","",IF($D64="No","No PTO/PTA",IF($D64&lt;&gt;"Yes","Not Yet Confirmed",IF($Q64&gt;=Settings!$C$13,"Legalized",IF($P64&gt;=Settings!$C$12,"Registered",IF($O64&gt;0,"In Progress","Not Started"))))))</f>
        <v/>
      </c>
      <c r="S64" s="32">
        <f>IF($B64="","",COUNTIF(G64:N64,"Received"))</f>
        <v/>
      </c>
      <c r="T64" s="32">
        <f>IF($B64="","",COUNTIF(G64:N64,"Needs Correction"))</f>
        <v/>
      </c>
      <c r="U64" s="33">
        <f>IF($B64="","",IF($D64&lt;&gt;"Yes","",IF($Q64&gt;=Settings!$C$13,"None",MID(IF(AND(G64&lt;&gt;"Accepted",G64&lt;&gt;"Not Needed",Settings!$C$15="Yes"),", "&amp;G$1,"")&amp;IF(AND(H64&lt;&gt;"Accepted",H64&lt;&gt;"Not Needed",Settings!$D$15="Yes"),", "&amp;H$1,"")&amp;IF(AND(I64&lt;&gt;"Accepted",I64&lt;&gt;"Not Needed",Settings!$E$15="Yes"),", "&amp;I$1,"")&amp;IF(AND(J64&lt;&gt;"Accepted",J64&lt;&gt;"Not Needed",Settings!$F$15="Yes"),", "&amp;J$1,"")&amp;IF(AND(K64&lt;&gt;"Accepted",K64&lt;&gt;"Not Needed",Settings!$G$15="Yes"),", "&amp;K$1,"")&amp;IF(AND(L64&lt;&gt;"Accepted",L64&lt;&gt;"Not Needed",Settings!$H$15="Yes"),", "&amp;L$1,"")&amp;IF(AND(M64&lt;&gt;"Accepted",M64&lt;&gt;"Not Needed",Settings!$I$15="Yes"),", "&amp;M$1,"")&amp;IF(AND(N64&lt;&gt;"Accepted",N64&lt;&gt;"Not Needed",Settings!$J$15="Yes"),", "&amp;N$1,""),3,400))))</f>
        <v/>
      </c>
    </row>
    <row r="65" ht="15" customHeight="1" s="21">
      <c r="A65" s="31" t="inlineStr">
        <is>
          <t>2026-27</t>
        </is>
      </c>
      <c r="B65" s="31" t="inlineStr">
        <is>
          <t>Daily ES</t>
        </is>
      </c>
      <c r="C65" s="31" t="inlineStr">
        <is>
          <t>EAS Elementary</t>
        </is>
      </c>
      <c r="D65" s="31" t="inlineStr">
        <is>
          <t>Not Yet Confirmed</t>
        </is>
      </c>
      <c r="E65" s="31" t="n"/>
      <c r="F65" s="31" t="n"/>
      <c r="G65" s="31" t="inlineStr">
        <is>
          <t>Not Received</t>
        </is>
      </c>
      <c r="H65" s="31" t="inlineStr">
        <is>
          <t>Not Received</t>
        </is>
      </c>
      <c r="I65" s="31" t="inlineStr">
        <is>
          <t>Not Received</t>
        </is>
      </c>
      <c r="J65" s="31" t="inlineStr">
        <is>
          <t>Not Received</t>
        </is>
      </c>
      <c r="K65" s="31" t="inlineStr">
        <is>
          <t>Not Received</t>
        </is>
      </c>
      <c r="L65" s="31" t="inlineStr">
        <is>
          <t>Not Received</t>
        </is>
      </c>
      <c r="M65" s="31" t="inlineStr">
        <is>
          <t>Not Received</t>
        </is>
      </c>
      <c r="N65" s="31" t="inlineStr">
        <is>
          <t>Not Received</t>
        </is>
      </c>
      <c r="O65" s="32">
        <f>IF($B65="","",COUNTIF(G65:N65,"Accepted")+COUNTIF(G65:N65,"Received")+COUNTIF(G65:N65,"Needs Correction"))</f>
        <v/>
      </c>
      <c r="P65" s="32">
        <f>IF($B65="","",SUMPRODUCT(((G65:N65="Accepted")+(G65:N65="Not Needed"))*(Settings!$C$11:$J$11="Yes")))</f>
        <v/>
      </c>
      <c r="Q65" s="32">
        <f>IF($B65="","",SUMPRODUCT(((G65:N65="Accepted")+(G65:N65="Not Needed"))*(Settings!$C$15:$J$15="Yes")))</f>
        <v/>
      </c>
      <c r="R65" s="33">
        <f>IF($B65="","",IF($D65="No","No PTO/PTA",IF($D65&lt;&gt;"Yes","Not Yet Confirmed",IF($Q65&gt;=Settings!$C$13,"Legalized",IF($P65&gt;=Settings!$C$12,"Registered",IF($O65&gt;0,"In Progress","Not Started"))))))</f>
        <v/>
      </c>
      <c r="S65" s="32">
        <f>IF($B65="","",COUNTIF(G65:N65,"Received"))</f>
        <v/>
      </c>
      <c r="T65" s="32">
        <f>IF($B65="","",COUNTIF(G65:N65,"Needs Correction"))</f>
        <v/>
      </c>
      <c r="U65" s="33">
        <f>IF($B65="","",IF($D65&lt;&gt;"Yes","",IF($Q65&gt;=Settings!$C$13,"None",MID(IF(AND(G65&lt;&gt;"Accepted",G65&lt;&gt;"Not Needed",Settings!$C$15="Yes"),", "&amp;G$1,"")&amp;IF(AND(H65&lt;&gt;"Accepted",H65&lt;&gt;"Not Needed",Settings!$D$15="Yes"),", "&amp;H$1,"")&amp;IF(AND(I65&lt;&gt;"Accepted",I65&lt;&gt;"Not Needed",Settings!$E$15="Yes"),", "&amp;I$1,"")&amp;IF(AND(J65&lt;&gt;"Accepted",J65&lt;&gt;"Not Needed",Settings!$F$15="Yes"),", "&amp;J$1,"")&amp;IF(AND(K65&lt;&gt;"Accepted",K65&lt;&gt;"Not Needed",Settings!$G$15="Yes"),", "&amp;K$1,"")&amp;IF(AND(L65&lt;&gt;"Accepted",L65&lt;&gt;"Not Needed",Settings!$H$15="Yes"),", "&amp;L$1,"")&amp;IF(AND(M65&lt;&gt;"Accepted",M65&lt;&gt;"Not Needed",Settings!$I$15="Yes"),", "&amp;M$1,"")&amp;IF(AND(N65&lt;&gt;"Accepted",N65&lt;&gt;"Not Needed",Settings!$J$15="Yes"),", "&amp;N$1,""),3,400))))</f>
        <v/>
      </c>
    </row>
    <row r="66" ht="15" customHeight="1" s="21">
      <c r="A66" s="31" t="inlineStr">
        <is>
          <t>2026-27</t>
        </is>
      </c>
      <c r="B66" s="31" t="inlineStr">
        <is>
          <t>Davila ES</t>
        </is>
      </c>
      <c r="C66" s="31" t="inlineStr">
        <is>
          <t>EAS Elementary</t>
        </is>
      </c>
      <c r="D66" s="31" t="inlineStr">
        <is>
          <t>Not Yet Confirmed</t>
        </is>
      </c>
      <c r="E66" s="31" t="n"/>
      <c r="F66" s="31" t="n"/>
      <c r="G66" s="31" t="inlineStr">
        <is>
          <t>Not Received</t>
        </is>
      </c>
      <c r="H66" s="31" t="inlineStr">
        <is>
          <t>Not Received</t>
        </is>
      </c>
      <c r="I66" s="31" t="inlineStr">
        <is>
          <t>Not Received</t>
        </is>
      </c>
      <c r="J66" s="31" t="inlineStr">
        <is>
          <t>Not Received</t>
        </is>
      </c>
      <c r="K66" s="31" t="inlineStr">
        <is>
          <t>Not Received</t>
        </is>
      </c>
      <c r="L66" s="31" t="inlineStr">
        <is>
          <t>Not Received</t>
        </is>
      </c>
      <c r="M66" s="31" t="inlineStr">
        <is>
          <t>Not Received</t>
        </is>
      </c>
      <c r="N66" s="31" t="inlineStr">
        <is>
          <t>Not Received</t>
        </is>
      </c>
      <c r="O66" s="32">
        <f>IF($B66="","",COUNTIF(G66:N66,"Accepted")+COUNTIF(G66:N66,"Received")+COUNTIF(G66:N66,"Needs Correction"))</f>
        <v/>
      </c>
      <c r="P66" s="32">
        <f>IF($B66="","",SUMPRODUCT(((G66:N66="Accepted")+(G66:N66="Not Needed"))*(Settings!$C$11:$J$11="Yes")))</f>
        <v/>
      </c>
      <c r="Q66" s="32">
        <f>IF($B66="","",SUMPRODUCT(((G66:N66="Accepted")+(G66:N66="Not Needed"))*(Settings!$C$15:$J$15="Yes")))</f>
        <v/>
      </c>
      <c r="R66" s="33">
        <f>IF($B66="","",IF($D66="No","No PTO/PTA",IF($D66&lt;&gt;"Yes","Not Yet Confirmed",IF($Q66&gt;=Settings!$C$13,"Legalized",IF($P66&gt;=Settings!$C$12,"Registered",IF($O66&gt;0,"In Progress","Not Started"))))))</f>
        <v/>
      </c>
      <c r="S66" s="32">
        <f>IF($B66="","",COUNTIF(G66:N66,"Received"))</f>
        <v/>
      </c>
      <c r="T66" s="32">
        <f>IF($B66="","",COUNTIF(G66:N66,"Needs Correction"))</f>
        <v/>
      </c>
      <c r="U66" s="33">
        <f>IF($B66="","",IF($D66&lt;&gt;"Yes","",IF($Q66&gt;=Settings!$C$13,"None",MID(IF(AND(G66&lt;&gt;"Accepted",G66&lt;&gt;"Not Needed",Settings!$C$15="Yes"),", "&amp;G$1,"")&amp;IF(AND(H66&lt;&gt;"Accepted",H66&lt;&gt;"Not Needed",Settings!$D$15="Yes"),", "&amp;H$1,"")&amp;IF(AND(I66&lt;&gt;"Accepted",I66&lt;&gt;"Not Needed",Settings!$E$15="Yes"),", "&amp;I$1,"")&amp;IF(AND(J66&lt;&gt;"Accepted",J66&lt;&gt;"Not Needed",Settings!$F$15="Yes"),", "&amp;J$1,"")&amp;IF(AND(K66&lt;&gt;"Accepted",K66&lt;&gt;"Not Needed",Settings!$G$15="Yes"),", "&amp;K$1,"")&amp;IF(AND(L66&lt;&gt;"Accepted",L66&lt;&gt;"Not Needed",Settings!$H$15="Yes"),", "&amp;L$1,"")&amp;IF(AND(M66&lt;&gt;"Accepted",M66&lt;&gt;"Not Needed",Settings!$I$15="Yes"),", "&amp;M$1,"")&amp;IF(AND(N66&lt;&gt;"Accepted",N66&lt;&gt;"Not Needed",Settings!$J$15="Yes"),", "&amp;N$1,""),3,400))))</f>
        <v/>
      </c>
    </row>
    <row r="67" ht="15" customHeight="1" s="21">
      <c r="A67" s="31" t="inlineStr">
        <is>
          <t>2026-27</t>
        </is>
      </c>
      <c r="B67" s="31" t="inlineStr">
        <is>
          <t>De Chaumes ES</t>
        </is>
      </c>
      <c r="C67" s="31" t="inlineStr">
        <is>
          <t>EAS Elementary</t>
        </is>
      </c>
      <c r="D67" s="31" t="inlineStr">
        <is>
          <t>Not Yet Confirmed</t>
        </is>
      </c>
      <c r="E67" s="31" t="n"/>
      <c r="F67" s="31" t="n"/>
      <c r="G67" s="31" t="inlineStr">
        <is>
          <t>Not Received</t>
        </is>
      </c>
      <c r="H67" s="31" t="inlineStr">
        <is>
          <t>Not Received</t>
        </is>
      </c>
      <c r="I67" s="31" t="inlineStr">
        <is>
          <t>Not Received</t>
        </is>
      </c>
      <c r="J67" s="31" t="inlineStr">
        <is>
          <t>Not Received</t>
        </is>
      </c>
      <c r="K67" s="31" t="inlineStr">
        <is>
          <t>Not Received</t>
        </is>
      </c>
      <c r="L67" s="31" t="inlineStr">
        <is>
          <t>Not Received</t>
        </is>
      </c>
      <c r="M67" s="31" t="inlineStr">
        <is>
          <t>Not Received</t>
        </is>
      </c>
      <c r="N67" s="31" t="inlineStr">
        <is>
          <t>Not Received</t>
        </is>
      </c>
      <c r="O67" s="32">
        <f>IF($B67="","",COUNTIF(G67:N67,"Accepted")+COUNTIF(G67:N67,"Received")+COUNTIF(G67:N67,"Needs Correction"))</f>
        <v/>
      </c>
      <c r="P67" s="32">
        <f>IF($B67="","",SUMPRODUCT(((G67:N67="Accepted")+(G67:N67="Not Needed"))*(Settings!$C$11:$J$11="Yes")))</f>
        <v/>
      </c>
      <c r="Q67" s="32">
        <f>IF($B67="","",SUMPRODUCT(((G67:N67="Accepted")+(G67:N67="Not Needed"))*(Settings!$C$15:$J$15="Yes")))</f>
        <v/>
      </c>
      <c r="R67" s="33">
        <f>IF($B67="","",IF($D67="No","No PTO/PTA",IF($D67&lt;&gt;"Yes","Not Yet Confirmed",IF($Q67&gt;=Settings!$C$13,"Legalized",IF($P67&gt;=Settings!$C$12,"Registered",IF($O67&gt;0,"In Progress","Not Started"))))))</f>
        <v/>
      </c>
      <c r="S67" s="32">
        <f>IF($B67="","",COUNTIF(G67:N67,"Received"))</f>
        <v/>
      </c>
      <c r="T67" s="32">
        <f>IF($B67="","",COUNTIF(G67:N67,"Needs Correction"))</f>
        <v/>
      </c>
      <c r="U67" s="33">
        <f>IF($B67="","",IF($D67&lt;&gt;"Yes","",IF($Q67&gt;=Settings!$C$13,"None",MID(IF(AND(G67&lt;&gt;"Accepted",G67&lt;&gt;"Not Needed",Settings!$C$15="Yes"),", "&amp;G$1,"")&amp;IF(AND(H67&lt;&gt;"Accepted",H67&lt;&gt;"Not Needed",Settings!$D$15="Yes"),", "&amp;H$1,"")&amp;IF(AND(I67&lt;&gt;"Accepted",I67&lt;&gt;"Not Needed",Settings!$E$15="Yes"),", "&amp;I$1,"")&amp;IF(AND(J67&lt;&gt;"Accepted",J67&lt;&gt;"Not Needed",Settings!$F$15="Yes"),", "&amp;J$1,"")&amp;IF(AND(K67&lt;&gt;"Accepted",K67&lt;&gt;"Not Needed",Settings!$G$15="Yes"),", "&amp;K$1,"")&amp;IF(AND(L67&lt;&gt;"Accepted",L67&lt;&gt;"Not Needed",Settings!$H$15="Yes"),", "&amp;L$1,"")&amp;IF(AND(M67&lt;&gt;"Accepted",M67&lt;&gt;"Not Needed",Settings!$I$15="Yes"),", "&amp;M$1,"")&amp;IF(AND(N67&lt;&gt;"Accepted",N67&lt;&gt;"Not Needed",Settings!$J$15="Yes"),", "&amp;N$1,""),3,400))))</f>
        <v/>
      </c>
    </row>
    <row r="68" ht="15" customHeight="1" s="21">
      <c r="A68" s="31" t="inlineStr">
        <is>
          <t>2026-27</t>
        </is>
      </c>
      <c r="B68" s="31" t="inlineStr">
        <is>
          <t>DeAnda ES</t>
        </is>
      </c>
      <c r="C68" s="31" t="inlineStr">
        <is>
          <t>EAS Elementary</t>
        </is>
      </c>
      <c r="D68" s="31" t="inlineStr">
        <is>
          <t>Not Yet Confirmed</t>
        </is>
      </c>
      <c r="E68" s="31" t="n"/>
      <c r="F68" s="31" t="n"/>
      <c r="G68" s="31" t="inlineStr">
        <is>
          <t>Not Received</t>
        </is>
      </c>
      <c r="H68" s="31" t="inlineStr">
        <is>
          <t>Not Received</t>
        </is>
      </c>
      <c r="I68" s="31" t="inlineStr">
        <is>
          <t>Not Received</t>
        </is>
      </c>
      <c r="J68" s="31" t="inlineStr">
        <is>
          <t>Not Received</t>
        </is>
      </c>
      <c r="K68" s="31" t="inlineStr">
        <is>
          <t>Not Received</t>
        </is>
      </c>
      <c r="L68" s="31" t="inlineStr">
        <is>
          <t>Not Received</t>
        </is>
      </c>
      <c r="M68" s="31" t="inlineStr">
        <is>
          <t>Not Received</t>
        </is>
      </c>
      <c r="N68" s="31" t="inlineStr">
        <is>
          <t>Not Received</t>
        </is>
      </c>
      <c r="O68" s="32">
        <f>IF($B68="","",COUNTIF(G68:N68,"Accepted")+COUNTIF(G68:N68,"Received")+COUNTIF(G68:N68,"Needs Correction"))</f>
        <v/>
      </c>
      <c r="P68" s="32">
        <f>IF($B68="","",SUMPRODUCT(((G68:N68="Accepted")+(G68:N68="Not Needed"))*(Settings!$C$11:$J$11="Yes")))</f>
        <v/>
      </c>
      <c r="Q68" s="32">
        <f>IF($B68="","",SUMPRODUCT(((G68:N68="Accepted")+(G68:N68="Not Needed"))*(Settings!$C$15:$J$15="Yes")))</f>
        <v/>
      </c>
      <c r="R68" s="33">
        <f>IF($B68="","",IF($D68="No","No PTO/PTA",IF($D68&lt;&gt;"Yes","Not Yet Confirmed",IF($Q68&gt;=Settings!$C$13,"Legalized",IF($P68&gt;=Settings!$C$12,"Registered",IF($O68&gt;0,"In Progress","Not Started"))))))</f>
        <v/>
      </c>
      <c r="S68" s="32">
        <f>IF($B68="","",COUNTIF(G68:N68,"Received"))</f>
        <v/>
      </c>
      <c r="T68" s="32">
        <f>IF($B68="","",COUNTIF(G68:N68,"Needs Correction"))</f>
        <v/>
      </c>
      <c r="U68" s="33">
        <f>IF($B68="","",IF($D68&lt;&gt;"Yes","",IF($Q68&gt;=Settings!$C$13,"None",MID(IF(AND(G68&lt;&gt;"Accepted",G68&lt;&gt;"Not Needed",Settings!$C$15="Yes"),", "&amp;G$1,"")&amp;IF(AND(H68&lt;&gt;"Accepted",H68&lt;&gt;"Not Needed",Settings!$D$15="Yes"),", "&amp;H$1,"")&amp;IF(AND(I68&lt;&gt;"Accepted",I68&lt;&gt;"Not Needed",Settings!$E$15="Yes"),", "&amp;I$1,"")&amp;IF(AND(J68&lt;&gt;"Accepted",J68&lt;&gt;"Not Needed",Settings!$F$15="Yes"),", "&amp;J$1,"")&amp;IF(AND(K68&lt;&gt;"Accepted",K68&lt;&gt;"Not Needed",Settings!$G$15="Yes"),", "&amp;K$1,"")&amp;IF(AND(L68&lt;&gt;"Accepted",L68&lt;&gt;"Not Needed",Settings!$H$15="Yes"),", "&amp;L$1,"")&amp;IF(AND(M68&lt;&gt;"Accepted",M68&lt;&gt;"Not Needed",Settings!$I$15="Yes"),", "&amp;M$1,"")&amp;IF(AND(N68&lt;&gt;"Accepted",N68&lt;&gt;"Not Needed",Settings!$J$15="Yes"),", "&amp;N$1,""),3,400))))</f>
        <v/>
      </c>
    </row>
    <row r="69" ht="15" customHeight="1" s="21">
      <c r="A69" s="31" t="inlineStr">
        <is>
          <t>2026-27</t>
        </is>
      </c>
      <c r="B69" s="31" t="inlineStr">
        <is>
          <t>Durham ES</t>
        </is>
      </c>
      <c r="C69" s="31" t="inlineStr">
        <is>
          <t>EAS Elementary</t>
        </is>
      </c>
      <c r="D69" s="31" t="inlineStr">
        <is>
          <t>Yes</t>
        </is>
      </c>
      <c r="E69" s="31" t="inlineStr">
        <is>
          <t>PTA</t>
        </is>
      </c>
      <c r="F69" s="31" t="n"/>
      <c r="G69" s="31" t="inlineStr">
        <is>
          <t>Accepted</t>
        </is>
      </c>
      <c r="H69" s="31" t="inlineStr">
        <is>
          <t>Not Received</t>
        </is>
      </c>
      <c r="I69" s="31" t="inlineStr">
        <is>
          <t>Not Received</t>
        </is>
      </c>
      <c r="J69" s="31" t="inlineStr">
        <is>
          <t>Accepted</t>
        </is>
      </c>
      <c r="K69" s="31" t="inlineStr">
        <is>
          <t>Accepted</t>
        </is>
      </c>
      <c r="L69" s="31" t="inlineStr">
        <is>
          <t>Accepted</t>
        </is>
      </c>
      <c r="M69" s="31" t="inlineStr">
        <is>
          <t>Not Received</t>
        </is>
      </c>
      <c r="N69" s="31" t="inlineStr">
        <is>
          <t>Not Received</t>
        </is>
      </c>
      <c r="O69" s="32">
        <f>IF($B69="","",COUNTIF(G69:N69,"Accepted")+COUNTIF(G69:N69,"Received")+COUNTIF(G69:N69,"Needs Correction"))</f>
        <v/>
      </c>
      <c r="P69" s="32">
        <f>IF($B69="","",SUMPRODUCT(((G69:N69="Accepted")+(G69:N69="Not Needed"))*(Settings!$C$11:$J$11="Yes")))</f>
        <v/>
      </c>
      <c r="Q69" s="32">
        <f>IF($B69="","",SUMPRODUCT(((G69:N69="Accepted")+(G69:N69="Not Needed"))*(Settings!$C$15:$J$15="Yes")))</f>
        <v/>
      </c>
      <c r="R69" s="33">
        <f>IF($B69="","",IF($D69="No","No PTO/PTA",IF($D69&lt;&gt;"Yes","Not Yet Confirmed",IF($Q69&gt;=Settings!$C$13,"Legalized",IF($P69&gt;=Settings!$C$12,"Registered",IF($O69&gt;0,"In Progress","Not Started"))))))</f>
        <v/>
      </c>
      <c r="S69" s="32">
        <f>IF($B69="","",COUNTIF(G69:N69,"Received"))</f>
        <v/>
      </c>
      <c r="T69" s="32">
        <f>IF($B69="","",COUNTIF(G69:N69,"Needs Correction"))</f>
        <v/>
      </c>
      <c r="U69" s="33">
        <f>IF($B69="","",IF($D69&lt;&gt;"Yes","",IF($Q69&gt;=Settings!$C$13,"None",MID(IF(AND(G69&lt;&gt;"Accepted",G69&lt;&gt;"Not Needed",Settings!$C$15="Yes"),", "&amp;G$1,"")&amp;IF(AND(H69&lt;&gt;"Accepted",H69&lt;&gt;"Not Needed",Settings!$D$15="Yes"),", "&amp;H$1,"")&amp;IF(AND(I69&lt;&gt;"Accepted",I69&lt;&gt;"Not Needed",Settings!$E$15="Yes"),", "&amp;I$1,"")&amp;IF(AND(J69&lt;&gt;"Accepted",J69&lt;&gt;"Not Needed",Settings!$F$15="Yes"),", "&amp;J$1,"")&amp;IF(AND(K69&lt;&gt;"Accepted",K69&lt;&gt;"Not Needed",Settings!$G$15="Yes"),", "&amp;K$1,"")&amp;IF(AND(L69&lt;&gt;"Accepted",L69&lt;&gt;"Not Needed",Settings!$H$15="Yes"),", "&amp;L$1,"")&amp;IF(AND(M69&lt;&gt;"Accepted",M69&lt;&gt;"Not Needed",Settings!$I$15="Yes"),", "&amp;M$1,"")&amp;IF(AND(N69&lt;&gt;"Accepted",N69&lt;&gt;"Not Needed",Settings!$J$15="Yes"),", "&amp;N$1,""),3,400))))</f>
        <v/>
      </c>
    </row>
    <row r="70" ht="15" customHeight="1" s="21">
      <c r="A70" s="31" t="inlineStr">
        <is>
          <t>2026-27</t>
        </is>
      </c>
      <c r="B70" s="31" t="inlineStr">
        <is>
          <t>Elrod ES</t>
        </is>
      </c>
      <c r="C70" s="31" t="inlineStr">
        <is>
          <t>EAS Elementary</t>
        </is>
      </c>
      <c r="D70" s="31" t="inlineStr">
        <is>
          <t>Not Yet Confirmed</t>
        </is>
      </c>
      <c r="E70" s="31" t="n"/>
      <c r="F70" s="31" t="n"/>
      <c r="G70" s="31" t="inlineStr">
        <is>
          <t>Not Received</t>
        </is>
      </c>
      <c r="H70" s="31" t="inlineStr">
        <is>
          <t>Not Received</t>
        </is>
      </c>
      <c r="I70" s="31" t="inlineStr">
        <is>
          <t>Not Received</t>
        </is>
      </c>
      <c r="J70" s="31" t="inlineStr">
        <is>
          <t>Not Received</t>
        </is>
      </c>
      <c r="K70" s="31" t="inlineStr">
        <is>
          <t>Not Received</t>
        </is>
      </c>
      <c r="L70" s="31" t="inlineStr">
        <is>
          <t>Not Received</t>
        </is>
      </c>
      <c r="M70" s="31" t="inlineStr">
        <is>
          <t>Not Received</t>
        </is>
      </c>
      <c r="N70" s="31" t="inlineStr">
        <is>
          <t>Not Received</t>
        </is>
      </c>
      <c r="O70" s="32">
        <f>IF($B70="","",COUNTIF(G70:N70,"Accepted")+COUNTIF(G70:N70,"Received")+COUNTIF(G70:N70,"Needs Correction"))</f>
        <v/>
      </c>
      <c r="P70" s="32">
        <f>IF($B70="","",SUMPRODUCT(((G70:N70="Accepted")+(G70:N70="Not Needed"))*(Settings!$C$11:$J$11="Yes")))</f>
        <v/>
      </c>
      <c r="Q70" s="32">
        <f>IF($B70="","",SUMPRODUCT(((G70:N70="Accepted")+(G70:N70="Not Needed"))*(Settings!$C$15:$J$15="Yes")))</f>
        <v/>
      </c>
      <c r="R70" s="33">
        <f>IF($B70="","",IF($D70="No","No PTO/PTA",IF($D70&lt;&gt;"Yes","Not Yet Confirmed",IF($Q70&gt;=Settings!$C$13,"Legalized",IF($P70&gt;=Settings!$C$12,"Registered",IF($O70&gt;0,"In Progress","Not Started"))))))</f>
        <v/>
      </c>
      <c r="S70" s="32">
        <f>IF($B70="","",COUNTIF(G70:N70,"Received"))</f>
        <v/>
      </c>
      <c r="T70" s="32">
        <f>IF($B70="","",COUNTIF(G70:N70,"Needs Correction"))</f>
        <v/>
      </c>
      <c r="U70" s="33">
        <f>IF($B70="","",IF($D70&lt;&gt;"Yes","",IF($Q70&gt;=Settings!$C$13,"None",MID(IF(AND(G70&lt;&gt;"Accepted",G70&lt;&gt;"Not Needed",Settings!$C$15="Yes"),", "&amp;G$1,"")&amp;IF(AND(H70&lt;&gt;"Accepted",H70&lt;&gt;"Not Needed",Settings!$D$15="Yes"),", "&amp;H$1,"")&amp;IF(AND(I70&lt;&gt;"Accepted",I70&lt;&gt;"Not Needed",Settings!$E$15="Yes"),", "&amp;I$1,"")&amp;IF(AND(J70&lt;&gt;"Accepted",J70&lt;&gt;"Not Needed",Settings!$F$15="Yes"),", "&amp;J$1,"")&amp;IF(AND(K70&lt;&gt;"Accepted",K70&lt;&gt;"Not Needed",Settings!$G$15="Yes"),", "&amp;K$1,"")&amp;IF(AND(L70&lt;&gt;"Accepted",L70&lt;&gt;"Not Needed",Settings!$H$15="Yes"),", "&amp;L$1,"")&amp;IF(AND(M70&lt;&gt;"Accepted",M70&lt;&gt;"Not Needed",Settings!$I$15="Yes"),", "&amp;M$1,"")&amp;IF(AND(N70&lt;&gt;"Accepted",N70&lt;&gt;"Not Needed",Settings!$J$15="Yes"),", "&amp;N$1,""),3,400))))</f>
        <v/>
      </c>
    </row>
    <row r="71" ht="15" customHeight="1" s="21">
      <c r="A71" s="31" t="inlineStr">
        <is>
          <t>2026-27</t>
        </is>
      </c>
      <c r="B71" s="31" t="inlineStr">
        <is>
          <t>Emerson ES</t>
        </is>
      </c>
      <c r="C71" s="31" t="inlineStr">
        <is>
          <t>EAS Elementary</t>
        </is>
      </c>
      <c r="D71" s="31" t="inlineStr">
        <is>
          <t>Not Yet Confirmed</t>
        </is>
      </c>
      <c r="E71" s="31" t="n"/>
      <c r="F71" s="31" t="n"/>
      <c r="G71" s="31" t="inlineStr">
        <is>
          <t>Not Received</t>
        </is>
      </c>
      <c r="H71" s="31" t="inlineStr">
        <is>
          <t>Not Received</t>
        </is>
      </c>
      <c r="I71" s="31" t="inlineStr">
        <is>
          <t>Not Received</t>
        </is>
      </c>
      <c r="J71" s="31" t="inlineStr">
        <is>
          <t>Not Received</t>
        </is>
      </c>
      <c r="K71" s="31" t="inlineStr">
        <is>
          <t>Not Received</t>
        </is>
      </c>
      <c r="L71" s="31" t="inlineStr">
        <is>
          <t>Not Received</t>
        </is>
      </c>
      <c r="M71" s="31" t="inlineStr">
        <is>
          <t>Not Received</t>
        </is>
      </c>
      <c r="N71" s="31" t="inlineStr">
        <is>
          <t>Not Received</t>
        </is>
      </c>
      <c r="O71" s="32">
        <f>IF($B71="","",COUNTIF(G71:N71,"Accepted")+COUNTIF(G71:N71,"Received")+COUNTIF(G71:N71,"Needs Correction"))</f>
        <v/>
      </c>
      <c r="P71" s="32">
        <f>IF($B71="","",SUMPRODUCT(((G71:N71="Accepted")+(G71:N71="Not Needed"))*(Settings!$C$11:$J$11="Yes")))</f>
        <v/>
      </c>
      <c r="Q71" s="32">
        <f>IF($B71="","",SUMPRODUCT(((G71:N71="Accepted")+(G71:N71="Not Needed"))*(Settings!$C$15:$J$15="Yes")))</f>
        <v/>
      </c>
      <c r="R71" s="33">
        <f>IF($B71="","",IF($D71="No","No PTO/PTA",IF($D71&lt;&gt;"Yes","Not Yet Confirmed",IF($Q71&gt;=Settings!$C$13,"Legalized",IF($P71&gt;=Settings!$C$12,"Registered",IF($O71&gt;0,"In Progress","Not Started"))))))</f>
        <v/>
      </c>
      <c r="S71" s="32">
        <f>IF($B71="","",COUNTIF(G71:N71,"Received"))</f>
        <v/>
      </c>
      <c r="T71" s="32">
        <f>IF($B71="","",COUNTIF(G71:N71,"Needs Correction"))</f>
        <v/>
      </c>
      <c r="U71" s="33">
        <f>IF($B71="","",IF($D71&lt;&gt;"Yes","",IF($Q71&gt;=Settings!$C$13,"None",MID(IF(AND(G71&lt;&gt;"Accepted",G71&lt;&gt;"Not Needed",Settings!$C$15="Yes"),", "&amp;G$1,"")&amp;IF(AND(H71&lt;&gt;"Accepted",H71&lt;&gt;"Not Needed",Settings!$D$15="Yes"),", "&amp;H$1,"")&amp;IF(AND(I71&lt;&gt;"Accepted",I71&lt;&gt;"Not Needed",Settings!$E$15="Yes"),", "&amp;I$1,"")&amp;IF(AND(J71&lt;&gt;"Accepted",J71&lt;&gt;"Not Needed",Settings!$F$15="Yes"),", "&amp;J$1,"")&amp;IF(AND(K71&lt;&gt;"Accepted",K71&lt;&gt;"Not Needed",Settings!$G$15="Yes"),", "&amp;K$1,"")&amp;IF(AND(L71&lt;&gt;"Accepted",L71&lt;&gt;"Not Needed",Settings!$H$15="Yes"),", "&amp;L$1,"")&amp;IF(AND(M71&lt;&gt;"Accepted",M71&lt;&gt;"Not Needed",Settings!$I$15="Yes"),", "&amp;M$1,"")&amp;IF(AND(N71&lt;&gt;"Accepted",N71&lt;&gt;"Not Needed",Settings!$J$15="Yes"),", "&amp;N$1,""),3,400))))</f>
        <v/>
      </c>
    </row>
    <row r="72" ht="15" customHeight="1" s="21">
      <c r="A72" s="31" t="inlineStr">
        <is>
          <t>2026-27</t>
        </is>
      </c>
      <c r="B72" s="31" t="inlineStr">
        <is>
          <t>Farias ECC</t>
        </is>
      </c>
      <c r="C72" s="31" t="inlineStr">
        <is>
          <t>EAS Elementary</t>
        </is>
      </c>
      <c r="D72" s="31" t="inlineStr">
        <is>
          <t>Not Yet Confirmed</t>
        </is>
      </c>
      <c r="E72" s="31" t="n"/>
      <c r="F72" s="31" t="n"/>
      <c r="G72" s="31" t="inlineStr">
        <is>
          <t>Not Received</t>
        </is>
      </c>
      <c r="H72" s="31" t="inlineStr">
        <is>
          <t>Not Received</t>
        </is>
      </c>
      <c r="I72" s="31" t="inlineStr">
        <is>
          <t>Not Received</t>
        </is>
      </c>
      <c r="J72" s="31" t="inlineStr">
        <is>
          <t>Not Received</t>
        </is>
      </c>
      <c r="K72" s="31" t="inlineStr">
        <is>
          <t>Not Received</t>
        </is>
      </c>
      <c r="L72" s="31" t="inlineStr">
        <is>
          <t>Not Received</t>
        </is>
      </c>
      <c r="M72" s="31" t="inlineStr">
        <is>
          <t>Not Received</t>
        </is>
      </c>
      <c r="N72" s="31" t="inlineStr">
        <is>
          <t>Not Received</t>
        </is>
      </c>
      <c r="O72" s="32">
        <f>IF($B72="","",COUNTIF(G72:N72,"Accepted")+COUNTIF(G72:N72,"Received")+COUNTIF(G72:N72,"Needs Correction"))</f>
        <v/>
      </c>
      <c r="P72" s="32">
        <f>IF($B72="","",SUMPRODUCT(((G72:N72="Accepted")+(G72:N72="Not Needed"))*(Settings!$C$11:$J$11="Yes")))</f>
        <v/>
      </c>
      <c r="Q72" s="32">
        <f>IF($B72="","",SUMPRODUCT(((G72:N72="Accepted")+(G72:N72="Not Needed"))*(Settings!$C$15:$J$15="Yes")))</f>
        <v/>
      </c>
      <c r="R72" s="33">
        <f>IF($B72="","",IF($D72="No","No PTO/PTA",IF($D72&lt;&gt;"Yes","Not Yet Confirmed",IF($Q72&gt;=Settings!$C$13,"Legalized",IF($P72&gt;=Settings!$C$12,"Registered",IF($O72&gt;0,"In Progress","Not Started"))))))</f>
        <v/>
      </c>
      <c r="S72" s="32">
        <f>IF($B72="","",COUNTIF(G72:N72,"Received"))</f>
        <v/>
      </c>
      <c r="T72" s="32">
        <f>IF($B72="","",COUNTIF(G72:N72,"Needs Correction"))</f>
        <v/>
      </c>
      <c r="U72" s="33">
        <f>IF($B72="","",IF($D72&lt;&gt;"Yes","",IF($Q72&gt;=Settings!$C$13,"None",MID(IF(AND(G72&lt;&gt;"Accepted",G72&lt;&gt;"Not Needed",Settings!$C$15="Yes"),", "&amp;G$1,"")&amp;IF(AND(H72&lt;&gt;"Accepted",H72&lt;&gt;"Not Needed",Settings!$D$15="Yes"),", "&amp;H$1,"")&amp;IF(AND(I72&lt;&gt;"Accepted",I72&lt;&gt;"Not Needed",Settings!$E$15="Yes"),", "&amp;I$1,"")&amp;IF(AND(J72&lt;&gt;"Accepted",J72&lt;&gt;"Not Needed",Settings!$F$15="Yes"),", "&amp;J$1,"")&amp;IF(AND(K72&lt;&gt;"Accepted",K72&lt;&gt;"Not Needed",Settings!$G$15="Yes"),", "&amp;K$1,"")&amp;IF(AND(L72&lt;&gt;"Accepted",L72&lt;&gt;"Not Needed",Settings!$H$15="Yes"),", "&amp;L$1,"")&amp;IF(AND(M72&lt;&gt;"Accepted",M72&lt;&gt;"Not Needed",Settings!$I$15="Yes"),", "&amp;M$1,"")&amp;IF(AND(N72&lt;&gt;"Accepted",N72&lt;&gt;"Not Needed",Settings!$J$15="Yes"),", "&amp;N$1,""),3,400))))</f>
        <v/>
      </c>
    </row>
    <row r="73" ht="15" customHeight="1" s="21">
      <c r="A73" s="31" t="inlineStr">
        <is>
          <t>2026-27</t>
        </is>
      </c>
      <c r="B73" s="31" t="inlineStr">
        <is>
          <t>Field ES</t>
        </is>
      </c>
      <c r="C73" s="31" t="inlineStr">
        <is>
          <t>EAS Elementary</t>
        </is>
      </c>
      <c r="D73" s="31" t="inlineStr">
        <is>
          <t>Not Yet Confirmed</t>
        </is>
      </c>
      <c r="E73" s="31" t="n"/>
      <c r="F73" s="31" t="n"/>
      <c r="G73" s="31" t="inlineStr">
        <is>
          <t>Not Received</t>
        </is>
      </c>
      <c r="H73" s="31" t="inlineStr">
        <is>
          <t>Not Received</t>
        </is>
      </c>
      <c r="I73" s="31" t="inlineStr">
        <is>
          <t>Not Received</t>
        </is>
      </c>
      <c r="J73" s="31" t="inlineStr">
        <is>
          <t>Not Received</t>
        </is>
      </c>
      <c r="K73" s="31" t="inlineStr">
        <is>
          <t>Not Received</t>
        </is>
      </c>
      <c r="L73" s="31" t="inlineStr">
        <is>
          <t>Not Received</t>
        </is>
      </c>
      <c r="M73" s="31" t="inlineStr">
        <is>
          <t>Not Received</t>
        </is>
      </c>
      <c r="N73" s="31" t="inlineStr">
        <is>
          <t>Not Received</t>
        </is>
      </c>
      <c r="O73" s="32">
        <f>IF($B73="","",COUNTIF(G73:N73,"Accepted")+COUNTIF(G73:N73,"Received")+COUNTIF(G73:N73,"Needs Correction"))</f>
        <v/>
      </c>
      <c r="P73" s="32">
        <f>IF($B73="","",SUMPRODUCT(((G73:N73="Accepted")+(G73:N73="Not Needed"))*(Settings!$C$11:$J$11="Yes")))</f>
        <v/>
      </c>
      <c r="Q73" s="32">
        <f>IF($B73="","",SUMPRODUCT(((G73:N73="Accepted")+(G73:N73="Not Needed"))*(Settings!$C$15:$J$15="Yes")))</f>
        <v/>
      </c>
      <c r="R73" s="33">
        <f>IF($B73="","",IF($D73="No","No PTO/PTA",IF($D73&lt;&gt;"Yes","Not Yet Confirmed",IF($Q73&gt;=Settings!$C$13,"Legalized",IF($P73&gt;=Settings!$C$12,"Registered",IF($O73&gt;0,"In Progress","Not Started"))))))</f>
        <v/>
      </c>
      <c r="S73" s="32">
        <f>IF($B73="","",COUNTIF(G73:N73,"Received"))</f>
        <v/>
      </c>
      <c r="T73" s="32">
        <f>IF($B73="","",COUNTIF(G73:N73,"Needs Correction"))</f>
        <v/>
      </c>
      <c r="U73" s="33">
        <f>IF($B73="","",IF($D73&lt;&gt;"Yes","",IF($Q73&gt;=Settings!$C$13,"None",MID(IF(AND(G73&lt;&gt;"Accepted",G73&lt;&gt;"Not Needed",Settings!$C$15="Yes"),", "&amp;G$1,"")&amp;IF(AND(H73&lt;&gt;"Accepted",H73&lt;&gt;"Not Needed",Settings!$D$15="Yes"),", "&amp;H$1,"")&amp;IF(AND(I73&lt;&gt;"Accepted",I73&lt;&gt;"Not Needed",Settings!$E$15="Yes"),", "&amp;I$1,"")&amp;IF(AND(J73&lt;&gt;"Accepted",J73&lt;&gt;"Not Needed",Settings!$F$15="Yes"),", "&amp;J$1,"")&amp;IF(AND(K73&lt;&gt;"Accepted",K73&lt;&gt;"Not Needed",Settings!$G$15="Yes"),", "&amp;K$1,"")&amp;IF(AND(L73&lt;&gt;"Accepted",L73&lt;&gt;"Not Needed",Settings!$H$15="Yes"),", "&amp;L$1,"")&amp;IF(AND(M73&lt;&gt;"Accepted",M73&lt;&gt;"Not Needed",Settings!$I$15="Yes"),", "&amp;M$1,"")&amp;IF(AND(N73&lt;&gt;"Accepted",N73&lt;&gt;"Not Needed",Settings!$J$15="Yes"),", "&amp;N$1,""),3,400))))</f>
        <v/>
      </c>
    </row>
    <row r="74" ht="15" customHeight="1" s="21">
      <c r="A74" s="31" t="inlineStr">
        <is>
          <t>2026-27</t>
        </is>
      </c>
      <c r="B74" s="31" t="inlineStr">
        <is>
          <t>Fonwood ECC</t>
        </is>
      </c>
      <c r="C74" s="31" t="inlineStr">
        <is>
          <t>EAS Elementary</t>
        </is>
      </c>
      <c r="D74" s="31" t="inlineStr">
        <is>
          <t>Not Yet Confirmed</t>
        </is>
      </c>
      <c r="E74" s="31" t="n"/>
      <c r="F74" s="31" t="n"/>
      <c r="G74" s="31" t="inlineStr">
        <is>
          <t>Not Received</t>
        </is>
      </c>
      <c r="H74" s="31" t="inlineStr">
        <is>
          <t>Not Received</t>
        </is>
      </c>
      <c r="I74" s="31" t="inlineStr">
        <is>
          <t>Not Received</t>
        </is>
      </c>
      <c r="J74" s="31" t="inlineStr">
        <is>
          <t>Not Received</t>
        </is>
      </c>
      <c r="K74" s="31" t="inlineStr">
        <is>
          <t>Not Received</t>
        </is>
      </c>
      <c r="L74" s="31" t="inlineStr">
        <is>
          <t>Not Received</t>
        </is>
      </c>
      <c r="M74" s="31" t="inlineStr">
        <is>
          <t>Not Received</t>
        </is>
      </c>
      <c r="N74" s="31" t="inlineStr">
        <is>
          <t>Not Received</t>
        </is>
      </c>
      <c r="O74" s="32">
        <f>IF($B74="","",COUNTIF(G74:N74,"Accepted")+COUNTIF(G74:N74,"Received")+COUNTIF(G74:N74,"Needs Correction"))</f>
        <v/>
      </c>
      <c r="P74" s="32">
        <f>IF($B74="","",SUMPRODUCT(((G74:N74="Accepted")+(G74:N74="Not Needed"))*(Settings!$C$11:$J$11="Yes")))</f>
        <v/>
      </c>
      <c r="Q74" s="32">
        <f>IF($B74="","",SUMPRODUCT(((G74:N74="Accepted")+(G74:N74="Not Needed"))*(Settings!$C$15:$J$15="Yes")))</f>
        <v/>
      </c>
      <c r="R74" s="33">
        <f>IF($B74="","",IF($D74="No","No PTO/PTA",IF($D74&lt;&gt;"Yes","Not Yet Confirmed",IF($Q74&gt;=Settings!$C$13,"Legalized",IF($P74&gt;=Settings!$C$12,"Registered",IF($O74&gt;0,"In Progress","Not Started"))))))</f>
        <v/>
      </c>
      <c r="S74" s="32">
        <f>IF($B74="","",COUNTIF(G74:N74,"Received"))</f>
        <v/>
      </c>
      <c r="T74" s="32">
        <f>IF($B74="","",COUNTIF(G74:N74,"Needs Correction"))</f>
        <v/>
      </c>
      <c r="U74" s="33">
        <f>IF($B74="","",IF($D74&lt;&gt;"Yes","",IF($Q74&gt;=Settings!$C$13,"None",MID(IF(AND(G74&lt;&gt;"Accepted",G74&lt;&gt;"Not Needed",Settings!$C$15="Yes"),", "&amp;G$1,"")&amp;IF(AND(H74&lt;&gt;"Accepted",H74&lt;&gt;"Not Needed",Settings!$D$15="Yes"),", "&amp;H$1,"")&amp;IF(AND(I74&lt;&gt;"Accepted",I74&lt;&gt;"Not Needed",Settings!$E$15="Yes"),", "&amp;I$1,"")&amp;IF(AND(J74&lt;&gt;"Accepted",J74&lt;&gt;"Not Needed",Settings!$F$15="Yes"),", "&amp;J$1,"")&amp;IF(AND(K74&lt;&gt;"Accepted",K74&lt;&gt;"Not Needed",Settings!$G$15="Yes"),", "&amp;K$1,"")&amp;IF(AND(L74&lt;&gt;"Accepted",L74&lt;&gt;"Not Needed",Settings!$H$15="Yes"),", "&amp;L$1,"")&amp;IF(AND(M74&lt;&gt;"Accepted",M74&lt;&gt;"Not Needed",Settings!$I$15="Yes"),", "&amp;M$1,"")&amp;IF(AND(N74&lt;&gt;"Accepted",N74&lt;&gt;"Not Needed",Settings!$J$15="Yes"),", "&amp;N$1,""),3,400))))</f>
        <v/>
      </c>
    </row>
    <row r="75" ht="15" customHeight="1" s="21">
      <c r="A75" s="31" t="inlineStr">
        <is>
          <t>2026-27</t>
        </is>
      </c>
      <c r="B75" s="31" t="inlineStr">
        <is>
          <t>Garden Oaks</t>
        </is>
      </c>
      <c r="C75" s="31" t="inlineStr">
        <is>
          <t>EAS Elementary</t>
        </is>
      </c>
      <c r="D75" s="31" t="inlineStr">
        <is>
          <t>Not Yet Confirmed</t>
        </is>
      </c>
      <c r="E75" s="31" t="n"/>
      <c r="F75" s="31" t="n"/>
      <c r="G75" s="31" t="inlineStr">
        <is>
          <t>Not Received</t>
        </is>
      </c>
      <c r="H75" s="31" t="inlineStr">
        <is>
          <t>Not Received</t>
        </is>
      </c>
      <c r="I75" s="31" t="inlineStr">
        <is>
          <t>Not Received</t>
        </is>
      </c>
      <c r="J75" s="31" t="inlineStr">
        <is>
          <t>Not Received</t>
        </is>
      </c>
      <c r="K75" s="31" t="inlineStr">
        <is>
          <t>Not Received</t>
        </is>
      </c>
      <c r="L75" s="31" t="inlineStr">
        <is>
          <t>Not Received</t>
        </is>
      </c>
      <c r="M75" s="31" t="inlineStr">
        <is>
          <t>Not Received</t>
        </is>
      </c>
      <c r="N75" s="31" t="inlineStr">
        <is>
          <t>Not Received</t>
        </is>
      </c>
      <c r="O75" s="32">
        <f>IF($B75="","",COUNTIF(G75:N75,"Accepted")+COUNTIF(G75:N75,"Received")+COUNTIF(G75:N75,"Needs Correction"))</f>
        <v/>
      </c>
      <c r="P75" s="32">
        <f>IF($B75="","",SUMPRODUCT(((G75:N75="Accepted")+(G75:N75="Not Needed"))*(Settings!$C$11:$J$11="Yes")))</f>
        <v/>
      </c>
      <c r="Q75" s="32">
        <f>IF($B75="","",SUMPRODUCT(((G75:N75="Accepted")+(G75:N75="Not Needed"))*(Settings!$C$15:$J$15="Yes")))</f>
        <v/>
      </c>
      <c r="R75" s="33">
        <f>IF($B75="","",IF($D75="No","No PTO/PTA",IF($D75&lt;&gt;"Yes","Not Yet Confirmed",IF($Q75&gt;=Settings!$C$13,"Legalized",IF($P75&gt;=Settings!$C$12,"Registered",IF($O75&gt;0,"In Progress","Not Started"))))))</f>
        <v/>
      </c>
      <c r="S75" s="32">
        <f>IF($B75="","",COUNTIF(G75:N75,"Received"))</f>
        <v/>
      </c>
      <c r="T75" s="32">
        <f>IF($B75="","",COUNTIF(G75:N75,"Needs Correction"))</f>
        <v/>
      </c>
      <c r="U75" s="33">
        <f>IF($B75="","",IF($D75&lt;&gt;"Yes","",IF($Q75&gt;=Settings!$C$13,"None",MID(IF(AND(G75&lt;&gt;"Accepted",G75&lt;&gt;"Not Needed",Settings!$C$15="Yes"),", "&amp;G$1,"")&amp;IF(AND(H75&lt;&gt;"Accepted",H75&lt;&gt;"Not Needed",Settings!$D$15="Yes"),", "&amp;H$1,"")&amp;IF(AND(I75&lt;&gt;"Accepted",I75&lt;&gt;"Not Needed",Settings!$E$15="Yes"),", "&amp;I$1,"")&amp;IF(AND(J75&lt;&gt;"Accepted",J75&lt;&gt;"Not Needed",Settings!$F$15="Yes"),", "&amp;J$1,"")&amp;IF(AND(K75&lt;&gt;"Accepted",K75&lt;&gt;"Not Needed",Settings!$G$15="Yes"),", "&amp;K$1,"")&amp;IF(AND(L75&lt;&gt;"Accepted",L75&lt;&gt;"Not Needed",Settings!$H$15="Yes"),", "&amp;L$1,"")&amp;IF(AND(M75&lt;&gt;"Accepted",M75&lt;&gt;"Not Needed",Settings!$I$15="Yes"),", "&amp;M$1,"")&amp;IF(AND(N75&lt;&gt;"Accepted",N75&lt;&gt;"Not Needed",Settings!$J$15="Yes"),", "&amp;N$1,""),3,400))))</f>
        <v/>
      </c>
    </row>
    <row r="76" ht="15" customHeight="1" s="21">
      <c r="A76" s="31" t="inlineStr">
        <is>
          <t>2026-27</t>
        </is>
      </c>
      <c r="B76" s="31" t="inlineStr">
        <is>
          <t>Garden Villas ES</t>
        </is>
      </c>
      <c r="C76" s="31" t="inlineStr">
        <is>
          <t>EAS Elementary</t>
        </is>
      </c>
      <c r="D76" s="31" t="inlineStr">
        <is>
          <t>Not Yet Confirmed</t>
        </is>
      </c>
      <c r="E76" s="31" t="n"/>
      <c r="F76" s="31" t="n"/>
      <c r="G76" s="31" t="inlineStr">
        <is>
          <t>Not Received</t>
        </is>
      </c>
      <c r="H76" s="31" t="inlineStr">
        <is>
          <t>Not Received</t>
        </is>
      </c>
      <c r="I76" s="31" t="inlineStr">
        <is>
          <t>Not Received</t>
        </is>
      </c>
      <c r="J76" s="31" t="inlineStr">
        <is>
          <t>Not Received</t>
        </is>
      </c>
      <c r="K76" s="31" t="inlineStr">
        <is>
          <t>Not Received</t>
        </is>
      </c>
      <c r="L76" s="31" t="inlineStr">
        <is>
          <t>Not Received</t>
        </is>
      </c>
      <c r="M76" s="31" t="inlineStr">
        <is>
          <t>Not Received</t>
        </is>
      </c>
      <c r="N76" s="31" t="inlineStr">
        <is>
          <t>Not Received</t>
        </is>
      </c>
      <c r="O76" s="32">
        <f>IF($B76="","",COUNTIF(G76:N76,"Accepted")+COUNTIF(G76:N76,"Received")+COUNTIF(G76:N76,"Needs Correction"))</f>
        <v/>
      </c>
      <c r="P76" s="32">
        <f>IF($B76="","",SUMPRODUCT(((G76:N76="Accepted")+(G76:N76="Not Needed"))*(Settings!$C$11:$J$11="Yes")))</f>
        <v/>
      </c>
      <c r="Q76" s="32">
        <f>IF($B76="","",SUMPRODUCT(((G76:N76="Accepted")+(G76:N76="Not Needed"))*(Settings!$C$15:$J$15="Yes")))</f>
        <v/>
      </c>
      <c r="R76" s="33">
        <f>IF($B76="","",IF($D76="No","No PTO/PTA",IF($D76&lt;&gt;"Yes","Not Yet Confirmed",IF($Q76&gt;=Settings!$C$13,"Legalized",IF($P76&gt;=Settings!$C$12,"Registered",IF($O76&gt;0,"In Progress","Not Started"))))))</f>
        <v/>
      </c>
      <c r="S76" s="32">
        <f>IF($B76="","",COUNTIF(G76:N76,"Received"))</f>
        <v/>
      </c>
      <c r="T76" s="32">
        <f>IF($B76="","",COUNTIF(G76:N76,"Needs Correction"))</f>
        <v/>
      </c>
      <c r="U76" s="33">
        <f>IF($B76="","",IF($D76&lt;&gt;"Yes","",IF($Q76&gt;=Settings!$C$13,"None",MID(IF(AND(G76&lt;&gt;"Accepted",G76&lt;&gt;"Not Needed",Settings!$C$15="Yes"),", "&amp;G$1,"")&amp;IF(AND(H76&lt;&gt;"Accepted",H76&lt;&gt;"Not Needed",Settings!$D$15="Yes"),", "&amp;H$1,"")&amp;IF(AND(I76&lt;&gt;"Accepted",I76&lt;&gt;"Not Needed",Settings!$E$15="Yes"),", "&amp;I$1,"")&amp;IF(AND(J76&lt;&gt;"Accepted",J76&lt;&gt;"Not Needed",Settings!$F$15="Yes"),", "&amp;J$1,"")&amp;IF(AND(K76&lt;&gt;"Accepted",K76&lt;&gt;"Not Needed",Settings!$G$15="Yes"),", "&amp;K$1,"")&amp;IF(AND(L76&lt;&gt;"Accepted",L76&lt;&gt;"Not Needed",Settings!$H$15="Yes"),", "&amp;L$1,"")&amp;IF(AND(M76&lt;&gt;"Accepted",M76&lt;&gt;"Not Needed",Settings!$I$15="Yes"),", "&amp;M$1,"")&amp;IF(AND(N76&lt;&gt;"Accepted",N76&lt;&gt;"Not Needed",Settings!$J$15="Yes"),", "&amp;N$1,""),3,400))))</f>
        <v/>
      </c>
    </row>
    <row r="77" ht="15" customHeight="1" s="21">
      <c r="A77" s="31" t="inlineStr">
        <is>
          <t>2026-27</t>
        </is>
      </c>
      <c r="B77" s="31" t="inlineStr">
        <is>
          <t>Harvard ES</t>
        </is>
      </c>
      <c r="C77" s="31" t="inlineStr">
        <is>
          <t>EAS Elementary</t>
        </is>
      </c>
      <c r="D77" s="31" t="inlineStr">
        <is>
          <t>Yes</t>
        </is>
      </c>
      <c r="E77" s="31" t="inlineStr">
        <is>
          <t>PTA</t>
        </is>
      </c>
      <c r="F77" s="31" t="n"/>
      <c r="G77" s="31" t="inlineStr">
        <is>
          <t>Accepted</t>
        </is>
      </c>
      <c r="H77" s="31" t="inlineStr">
        <is>
          <t>Not Received</t>
        </is>
      </c>
      <c r="I77" s="31" t="inlineStr">
        <is>
          <t>Not Received</t>
        </is>
      </c>
      <c r="J77" s="31" t="inlineStr">
        <is>
          <t>Not Received</t>
        </is>
      </c>
      <c r="K77" s="31" t="inlineStr">
        <is>
          <t>Accepted</t>
        </is>
      </c>
      <c r="L77" s="31" t="inlineStr">
        <is>
          <t>Accepted</t>
        </is>
      </c>
      <c r="M77" s="31" t="inlineStr">
        <is>
          <t>Not Received</t>
        </is>
      </c>
      <c r="N77" s="31" t="inlineStr">
        <is>
          <t>Not Received</t>
        </is>
      </c>
      <c r="O77" s="32">
        <f>IF($B77="","",COUNTIF(G77:N77,"Accepted")+COUNTIF(G77:N77,"Received")+COUNTIF(G77:N77,"Needs Correction"))</f>
        <v/>
      </c>
      <c r="P77" s="32">
        <f>IF($B77="","",SUMPRODUCT(((G77:N77="Accepted")+(G77:N77="Not Needed"))*(Settings!$C$11:$J$11="Yes")))</f>
        <v/>
      </c>
      <c r="Q77" s="32">
        <f>IF($B77="","",SUMPRODUCT(((G77:N77="Accepted")+(G77:N77="Not Needed"))*(Settings!$C$15:$J$15="Yes")))</f>
        <v/>
      </c>
      <c r="R77" s="33">
        <f>IF($B77="","",IF($D77="No","No PTO/PTA",IF($D77&lt;&gt;"Yes","Not Yet Confirmed",IF($Q77&gt;=Settings!$C$13,"Legalized",IF($P77&gt;=Settings!$C$12,"Registered",IF($O77&gt;0,"In Progress","Not Started"))))))</f>
        <v/>
      </c>
      <c r="S77" s="32">
        <f>IF($B77="","",COUNTIF(G77:N77,"Received"))</f>
        <v/>
      </c>
      <c r="T77" s="32">
        <f>IF($B77="","",COUNTIF(G77:N77,"Needs Correction"))</f>
        <v/>
      </c>
      <c r="U77" s="33">
        <f>IF($B77="","",IF($D77&lt;&gt;"Yes","",IF($Q77&gt;=Settings!$C$13,"None",MID(IF(AND(G77&lt;&gt;"Accepted",G77&lt;&gt;"Not Needed",Settings!$C$15="Yes"),", "&amp;G$1,"")&amp;IF(AND(H77&lt;&gt;"Accepted",H77&lt;&gt;"Not Needed",Settings!$D$15="Yes"),", "&amp;H$1,"")&amp;IF(AND(I77&lt;&gt;"Accepted",I77&lt;&gt;"Not Needed",Settings!$E$15="Yes"),", "&amp;I$1,"")&amp;IF(AND(J77&lt;&gt;"Accepted",J77&lt;&gt;"Not Needed",Settings!$F$15="Yes"),", "&amp;J$1,"")&amp;IF(AND(K77&lt;&gt;"Accepted",K77&lt;&gt;"Not Needed",Settings!$G$15="Yes"),", "&amp;K$1,"")&amp;IF(AND(L77&lt;&gt;"Accepted",L77&lt;&gt;"Not Needed",Settings!$H$15="Yes"),", "&amp;L$1,"")&amp;IF(AND(M77&lt;&gt;"Accepted",M77&lt;&gt;"Not Needed",Settings!$I$15="Yes"),", "&amp;M$1,"")&amp;IF(AND(N77&lt;&gt;"Accepted",N77&lt;&gt;"Not Needed",Settings!$J$15="Yes"),", "&amp;N$1,""),3,400))))</f>
        <v/>
      </c>
    </row>
    <row r="78" ht="15" customHeight="1" s="21">
      <c r="A78" s="31" t="inlineStr">
        <is>
          <t>2026-27</t>
        </is>
      </c>
      <c r="B78" s="31" t="inlineStr">
        <is>
          <t>Helms ES</t>
        </is>
      </c>
      <c r="C78" s="31" t="inlineStr">
        <is>
          <t>EAS Elementary</t>
        </is>
      </c>
      <c r="D78" s="31" t="inlineStr">
        <is>
          <t>Yes</t>
        </is>
      </c>
      <c r="E78" s="31" t="inlineStr">
        <is>
          <t>PTA</t>
        </is>
      </c>
      <c r="F78" s="31" t="n"/>
      <c r="G78" s="31" t="inlineStr">
        <is>
          <t>Accepted</t>
        </is>
      </c>
      <c r="H78" s="31" t="inlineStr">
        <is>
          <t>Not Received</t>
        </is>
      </c>
      <c r="I78" s="31" t="inlineStr">
        <is>
          <t>Not Received</t>
        </is>
      </c>
      <c r="J78" s="31" t="inlineStr">
        <is>
          <t>Not Received</t>
        </is>
      </c>
      <c r="K78" s="31" t="inlineStr">
        <is>
          <t>Accepted</t>
        </is>
      </c>
      <c r="L78" s="31" t="inlineStr">
        <is>
          <t>Accepted</t>
        </is>
      </c>
      <c r="M78" s="31" t="inlineStr">
        <is>
          <t>Not Received</t>
        </is>
      </c>
      <c r="N78" s="31" t="inlineStr">
        <is>
          <t>Not Received</t>
        </is>
      </c>
      <c r="O78" s="32">
        <f>IF($B78="","",COUNTIF(G78:N78,"Accepted")+COUNTIF(G78:N78,"Received")+COUNTIF(G78:N78,"Needs Correction"))</f>
        <v/>
      </c>
      <c r="P78" s="32">
        <f>IF($B78="","",SUMPRODUCT(((G78:N78="Accepted")+(G78:N78="Not Needed"))*(Settings!$C$11:$J$11="Yes")))</f>
        <v/>
      </c>
      <c r="Q78" s="32">
        <f>IF($B78="","",SUMPRODUCT(((G78:N78="Accepted")+(G78:N78="Not Needed"))*(Settings!$C$15:$J$15="Yes")))</f>
        <v/>
      </c>
      <c r="R78" s="33">
        <f>IF($B78="","",IF($D78="No","No PTO/PTA",IF($D78&lt;&gt;"Yes","Not Yet Confirmed",IF($Q78&gt;=Settings!$C$13,"Legalized",IF($P78&gt;=Settings!$C$12,"Registered",IF($O78&gt;0,"In Progress","Not Started"))))))</f>
        <v/>
      </c>
      <c r="S78" s="32">
        <f>IF($B78="","",COUNTIF(G78:N78,"Received"))</f>
        <v/>
      </c>
      <c r="T78" s="32">
        <f>IF($B78="","",COUNTIF(G78:N78,"Needs Correction"))</f>
        <v/>
      </c>
      <c r="U78" s="33">
        <f>IF($B78="","",IF($D78&lt;&gt;"Yes","",IF($Q78&gt;=Settings!$C$13,"None",MID(IF(AND(G78&lt;&gt;"Accepted",G78&lt;&gt;"Not Needed",Settings!$C$15="Yes"),", "&amp;G$1,"")&amp;IF(AND(H78&lt;&gt;"Accepted",H78&lt;&gt;"Not Needed",Settings!$D$15="Yes"),", "&amp;H$1,"")&amp;IF(AND(I78&lt;&gt;"Accepted",I78&lt;&gt;"Not Needed",Settings!$E$15="Yes"),", "&amp;I$1,"")&amp;IF(AND(J78&lt;&gt;"Accepted",J78&lt;&gt;"Not Needed",Settings!$F$15="Yes"),", "&amp;J$1,"")&amp;IF(AND(K78&lt;&gt;"Accepted",K78&lt;&gt;"Not Needed",Settings!$G$15="Yes"),", "&amp;K$1,"")&amp;IF(AND(L78&lt;&gt;"Accepted",L78&lt;&gt;"Not Needed",Settings!$H$15="Yes"),", "&amp;L$1,"")&amp;IF(AND(M78&lt;&gt;"Accepted",M78&lt;&gt;"Not Needed",Settings!$I$15="Yes"),", "&amp;M$1,"")&amp;IF(AND(N78&lt;&gt;"Accepted",N78&lt;&gt;"Not Needed",Settings!$J$15="Yes"),", "&amp;N$1,""),3,400))))</f>
        <v/>
      </c>
    </row>
    <row r="79" ht="15" customHeight="1" s="21">
      <c r="A79" s="31" t="inlineStr">
        <is>
          <t>2026-27</t>
        </is>
      </c>
      <c r="B79" s="31" t="inlineStr">
        <is>
          <t>Henderson JP ES</t>
        </is>
      </c>
      <c r="C79" s="31" t="inlineStr">
        <is>
          <t>EAS Elementary</t>
        </is>
      </c>
      <c r="D79" s="31" t="inlineStr">
        <is>
          <t>Not Yet Confirmed</t>
        </is>
      </c>
      <c r="E79" s="31" t="n"/>
      <c r="F79" s="31" t="n"/>
      <c r="G79" s="31" t="inlineStr">
        <is>
          <t>Not Received</t>
        </is>
      </c>
      <c r="H79" s="31" t="inlineStr">
        <is>
          <t>Not Received</t>
        </is>
      </c>
      <c r="I79" s="31" t="inlineStr">
        <is>
          <t>Not Received</t>
        </is>
      </c>
      <c r="J79" s="31" t="inlineStr">
        <is>
          <t>Not Received</t>
        </is>
      </c>
      <c r="K79" s="31" t="inlineStr">
        <is>
          <t>Not Received</t>
        </is>
      </c>
      <c r="L79" s="31" t="inlineStr">
        <is>
          <t>Not Received</t>
        </is>
      </c>
      <c r="M79" s="31" t="inlineStr">
        <is>
          <t>Not Received</t>
        </is>
      </c>
      <c r="N79" s="31" t="inlineStr">
        <is>
          <t>Not Received</t>
        </is>
      </c>
      <c r="O79" s="32">
        <f>IF($B79="","",COUNTIF(G79:N79,"Accepted")+COUNTIF(G79:N79,"Received")+COUNTIF(G79:N79,"Needs Correction"))</f>
        <v/>
      </c>
      <c r="P79" s="32">
        <f>IF($B79="","",SUMPRODUCT(((G79:N79="Accepted")+(G79:N79="Not Needed"))*(Settings!$C$11:$J$11="Yes")))</f>
        <v/>
      </c>
      <c r="Q79" s="32">
        <f>IF($B79="","",SUMPRODUCT(((G79:N79="Accepted")+(G79:N79="Not Needed"))*(Settings!$C$15:$J$15="Yes")))</f>
        <v/>
      </c>
      <c r="R79" s="33">
        <f>IF($B79="","",IF($D79="No","No PTO/PTA",IF($D79&lt;&gt;"Yes","Not Yet Confirmed",IF($Q79&gt;=Settings!$C$13,"Legalized",IF($P79&gt;=Settings!$C$12,"Registered",IF($O79&gt;0,"In Progress","Not Started"))))))</f>
        <v/>
      </c>
      <c r="S79" s="32">
        <f>IF($B79="","",COUNTIF(G79:N79,"Received"))</f>
        <v/>
      </c>
      <c r="T79" s="32">
        <f>IF($B79="","",COUNTIF(G79:N79,"Needs Correction"))</f>
        <v/>
      </c>
      <c r="U79" s="33">
        <f>IF($B79="","",IF($D79&lt;&gt;"Yes","",IF($Q79&gt;=Settings!$C$13,"None",MID(IF(AND(G79&lt;&gt;"Accepted",G79&lt;&gt;"Not Needed",Settings!$C$15="Yes"),", "&amp;G$1,"")&amp;IF(AND(H79&lt;&gt;"Accepted",H79&lt;&gt;"Not Needed",Settings!$D$15="Yes"),", "&amp;H$1,"")&amp;IF(AND(I79&lt;&gt;"Accepted",I79&lt;&gt;"Not Needed",Settings!$E$15="Yes"),", "&amp;I$1,"")&amp;IF(AND(J79&lt;&gt;"Accepted",J79&lt;&gt;"Not Needed",Settings!$F$15="Yes"),", "&amp;J$1,"")&amp;IF(AND(K79&lt;&gt;"Accepted",K79&lt;&gt;"Not Needed",Settings!$G$15="Yes"),", "&amp;K$1,"")&amp;IF(AND(L79&lt;&gt;"Accepted",L79&lt;&gt;"Not Needed",Settings!$H$15="Yes"),", "&amp;L$1,"")&amp;IF(AND(M79&lt;&gt;"Accepted",M79&lt;&gt;"Not Needed",Settings!$I$15="Yes"),", "&amp;M$1,"")&amp;IF(AND(N79&lt;&gt;"Accepted",N79&lt;&gt;"Not Needed",Settings!$J$15="Yes"),", "&amp;N$1,""),3,400))))</f>
        <v/>
      </c>
    </row>
    <row r="80" ht="15" customHeight="1" s="21">
      <c r="A80" s="31" t="inlineStr">
        <is>
          <t>2026-27</t>
        </is>
      </c>
      <c r="B80" s="31" t="inlineStr">
        <is>
          <t>Herod ES</t>
        </is>
      </c>
      <c r="C80" s="31" t="inlineStr">
        <is>
          <t>EAS Elementary</t>
        </is>
      </c>
      <c r="D80" s="31" t="inlineStr">
        <is>
          <t>Not Yet Confirmed</t>
        </is>
      </c>
      <c r="E80" s="31" t="n"/>
      <c r="F80" s="31" t="n"/>
      <c r="G80" s="31" t="inlineStr">
        <is>
          <t>Not Received</t>
        </is>
      </c>
      <c r="H80" s="31" t="inlineStr">
        <is>
          <t>Not Received</t>
        </is>
      </c>
      <c r="I80" s="31" t="inlineStr">
        <is>
          <t>Not Received</t>
        </is>
      </c>
      <c r="J80" s="31" t="inlineStr">
        <is>
          <t>Not Received</t>
        </is>
      </c>
      <c r="K80" s="31" t="inlineStr">
        <is>
          <t>Not Received</t>
        </is>
      </c>
      <c r="L80" s="31" t="inlineStr">
        <is>
          <t>Not Received</t>
        </is>
      </c>
      <c r="M80" s="31" t="inlineStr">
        <is>
          <t>Not Received</t>
        </is>
      </c>
      <c r="N80" s="31" t="inlineStr">
        <is>
          <t>Not Received</t>
        </is>
      </c>
      <c r="O80" s="32">
        <f>IF($B80="","",COUNTIF(G80:N80,"Accepted")+COUNTIF(G80:N80,"Received")+COUNTIF(G80:N80,"Needs Correction"))</f>
        <v/>
      </c>
      <c r="P80" s="32">
        <f>IF($B80="","",SUMPRODUCT(((G80:N80="Accepted")+(G80:N80="Not Needed"))*(Settings!$C$11:$J$11="Yes")))</f>
        <v/>
      </c>
      <c r="Q80" s="32">
        <f>IF($B80="","",SUMPRODUCT(((G80:N80="Accepted")+(G80:N80="Not Needed"))*(Settings!$C$15:$J$15="Yes")))</f>
        <v/>
      </c>
      <c r="R80" s="33">
        <f>IF($B80="","",IF($D80="No","No PTO/PTA",IF($D80&lt;&gt;"Yes","Not Yet Confirmed",IF($Q80&gt;=Settings!$C$13,"Legalized",IF($P80&gt;=Settings!$C$12,"Registered",IF($O80&gt;0,"In Progress","Not Started"))))))</f>
        <v/>
      </c>
      <c r="S80" s="32">
        <f>IF($B80="","",COUNTIF(G80:N80,"Received"))</f>
        <v/>
      </c>
      <c r="T80" s="32">
        <f>IF($B80="","",COUNTIF(G80:N80,"Needs Correction"))</f>
        <v/>
      </c>
      <c r="U80" s="33">
        <f>IF($B80="","",IF($D80&lt;&gt;"Yes","",IF($Q80&gt;=Settings!$C$13,"None",MID(IF(AND(G80&lt;&gt;"Accepted",G80&lt;&gt;"Not Needed",Settings!$C$15="Yes"),", "&amp;G$1,"")&amp;IF(AND(H80&lt;&gt;"Accepted",H80&lt;&gt;"Not Needed",Settings!$D$15="Yes"),", "&amp;H$1,"")&amp;IF(AND(I80&lt;&gt;"Accepted",I80&lt;&gt;"Not Needed",Settings!$E$15="Yes"),", "&amp;I$1,"")&amp;IF(AND(J80&lt;&gt;"Accepted",J80&lt;&gt;"Not Needed",Settings!$F$15="Yes"),", "&amp;J$1,"")&amp;IF(AND(K80&lt;&gt;"Accepted",K80&lt;&gt;"Not Needed",Settings!$G$15="Yes"),", "&amp;K$1,"")&amp;IF(AND(L80&lt;&gt;"Accepted",L80&lt;&gt;"Not Needed",Settings!$H$15="Yes"),", "&amp;L$1,"")&amp;IF(AND(M80&lt;&gt;"Accepted",M80&lt;&gt;"Not Needed",Settings!$I$15="Yes"),", "&amp;M$1,"")&amp;IF(AND(N80&lt;&gt;"Accepted",N80&lt;&gt;"Not Needed",Settings!$J$15="Yes"),", "&amp;N$1,""),3,400))))</f>
        <v/>
      </c>
    </row>
    <row r="81" ht="15" customHeight="1" s="21">
      <c r="A81" s="31" t="inlineStr">
        <is>
          <t>2026-27</t>
        </is>
      </c>
      <c r="B81" s="31" t="inlineStr">
        <is>
          <t>Herrera ES</t>
        </is>
      </c>
      <c r="C81" s="31" t="inlineStr">
        <is>
          <t>EAS Elementary</t>
        </is>
      </c>
      <c r="D81" s="31" t="inlineStr">
        <is>
          <t>Not Yet Confirmed</t>
        </is>
      </c>
      <c r="E81" s="31" t="n"/>
      <c r="F81" s="31" t="n"/>
      <c r="G81" s="31" t="inlineStr">
        <is>
          <t>Not Received</t>
        </is>
      </c>
      <c r="H81" s="31" t="inlineStr">
        <is>
          <t>Not Received</t>
        </is>
      </c>
      <c r="I81" s="31" t="inlineStr">
        <is>
          <t>Not Received</t>
        </is>
      </c>
      <c r="J81" s="31" t="inlineStr">
        <is>
          <t>Not Received</t>
        </is>
      </c>
      <c r="K81" s="31" t="inlineStr">
        <is>
          <t>Not Received</t>
        </is>
      </c>
      <c r="L81" s="31" t="inlineStr">
        <is>
          <t>Not Received</t>
        </is>
      </c>
      <c r="M81" s="31" t="inlineStr">
        <is>
          <t>Not Received</t>
        </is>
      </c>
      <c r="N81" s="31" t="inlineStr">
        <is>
          <t>Not Received</t>
        </is>
      </c>
      <c r="O81" s="32">
        <f>IF($B81="","",COUNTIF(G81:N81,"Accepted")+COUNTIF(G81:N81,"Received")+COUNTIF(G81:N81,"Needs Correction"))</f>
        <v/>
      </c>
      <c r="P81" s="32">
        <f>IF($B81="","",SUMPRODUCT(((G81:N81="Accepted")+(G81:N81="Not Needed"))*(Settings!$C$11:$J$11="Yes")))</f>
        <v/>
      </c>
      <c r="Q81" s="32">
        <f>IF($B81="","",SUMPRODUCT(((G81:N81="Accepted")+(G81:N81="Not Needed"))*(Settings!$C$15:$J$15="Yes")))</f>
        <v/>
      </c>
      <c r="R81" s="33">
        <f>IF($B81="","",IF($D81="No","No PTO/PTA",IF($D81&lt;&gt;"Yes","Not Yet Confirmed",IF($Q81&gt;=Settings!$C$13,"Legalized",IF($P81&gt;=Settings!$C$12,"Registered",IF($O81&gt;0,"In Progress","Not Started"))))))</f>
        <v/>
      </c>
      <c r="S81" s="32">
        <f>IF($B81="","",COUNTIF(G81:N81,"Received"))</f>
        <v/>
      </c>
      <c r="T81" s="32">
        <f>IF($B81="","",COUNTIF(G81:N81,"Needs Correction"))</f>
        <v/>
      </c>
      <c r="U81" s="33">
        <f>IF($B81="","",IF($D81&lt;&gt;"Yes","",IF($Q81&gt;=Settings!$C$13,"None",MID(IF(AND(G81&lt;&gt;"Accepted",G81&lt;&gt;"Not Needed",Settings!$C$15="Yes"),", "&amp;G$1,"")&amp;IF(AND(H81&lt;&gt;"Accepted",H81&lt;&gt;"Not Needed",Settings!$D$15="Yes"),", "&amp;H$1,"")&amp;IF(AND(I81&lt;&gt;"Accepted",I81&lt;&gt;"Not Needed",Settings!$E$15="Yes"),", "&amp;I$1,"")&amp;IF(AND(J81&lt;&gt;"Accepted",J81&lt;&gt;"Not Needed",Settings!$F$15="Yes"),", "&amp;J$1,"")&amp;IF(AND(K81&lt;&gt;"Accepted",K81&lt;&gt;"Not Needed",Settings!$G$15="Yes"),", "&amp;K$1,"")&amp;IF(AND(L81&lt;&gt;"Accepted",L81&lt;&gt;"Not Needed",Settings!$H$15="Yes"),", "&amp;L$1,"")&amp;IF(AND(M81&lt;&gt;"Accepted",M81&lt;&gt;"Not Needed",Settings!$I$15="Yes"),", "&amp;M$1,"")&amp;IF(AND(N81&lt;&gt;"Accepted",N81&lt;&gt;"Not Needed",Settings!$J$15="Yes"),", "&amp;N$1,""),3,400))))</f>
        <v/>
      </c>
    </row>
    <row r="82" ht="15" customHeight="1" s="21">
      <c r="A82" s="31" t="inlineStr">
        <is>
          <t>2026-27</t>
        </is>
      </c>
      <c r="B82" s="31" t="inlineStr">
        <is>
          <t>Hines-Caldwell ES</t>
        </is>
      </c>
      <c r="C82" s="31" t="inlineStr">
        <is>
          <t>EAS Elementary</t>
        </is>
      </c>
      <c r="D82" s="31" t="inlineStr">
        <is>
          <t>Not Yet Confirmed</t>
        </is>
      </c>
      <c r="E82" s="31" t="n"/>
      <c r="F82" s="31" t="n"/>
      <c r="G82" s="31" t="inlineStr">
        <is>
          <t>Not Received</t>
        </is>
      </c>
      <c r="H82" s="31" t="inlineStr">
        <is>
          <t>Not Received</t>
        </is>
      </c>
      <c r="I82" s="31" t="inlineStr">
        <is>
          <t>Not Received</t>
        </is>
      </c>
      <c r="J82" s="31" t="inlineStr">
        <is>
          <t>Not Received</t>
        </is>
      </c>
      <c r="K82" s="31" t="inlineStr">
        <is>
          <t>Not Received</t>
        </is>
      </c>
      <c r="L82" s="31" t="inlineStr">
        <is>
          <t>Not Received</t>
        </is>
      </c>
      <c r="M82" s="31" t="inlineStr">
        <is>
          <t>Not Received</t>
        </is>
      </c>
      <c r="N82" s="31" t="inlineStr">
        <is>
          <t>Not Received</t>
        </is>
      </c>
      <c r="O82" s="32">
        <f>IF($B82="","",COUNTIF(G82:N82,"Accepted")+COUNTIF(G82:N82,"Received")+COUNTIF(G82:N82,"Needs Correction"))</f>
        <v/>
      </c>
      <c r="P82" s="32">
        <f>IF($B82="","",SUMPRODUCT(((G82:N82="Accepted")+(G82:N82="Not Needed"))*(Settings!$C$11:$J$11="Yes")))</f>
        <v/>
      </c>
      <c r="Q82" s="32">
        <f>IF($B82="","",SUMPRODUCT(((G82:N82="Accepted")+(G82:N82="Not Needed"))*(Settings!$C$15:$J$15="Yes")))</f>
        <v/>
      </c>
      <c r="R82" s="33">
        <f>IF($B82="","",IF($D82="No","No PTO/PTA",IF($D82&lt;&gt;"Yes","Not Yet Confirmed",IF($Q82&gt;=Settings!$C$13,"Legalized",IF($P82&gt;=Settings!$C$12,"Registered",IF($O82&gt;0,"In Progress","Not Started"))))))</f>
        <v/>
      </c>
      <c r="S82" s="32">
        <f>IF($B82="","",COUNTIF(G82:N82,"Received"))</f>
        <v/>
      </c>
      <c r="T82" s="32">
        <f>IF($B82="","",COUNTIF(G82:N82,"Needs Correction"))</f>
        <v/>
      </c>
      <c r="U82" s="33">
        <f>IF($B82="","",IF($D82&lt;&gt;"Yes","",IF($Q82&gt;=Settings!$C$13,"None",MID(IF(AND(G82&lt;&gt;"Accepted",G82&lt;&gt;"Not Needed",Settings!$C$15="Yes"),", "&amp;G$1,"")&amp;IF(AND(H82&lt;&gt;"Accepted",H82&lt;&gt;"Not Needed",Settings!$D$15="Yes"),", "&amp;H$1,"")&amp;IF(AND(I82&lt;&gt;"Accepted",I82&lt;&gt;"Not Needed",Settings!$E$15="Yes"),", "&amp;I$1,"")&amp;IF(AND(J82&lt;&gt;"Accepted",J82&lt;&gt;"Not Needed",Settings!$F$15="Yes"),", "&amp;J$1,"")&amp;IF(AND(K82&lt;&gt;"Accepted",K82&lt;&gt;"Not Needed",Settings!$G$15="Yes"),", "&amp;K$1,"")&amp;IF(AND(L82&lt;&gt;"Accepted",L82&lt;&gt;"Not Needed",Settings!$H$15="Yes"),", "&amp;L$1,"")&amp;IF(AND(M82&lt;&gt;"Accepted",M82&lt;&gt;"Not Needed",Settings!$I$15="Yes"),", "&amp;M$1,"")&amp;IF(AND(N82&lt;&gt;"Accepted",N82&lt;&gt;"Not Needed",Settings!$J$15="Yes"),", "&amp;N$1,""),3,400))))</f>
        <v/>
      </c>
    </row>
    <row r="83" ht="15" customHeight="1" s="21">
      <c r="A83" s="31" t="inlineStr">
        <is>
          <t>2026-27</t>
        </is>
      </c>
      <c r="B83" s="31" t="inlineStr">
        <is>
          <t>Horn ES</t>
        </is>
      </c>
      <c r="C83" s="31" t="inlineStr">
        <is>
          <t>EAS Elementary</t>
        </is>
      </c>
      <c r="D83" s="31" t="inlineStr">
        <is>
          <t>Not Yet Confirmed</t>
        </is>
      </c>
      <c r="E83" s="31" t="n"/>
      <c r="F83" s="31" t="n"/>
      <c r="G83" s="31" t="inlineStr">
        <is>
          <t>Not Received</t>
        </is>
      </c>
      <c r="H83" s="31" t="inlineStr">
        <is>
          <t>Not Received</t>
        </is>
      </c>
      <c r="I83" s="31" t="inlineStr">
        <is>
          <t>Not Received</t>
        </is>
      </c>
      <c r="J83" s="31" t="inlineStr">
        <is>
          <t>Not Received</t>
        </is>
      </c>
      <c r="K83" s="31" t="inlineStr">
        <is>
          <t>Not Received</t>
        </is>
      </c>
      <c r="L83" s="31" t="inlineStr">
        <is>
          <t>Not Received</t>
        </is>
      </c>
      <c r="M83" s="31" t="inlineStr">
        <is>
          <t>Not Received</t>
        </is>
      </c>
      <c r="N83" s="31" t="inlineStr">
        <is>
          <t>Not Received</t>
        </is>
      </c>
      <c r="O83" s="32">
        <f>IF($B83="","",COUNTIF(G83:N83,"Accepted")+COUNTIF(G83:N83,"Received")+COUNTIF(G83:N83,"Needs Correction"))</f>
        <v/>
      </c>
      <c r="P83" s="32">
        <f>IF($B83="","",SUMPRODUCT(((G83:N83="Accepted")+(G83:N83="Not Needed"))*(Settings!$C$11:$J$11="Yes")))</f>
        <v/>
      </c>
      <c r="Q83" s="32">
        <f>IF($B83="","",SUMPRODUCT(((G83:N83="Accepted")+(G83:N83="Not Needed"))*(Settings!$C$15:$J$15="Yes")))</f>
        <v/>
      </c>
      <c r="R83" s="33">
        <f>IF($B83="","",IF($D83="No","No PTO/PTA",IF($D83&lt;&gt;"Yes","Not Yet Confirmed",IF($Q83&gt;=Settings!$C$13,"Legalized",IF($P83&gt;=Settings!$C$12,"Registered",IF($O83&gt;0,"In Progress","Not Started"))))))</f>
        <v/>
      </c>
      <c r="S83" s="32">
        <f>IF($B83="","",COUNTIF(G83:N83,"Received"))</f>
        <v/>
      </c>
      <c r="T83" s="32">
        <f>IF($B83="","",COUNTIF(G83:N83,"Needs Correction"))</f>
        <v/>
      </c>
      <c r="U83" s="33">
        <f>IF($B83="","",IF($D83&lt;&gt;"Yes","",IF($Q83&gt;=Settings!$C$13,"None",MID(IF(AND(G83&lt;&gt;"Accepted",G83&lt;&gt;"Not Needed",Settings!$C$15="Yes"),", "&amp;G$1,"")&amp;IF(AND(H83&lt;&gt;"Accepted",H83&lt;&gt;"Not Needed",Settings!$D$15="Yes"),", "&amp;H$1,"")&amp;IF(AND(I83&lt;&gt;"Accepted",I83&lt;&gt;"Not Needed",Settings!$E$15="Yes"),", "&amp;I$1,"")&amp;IF(AND(J83&lt;&gt;"Accepted",J83&lt;&gt;"Not Needed",Settings!$F$15="Yes"),", "&amp;J$1,"")&amp;IF(AND(K83&lt;&gt;"Accepted",K83&lt;&gt;"Not Needed",Settings!$G$15="Yes"),", "&amp;K$1,"")&amp;IF(AND(L83&lt;&gt;"Accepted",L83&lt;&gt;"Not Needed",Settings!$H$15="Yes"),", "&amp;L$1,"")&amp;IF(AND(M83&lt;&gt;"Accepted",M83&lt;&gt;"Not Needed",Settings!$I$15="Yes"),", "&amp;M$1,"")&amp;IF(AND(N83&lt;&gt;"Accepted",N83&lt;&gt;"Not Needed",Settings!$J$15="Yes"),", "&amp;N$1,""),3,400))))</f>
        <v/>
      </c>
    </row>
    <row r="84" ht="15" customHeight="1" s="21">
      <c r="A84" s="31" t="inlineStr">
        <is>
          <t>2026-27</t>
        </is>
      </c>
      <c r="B84" s="31" t="inlineStr">
        <is>
          <t>Kolter ES</t>
        </is>
      </c>
      <c r="C84" s="31" t="inlineStr">
        <is>
          <t>EAS Elementary</t>
        </is>
      </c>
      <c r="D84" s="31" t="inlineStr">
        <is>
          <t>Not Yet Confirmed</t>
        </is>
      </c>
      <c r="E84" s="31" t="n"/>
      <c r="F84" s="31" t="n"/>
      <c r="G84" s="31" t="inlineStr">
        <is>
          <t>Not Received</t>
        </is>
      </c>
      <c r="H84" s="31" t="inlineStr">
        <is>
          <t>Not Received</t>
        </is>
      </c>
      <c r="I84" s="31" t="inlineStr">
        <is>
          <t>Not Received</t>
        </is>
      </c>
      <c r="J84" s="31" t="inlineStr">
        <is>
          <t>Not Received</t>
        </is>
      </c>
      <c r="K84" s="31" t="inlineStr">
        <is>
          <t>Not Received</t>
        </is>
      </c>
      <c r="L84" s="31" t="inlineStr">
        <is>
          <t>Not Received</t>
        </is>
      </c>
      <c r="M84" s="31" t="inlineStr">
        <is>
          <t>Not Received</t>
        </is>
      </c>
      <c r="N84" s="31" t="inlineStr">
        <is>
          <t>Not Received</t>
        </is>
      </c>
      <c r="O84" s="32">
        <f>IF($B84="","",COUNTIF(G84:N84,"Accepted")+COUNTIF(G84:N84,"Received")+COUNTIF(G84:N84,"Needs Correction"))</f>
        <v/>
      </c>
      <c r="P84" s="32">
        <f>IF($B84="","",SUMPRODUCT(((G84:N84="Accepted")+(G84:N84="Not Needed"))*(Settings!$C$11:$J$11="Yes")))</f>
        <v/>
      </c>
      <c r="Q84" s="32">
        <f>IF($B84="","",SUMPRODUCT(((G84:N84="Accepted")+(G84:N84="Not Needed"))*(Settings!$C$15:$J$15="Yes")))</f>
        <v/>
      </c>
      <c r="R84" s="33">
        <f>IF($B84="","",IF($D84="No","No PTO/PTA",IF($D84&lt;&gt;"Yes","Not Yet Confirmed",IF($Q84&gt;=Settings!$C$13,"Legalized",IF($P84&gt;=Settings!$C$12,"Registered",IF($O84&gt;0,"In Progress","Not Started"))))))</f>
        <v/>
      </c>
      <c r="S84" s="32">
        <f>IF($B84="","",COUNTIF(G84:N84,"Received"))</f>
        <v/>
      </c>
      <c r="T84" s="32">
        <f>IF($B84="","",COUNTIF(G84:N84,"Needs Correction"))</f>
        <v/>
      </c>
      <c r="U84" s="33">
        <f>IF($B84="","",IF($D84&lt;&gt;"Yes","",IF($Q84&gt;=Settings!$C$13,"None",MID(IF(AND(G84&lt;&gt;"Accepted",G84&lt;&gt;"Not Needed",Settings!$C$15="Yes"),", "&amp;G$1,"")&amp;IF(AND(H84&lt;&gt;"Accepted",H84&lt;&gt;"Not Needed",Settings!$D$15="Yes"),", "&amp;H$1,"")&amp;IF(AND(I84&lt;&gt;"Accepted",I84&lt;&gt;"Not Needed",Settings!$E$15="Yes"),", "&amp;I$1,"")&amp;IF(AND(J84&lt;&gt;"Accepted",J84&lt;&gt;"Not Needed",Settings!$F$15="Yes"),", "&amp;J$1,"")&amp;IF(AND(K84&lt;&gt;"Accepted",K84&lt;&gt;"Not Needed",Settings!$G$15="Yes"),", "&amp;K$1,"")&amp;IF(AND(L84&lt;&gt;"Accepted",L84&lt;&gt;"Not Needed",Settings!$H$15="Yes"),", "&amp;L$1,"")&amp;IF(AND(M84&lt;&gt;"Accepted",M84&lt;&gt;"Not Needed",Settings!$I$15="Yes"),", "&amp;M$1,"")&amp;IF(AND(N84&lt;&gt;"Accepted",N84&lt;&gt;"Not Needed",Settings!$J$15="Yes"),", "&amp;N$1,""),3,400))))</f>
        <v/>
      </c>
    </row>
    <row r="85" ht="15" customHeight="1" s="21">
      <c r="A85" s="31" t="inlineStr">
        <is>
          <t>2026-27</t>
        </is>
      </c>
      <c r="B85" s="31" t="inlineStr">
        <is>
          <t>Lantrip ES</t>
        </is>
      </c>
      <c r="C85" s="31" t="inlineStr">
        <is>
          <t>EAS Elementary</t>
        </is>
      </c>
      <c r="D85" s="31" t="inlineStr">
        <is>
          <t>Not Yet Confirmed</t>
        </is>
      </c>
      <c r="E85" s="31" t="n"/>
      <c r="F85" s="31" t="n"/>
      <c r="G85" s="31" t="inlineStr">
        <is>
          <t>Not Received</t>
        </is>
      </c>
      <c r="H85" s="31" t="inlineStr">
        <is>
          <t>Not Received</t>
        </is>
      </c>
      <c r="I85" s="31" t="inlineStr">
        <is>
          <t>Not Received</t>
        </is>
      </c>
      <c r="J85" s="31" t="inlineStr">
        <is>
          <t>Not Received</t>
        </is>
      </c>
      <c r="K85" s="31" t="inlineStr">
        <is>
          <t>Not Received</t>
        </is>
      </c>
      <c r="L85" s="31" t="inlineStr">
        <is>
          <t>Not Received</t>
        </is>
      </c>
      <c r="M85" s="31" t="inlineStr">
        <is>
          <t>Not Received</t>
        </is>
      </c>
      <c r="N85" s="31" t="inlineStr">
        <is>
          <t>Not Received</t>
        </is>
      </c>
      <c r="O85" s="32">
        <f>IF($B85="","",COUNTIF(G85:N85,"Accepted")+COUNTIF(G85:N85,"Received")+COUNTIF(G85:N85,"Needs Correction"))</f>
        <v/>
      </c>
      <c r="P85" s="32">
        <f>IF($B85="","",SUMPRODUCT(((G85:N85="Accepted")+(G85:N85="Not Needed"))*(Settings!$C$11:$J$11="Yes")))</f>
        <v/>
      </c>
      <c r="Q85" s="32">
        <f>IF($B85="","",SUMPRODUCT(((G85:N85="Accepted")+(G85:N85="Not Needed"))*(Settings!$C$15:$J$15="Yes")))</f>
        <v/>
      </c>
      <c r="R85" s="33">
        <f>IF($B85="","",IF($D85="No","No PTO/PTA",IF($D85&lt;&gt;"Yes","Not Yet Confirmed",IF($Q85&gt;=Settings!$C$13,"Legalized",IF($P85&gt;=Settings!$C$12,"Registered",IF($O85&gt;0,"In Progress","Not Started"))))))</f>
        <v/>
      </c>
      <c r="S85" s="32">
        <f>IF($B85="","",COUNTIF(G85:N85,"Received"))</f>
        <v/>
      </c>
      <c r="T85" s="32">
        <f>IF($B85="","",COUNTIF(G85:N85,"Needs Correction"))</f>
        <v/>
      </c>
      <c r="U85" s="33">
        <f>IF($B85="","",IF($D85&lt;&gt;"Yes","",IF($Q85&gt;=Settings!$C$13,"None",MID(IF(AND(G85&lt;&gt;"Accepted",G85&lt;&gt;"Not Needed",Settings!$C$15="Yes"),", "&amp;G$1,"")&amp;IF(AND(H85&lt;&gt;"Accepted",H85&lt;&gt;"Not Needed",Settings!$D$15="Yes"),", "&amp;H$1,"")&amp;IF(AND(I85&lt;&gt;"Accepted",I85&lt;&gt;"Not Needed",Settings!$E$15="Yes"),", "&amp;I$1,"")&amp;IF(AND(J85&lt;&gt;"Accepted",J85&lt;&gt;"Not Needed",Settings!$F$15="Yes"),", "&amp;J$1,"")&amp;IF(AND(K85&lt;&gt;"Accepted",K85&lt;&gt;"Not Needed",Settings!$G$15="Yes"),", "&amp;K$1,"")&amp;IF(AND(L85&lt;&gt;"Accepted",L85&lt;&gt;"Not Needed",Settings!$H$15="Yes"),", "&amp;L$1,"")&amp;IF(AND(M85&lt;&gt;"Accepted",M85&lt;&gt;"Not Needed",Settings!$I$15="Yes"),", "&amp;M$1,"")&amp;IF(AND(N85&lt;&gt;"Accepted",N85&lt;&gt;"Not Needed",Settings!$J$15="Yes"),", "&amp;N$1,""),3,400))))</f>
        <v/>
      </c>
    </row>
    <row r="86" ht="15" customHeight="1" s="21">
      <c r="A86" s="31" t="inlineStr">
        <is>
          <t>2026-27</t>
        </is>
      </c>
      <c r="B86" s="31" t="inlineStr">
        <is>
          <t>Laurenzo ECC</t>
        </is>
      </c>
      <c r="C86" s="31" t="inlineStr">
        <is>
          <t>EAS Elementary</t>
        </is>
      </c>
      <c r="D86" s="31" t="inlineStr">
        <is>
          <t>Not Yet Confirmed</t>
        </is>
      </c>
      <c r="E86" s="31" t="n"/>
      <c r="F86" s="31" t="n"/>
      <c r="G86" s="31" t="inlineStr">
        <is>
          <t>Not Received</t>
        </is>
      </c>
      <c r="H86" s="31" t="inlineStr">
        <is>
          <t>Not Received</t>
        </is>
      </c>
      <c r="I86" s="31" t="inlineStr">
        <is>
          <t>Not Received</t>
        </is>
      </c>
      <c r="J86" s="31" t="inlineStr">
        <is>
          <t>Not Received</t>
        </is>
      </c>
      <c r="K86" s="31" t="inlineStr">
        <is>
          <t>Not Received</t>
        </is>
      </c>
      <c r="L86" s="31" t="inlineStr">
        <is>
          <t>Not Received</t>
        </is>
      </c>
      <c r="M86" s="31" t="inlineStr">
        <is>
          <t>Not Received</t>
        </is>
      </c>
      <c r="N86" s="31" t="inlineStr">
        <is>
          <t>Not Received</t>
        </is>
      </c>
      <c r="O86" s="32">
        <f>IF($B86="","",COUNTIF(G86:N86,"Accepted")+COUNTIF(G86:N86,"Received")+COUNTIF(G86:N86,"Needs Correction"))</f>
        <v/>
      </c>
      <c r="P86" s="32">
        <f>IF($B86="","",SUMPRODUCT(((G86:N86="Accepted")+(G86:N86="Not Needed"))*(Settings!$C$11:$J$11="Yes")))</f>
        <v/>
      </c>
      <c r="Q86" s="32">
        <f>IF($B86="","",SUMPRODUCT(((G86:N86="Accepted")+(G86:N86="Not Needed"))*(Settings!$C$15:$J$15="Yes")))</f>
        <v/>
      </c>
      <c r="R86" s="33">
        <f>IF($B86="","",IF($D86="No","No PTO/PTA",IF($D86&lt;&gt;"Yes","Not Yet Confirmed",IF($Q86&gt;=Settings!$C$13,"Legalized",IF($P86&gt;=Settings!$C$12,"Registered",IF($O86&gt;0,"In Progress","Not Started"))))))</f>
        <v/>
      </c>
      <c r="S86" s="32">
        <f>IF($B86="","",COUNTIF(G86:N86,"Received"))</f>
        <v/>
      </c>
      <c r="T86" s="32">
        <f>IF($B86="","",COUNTIF(G86:N86,"Needs Correction"))</f>
        <v/>
      </c>
      <c r="U86" s="33">
        <f>IF($B86="","",IF($D86&lt;&gt;"Yes","",IF($Q86&gt;=Settings!$C$13,"None",MID(IF(AND(G86&lt;&gt;"Accepted",G86&lt;&gt;"Not Needed",Settings!$C$15="Yes"),", "&amp;G$1,"")&amp;IF(AND(H86&lt;&gt;"Accepted",H86&lt;&gt;"Not Needed",Settings!$D$15="Yes"),", "&amp;H$1,"")&amp;IF(AND(I86&lt;&gt;"Accepted",I86&lt;&gt;"Not Needed",Settings!$E$15="Yes"),", "&amp;I$1,"")&amp;IF(AND(J86&lt;&gt;"Accepted",J86&lt;&gt;"Not Needed",Settings!$F$15="Yes"),", "&amp;J$1,"")&amp;IF(AND(K86&lt;&gt;"Accepted",K86&lt;&gt;"Not Needed",Settings!$G$15="Yes"),", "&amp;K$1,"")&amp;IF(AND(L86&lt;&gt;"Accepted",L86&lt;&gt;"Not Needed",Settings!$H$15="Yes"),", "&amp;L$1,"")&amp;IF(AND(M86&lt;&gt;"Accepted",M86&lt;&gt;"Not Needed",Settings!$I$15="Yes"),", "&amp;M$1,"")&amp;IF(AND(N86&lt;&gt;"Accepted",N86&lt;&gt;"Not Needed",Settings!$J$15="Yes"),", "&amp;N$1,""),3,400))))</f>
        <v/>
      </c>
    </row>
    <row r="87" ht="15" customHeight="1" s="21">
      <c r="A87" s="31" t="inlineStr">
        <is>
          <t>2026-27</t>
        </is>
      </c>
      <c r="B87" s="31" t="inlineStr">
        <is>
          <t>Love ES</t>
        </is>
      </c>
      <c r="C87" s="31" t="inlineStr">
        <is>
          <t>EAS Elementary</t>
        </is>
      </c>
      <c r="D87" s="31" t="inlineStr">
        <is>
          <t>Not Yet Confirmed</t>
        </is>
      </c>
      <c r="E87" s="31" t="n"/>
      <c r="F87" s="31" t="n"/>
      <c r="G87" s="31" t="inlineStr">
        <is>
          <t>Not Received</t>
        </is>
      </c>
      <c r="H87" s="31" t="inlineStr">
        <is>
          <t>Not Received</t>
        </is>
      </c>
      <c r="I87" s="31" t="inlineStr">
        <is>
          <t>Not Received</t>
        </is>
      </c>
      <c r="J87" s="31" t="inlineStr">
        <is>
          <t>Not Received</t>
        </is>
      </c>
      <c r="K87" s="31" t="inlineStr">
        <is>
          <t>Not Received</t>
        </is>
      </c>
      <c r="L87" s="31" t="inlineStr">
        <is>
          <t>Not Received</t>
        </is>
      </c>
      <c r="M87" s="31" t="inlineStr">
        <is>
          <t>Not Received</t>
        </is>
      </c>
      <c r="N87" s="31" t="inlineStr">
        <is>
          <t>Not Received</t>
        </is>
      </c>
      <c r="O87" s="32">
        <f>IF($B87="","",COUNTIF(G87:N87,"Accepted")+COUNTIF(G87:N87,"Received")+COUNTIF(G87:N87,"Needs Correction"))</f>
        <v/>
      </c>
      <c r="P87" s="32">
        <f>IF($B87="","",SUMPRODUCT(((G87:N87="Accepted")+(G87:N87="Not Needed"))*(Settings!$C$11:$J$11="Yes")))</f>
        <v/>
      </c>
      <c r="Q87" s="32">
        <f>IF($B87="","",SUMPRODUCT(((G87:N87="Accepted")+(G87:N87="Not Needed"))*(Settings!$C$15:$J$15="Yes")))</f>
        <v/>
      </c>
      <c r="R87" s="33">
        <f>IF($B87="","",IF($D87="No","No PTO/PTA",IF($D87&lt;&gt;"Yes","Not Yet Confirmed",IF($Q87&gt;=Settings!$C$13,"Legalized",IF($P87&gt;=Settings!$C$12,"Registered",IF($O87&gt;0,"In Progress","Not Started"))))))</f>
        <v/>
      </c>
      <c r="S87" s="32">
        <f>IF($B87="","",COUNTIF(G87:N87,"Received"))</f>
        <v/>
      </c>
      <c r="T87" s="32">
        <f>IF($B87="","",COUNTIF(G87:N87,"Needs Correction"))</f>
        <v/>
      </c>
      <c r="U87" s="33">
        <f>IF($B87="","",IF($D87&lt;&gt;"Yes","",IF($Q87&gt;=Settings!$C$13,"None",MID(IF(AND(G87&lt;&gt;"Accepted",G87&lt;&gt;"Not Needed",Settings!$C$15="Yes"),", "&amp;G$1,"")&amp;IF(AND(H87&lt;&gt;"Accepted",H87&lt;&gt;"Not Needed",Settings!$D$15="Yes"),", "&amp;H$1,"")&amp;IF(AND(I87&lt;&gt;"Accepted",I87&lt;&gt;"Not Needed",Settings!$E$15="Yes"),", "&amp;I$1,"")&amp;IF(AND(J87&lt;&gt;"Accepted",J87&lt;&gt;"Not Needed",Settings!$F$15="Yes"),", "&amp;J$1,"")&amp;IF(AND(K87&lt;&gt;"Accepted",K87&lt;&gt;"Not Needed",Settings!$G$15="Yes"),", "&amp;K$1,"")&amp;IF(AND(L87&lt;&gt;"Accepted",L87&lt;&gt;"Not Needed",Settings!$H$15="Yes"),", "&amp;L$1,"")&amp;IF(AND(M87&lt;&gt;"Accepted",M87&lt;&gt;"Not Needed",Settings!$I$15="Yes"),", "&amp;M$1,"")&amp;IF(AND(N87&lt;&gt;"Accepted",N87&lt;&gt;"Not Needed",Settings!$J$15="Yes"),", "&amp;N$1,""),3,400))))</f>
        <v/>
      </c>
    </row>
    <row r="88" ht="15" customHeight="1" s="21">
      <c r="A88" s="31" t="inlineStr">
        <is>
          <t>2026-27</t>
        </is>
      </c>
      <c r="B88" s="31" t="inlineStr">
        <is>
          <t>Lovett ES</t>
        </is>
      </c>
      <c r="C88" s="31" t="inlineStr">
        <is>
          <t>EAS Elementary</t>
        </is>
      </c>
      <c r="D88" s="31" t="inlineStr">
        <is>
          <t>Not Yet Confirmed</t>
        </is>
      </c>
      <c r="E88" s="31" t="n"/>
      <c r="F88" s="31" t="n"/>
      <c r="G88" s="31" t="inlineStr">
        <is>
          <t>Not Received</t>
        </is>
      </c>
      <c r="H88" s="31" t="inlineStr">
        <is>
          <t>Not Received</t>
        </is>
      </c>
      <c r="I88" s="31" t="inlineStr">
        <is>
          <t>Not Received</t>
        </is>
      </c>
      <c r="J88" s="31" t="inlineStr">
        <is>
          <t>Not Received</t>
        </is>
      </c>
      <c r="K88" s="31" t="inlineStr">
        <is>
          <t>Not Received</t>
        </is>
      </c>
      <c r="L88" s="31" t="inlineStr">
        <is>
          <t>Not Received</t>
        </is>
      </c>
      <c r="M88" s="31" t="inlineStr">
        <is>
          <t>Not Received</t>
        </is>
      </c>
      <c r="N88" s="31" t="inlineStr">
        <is>
          <t>Not Received</t>
        </is>
      </c>
      <c r="O88" s="32">
        <f>IF($B88="","",COUNTIF(G88:N88,"Accepted")+COUNTIF(G88:N88,"Received")+COUNTIF(G88:N88,"Needs Correction"))</f>
        <v/>
      </c>
      <c r="P88" s="32">
        <f>IF($B88="","",SUMPRODUCT(((G88:N88="Accepted")+(G88:N88="Not Needed"))*(Settings!$C$11:$J$11="Yes")))</f>
        <v/>
      </c>
      <c r="Q88" s="32">
        <f>IF($B88="","",SUMPRODUCT(((G88:N88="Accepted")+(G88:N88="Not Needed"))*(Settings!$C$15:$J$15="Yes")))</f>
        <v/>
      </c>
      <c r="R88" s="33">
        <f>IF($B88="","",IF($D88="No","No PTO/PTA",IF($D88&lt;&gt;"Yes","Not Yet Confirmed",IF($Q88&gt;=Settings!$C$13,"Legalized",IF($P88&gt;=Settings!$C$12,"Registered",IF($O88&gt;0,"In Progress","Not Started"))))))</f>
        <v/>
      </c>
      <c r="S88" s="32">
        <f>IF($B88="","",COUNTIF(G88:N88,"Received"))</f>
        <v/>
      </c>
      <c r="T88" s="32">
        <f>IF($B88="","",COUNTIF(G88:N88,"Needs Correction"))</f>
        <v/>
      </c>
      <c r="U88" s="33">
        <f>IF($B88="","",IF($D88&lt;&gt;"Yes","",IF($Q88&gt;=Settings!$C$13,"None",MID(IF(AND(G88&lt;&gt;"Accepted",G88&lt;&gt;"Not Needed",Settings!$C$15="Yes"),", "&amp;G$1,"")&amp;IF(AND(H88&lt;&gt;"Accepted",H88&lt;&gt;"Not Needed",Settings!$D$15="Yes"),", "&amp;H$1,"")&amp;IF(AND(I88&lt;&gt;"Accepted",I88&lt;&gt;"Not Needed",Settings!$E$15="Yes"),", "&amp;I$1,"")&amp;IF(AND(J88&lt;&gt;"Accepted",J88&lt;&gt;"Not Needed",Settings!$F$15="Yes"),", "&amp;J$1,"")&amp;IF(AND(K88&lt;&gt;"Accepted",K88&lt;&gt;"Not Needed",Settings!$G$15="Yes"),", "&amp;K$1,"")&amp;IF(AND(L88&lt;&gt;"Accepted",L88&lt;&gt;"Not Needed",Settings!$H$15="Yes"),", "&amp;L$1,"")&amp;IF(AND(M88&lt;&gt;"Accepted",M88&lt;&gt;"Not Needed",Settings!$I$15="Yes"),", "&amp;M$1,"")&amp;IF(AND(N88&lt;&gt;"Accepted",N88&lt;&gt;"Not Needed",Settings!$J$15="Yes"),", "&amp;N$1,""),3,400))))</f>
        <v/>
      </c>
    </row>
    <row r="89" ht="15" customHeight="1" s="21">
      <c r="A89" s="31" t="inlineStr">
        <is>
          <t>2026-27</t>
        </is>
      </c>
      <c r="B89" s="31" t="inlineStr">
        <is>
          <t>Lyons ES</t>
        </is>
      </c>
      <c r="C89" s="31" t="inlineStr">
        <is>
          <t>EAS Elementary</t>
        </is>
      </c>
      <c r="D89" s="31" t="inlineStr">
        <is>
          <t>Not Yet Confirmed</t>
        </is>
      </c>
      <c r="E89" s="31" t="n"/>
      <c r="F89" s="31" t="n"/>
      <c r="G89" s="31" t="inlineStr">
        <is>
          <t>Not Received</t>
        </is>
      </c>
      <c r="H89" s="31" t="inlineStr">
        <is>
          <t>Not Received</t>
        </is>
      </c>
      <c r="I89" s="31" t="inlineStr">
        <is>
          <t>Not Received</t>
        </is>
      </c>
      <c r="J89" s="31" t="inlineStr">
        <is>
          <t>Not Received</t>
        </is>
      </c>
      <c r="K89" s="31" t="inlineStr">
        <is>
          <t>Not Received</t>
        </is>
      </c>
      <c r="L89" s="31" t="inlineStr">
        <is>
          <t>Not Received</t>
        </is>
      </c>
      <c r="M89" s="31" t="inlineStr">
        <is>
          <t>Not Received</t>
        </is>
      </c>
      <c r="N89" s="31" t="inlineStr">
        <is>
          <t>Not Received</t>
        </is>
      </c>
      <c r="O89" s="32">
        <f>IF($B89="","",COUNTIF(G89:N89,"Accepted")+COUNTIF(G89:N89,"Received")+COUNTIF(G89:N89,"Needs Correction"))</f>
        <v/>
      </c>
      <c r="P89" s="32">
        <f>IF($B89="","",SUMPRODUCT(((G89:N89="Accepted")+(G89:N89="Not Needed"))*(Settings!$C$11:$J$11="Yes")))</f>
        <v/>
      </c>
      <c r="Q89" s="32">
        <f>IF($B89="","",SUMPRODUCT(((G89:N89="Accepted")+(G89:N89="Not Needed"))*(Settings!$C$15:$J$15="Yes")))</f>
        <v/>
      </c>
      <c r="R89" s="33">
        <f>IF($B89="","",IF($D89="No","No PTO/PTA",IF($D89&lt;&gt;"Yes","Not Yet Confirmed",IF($Q89&gt;=Settings!$C$13,"Legalized",IF($P89&gt;=Settings!$C$12,"Registered",IF($O89&gt;0,"In Progress","Not Started"))))))</f>
        <v/>
      </c>
      <c r="S89" s="32">
        <f>IF($B89="","",COUNTIF(G89:N89,"Received"))</f>
        <v/>
      </c>
      <c r="T89" s="32">
        <f>IF($B89="","",COUNTIF(G89:N89,"Needs Correction"))</f>
        <v/>
      </c>
      <c r="U89" s="33">
        <f>IF($B89="","",IF($D89&lt;&gt;"Yes","",IF($Q89&gt;=Settings!$C$13,"None",MID(IF(AND(G89&lt;&gt;"Accepted",G89&lt;&gt;"Not Needed",Settings!$C$15="Yes"),", "&amp;G$1,"")&amp;IF(AND(H89&lt;&gt;"Accepted",H89&lt;&gt;"Not Needed",Settings!$D$15="Yes"),", "&amp;H$1,"")&amp;IF(AND(I89&lt;&gt;"Accepted",I89&lt;&gt;"Not Needed",Settings!$E$15="Yes"),", "&amp;I$1,"")&amp;IF(AND(J89&lt;&gt;"Accepted",J89&lt;&gt;"Not Needed",Settings!$F$15="Yes"),", "&amp;J$1,"")&amp;IF(AND(K89&lt;&gt;"Accepted",K89&lt;&gt;"Not Needed",Settings!$G$15="Yes"),", "&amp;K$1,"")&amp;IF(AND(L89&lt;&gt;"Accepted",L89&lt;&gt;"Not Needed",Settings!$H$15="Yes"),", "&amp;L$1,"")&amp;IF(AND(M89&lt;&gt;"Accepted",M89&lt;&gt;"Not Needed",Settings!$I$15="Yes"),", "&amp;M$1,"")&amp;IF(AND(N89&lt;&gt;"Accepted",N89&lt;&gt;"Not Needed",Settings!$J$15="Yes"),", "&amp;N$1,""),3,400))))</f>
        <v/>
      </c>
    </row>
    <row r="90" ht="15" customHeight="1" s="21">
      <c r="A90" s="31" t="inlineStr">
        <is>
          <t>2026-27</t>
        </is>
      </c>
      <c r="B90" s="31" t="inlineStr">
        <is>
          <t>MacGregor ES</t>
        </is>
      </c>
      <c r="C90" s="31" t="inlineStr">
        <is>
          <t>EAS Elementary</t>
        </is>
      </c>
      <c r="D90" s="31" t="inlineStr">
        <is>
          <t>Not Yet Confirmed</t>
        </is>
      </c>
      <c r="E90" s="31" t="n"/>
      <c r="F90" s="31" t="n"/>
      <c r="G90" s="31" t="inlineStr">
        <is>
          <t>Not Received</t>
        </is>
      </c>
      <c r="H90" s="31" t="inlineStr">
        <is>
          <t>Not Received</t>
        </is>
      </c>
      <c r="I90" s="31" t="inlineStr">
        <is>
          <t>Not Received</t>
        </is>
      </c>
      <c r="J90" s="31" t="inlineStr">
        <is>
          <t>Not Received</t>
        </is>
      </c>
      <c r="K90" s="31" t="inlineStr">
        <is>
          <t>Not Received</t>
        </is>
      </c>
      <c r="L90" s="31" t="inlineStr">
        <is>
          <t>Not Received</t>
        </is>
      </c>
      <c r="M90" s="31" t="inlineStr">
        <is>
          <t>Not Received</t>
        </is>
      </c>
      <c r="N90" s="31" t="inlineStr">
        <is>
          <t>Not Received</t>
        </is>
      </c>
      <c r="O90" s="32">
        <f>IF($B90="","",COUNTIF(G90:N90,"Accepted")+COUNTIF(G90:N90,"Received")+COUNTIF(G90:N90,"Needs Correction"))</f>
        <v/>
      </c>
      <c r="P90" s="32">
        <f>IF($B90="","",SUMPRODUCT(((G90:N90="Accepted")+(G90:N90="Not Needed"))*(Settings!$C$11:$J$11="Yes")))</f>
        <v/>
      </c>
      <c r="Q90" s="32">
        <f>IF($B90="","",SUMPRODUCT(((G90:N90="Accepted")+(G90:N90="Not Needed"))*(Settings!$C$15:$J$15="Yes")))</f>
        <v/>
      </c>
      <c r="R90" s="33">
        <f>IF($B90="","",IF($D90="No","No PTO/PTA",IF($D90&lt;&gt;"Yes","Not Yet Confirmed",IF($Q90&gt;=Settings!$C$13,"Legalized",IF($P90&gt;=Settings!$C$12,"Registered",IF($O90&gt;0,"In Progress","Not Started"))))))</f>
        <v/>
      </c>
      <c r="S90" s="32">
        <f>IF($B90="","",COUNTIF(G90:N90,"Received"))</f>
        <v/>
      </c>
      <c r="T90" s="32">
        <f>IF($B90="","",COUNTIF(G90:N90,"Needs Correction"))</f>
        <v/>
      </c>
      <c r="U90" s="33">
        <f>IF($B90="","",IF($D90&lt;&gt;"Yes","",IF($Q90&gt;=Settings!$C$13,"None",MID(IF(AND(G90&lt;&gt;"Accepted",G90&lt;&gt;"Not Needed",Settings!$C$15="Yes"),", "&amp;G$1,"")&amp;IF(AND(H90&lt;&gt;"Accepted",H90&lt;&gt;"Not Needed",Settings!$D$15="Yes"),", "&amp;H$1,"")&amp;IF(AND(I90&lt;&gt;"Accepted",I90&lt;&gt;"Not Needed",Settings!$E$15="Yes"),", "&amp;I$1,"")&amp;IF(AND(J90&lt;&gt;"Accepted",J90&lt;&gt;"Not Needed",Settings!$F$15="Yes"),", "&amp;J$1,"")&amp;IF(AND(K90&lt;&gt;"Accepted",K90&lt;&gt;"Not Needed",Settings!$G$15="Yes"),", "&amp;K$1,"")&amp;IF(AND(L90&lt;&gt;"Accepted",L90&lt;&gt;"Not Needed",Settings!$H$15="Yes"),", "&amp;L$1,"")&amp;IF(AND(M90&lt;&gt;"Accepted",M90&lt;&gt;"Not Needed",Settings!$I$15="Yes"),", "&amp;M$1,"")&amp;IF(AND(N90&lt;&gt;"Accepted",N90&lt;&gt;"Not Needed",Settings!$J$15="Yes"),", "&amp;N$1,""),3,400))))</f>
        <v/>
      </c>
    </row>
    <row r="91" ht="15" customHeight="1" s="21">
      <c r="A91" s="31" t="inlineStr">
        <is>
          <t>2026-27</t>
        </is>
      </c>
      <c r="B91" s="31" t="inlineStr">
        <is>
          <t>Mandarin Immersion Magnet</t>
        </is>
      </c>
      <c r="C91" s="31" t="inlineStr">
        <is>
          <t>EAS Elementary</t>
        </is>
      </c>
      <c r="D91" s="31" t="inlineStr">
        <is>
          <t>Not Yet Confirmed</t>
        </is>
      </c>
      <c r="E91" s="31" t="n"/>
      <c r="F91" s="31" t="n"/>
      <c r="G91" s="31" t="inlineStr">
        <is>
          <t>Not Received</t>
        </is>
      </c>
      <c r="H91" s="31" t="inlineStr">
        <is>
          <t>Not Received</t>
        </is>
      </c>
      <c r="I91" s="31" t="inlineStr">
        <is>
          <t>Not Received</t>
        </is>
      </c>
      <c r="J91" s="31" t="inlineStr">
        <is>
          <t>Not Received</t>
        </is>
      </c>
      <c r="K91" s="31" t="inlineStr">
        <is>
          <t>Not Received</t>
        </is>
      </c>
      <c r="L91" s="31" t="inlineStr">
        <is>
          <t>Not Received</t>
        </is>
      </c>
      <c r="M91" s="31" t="inlineStr">
        <is>
          <t>Not Received</t>
        </is>
      </c>
      <c r="N91" s="31" t="inlineStr">
        <is>
          <t>Not Received</t>
        </is>
      </c>
      <c r="O91" s="32">
        <f>IF($B91="","",COUNTIF(G91:N91,"Accepted")+COUNTIF(G91:N91,"Received")+COUNTIF(G91:N91,"Needs Correction"))</f>
        <v/>
      </c>
      <c r="P91" s="32">
        <f>IF($B91="","",SUMPRODUCT(((G91:N91="Accepted")+(G91:N91="Not Needed"))*(Settings!$C$11:$J$11="Yes")))</f>
        <v/>
      </c>
      <c r="Q91" s="32">
        <f>IF($B91="","",SUMPRODUCT(((G91:N91="Accepted")+(G91:N91="Not Needed"))*(Settings!$C$15:$J$15="Yes")))</f>
        <v/>
      </c>
      <c r="R91" s="33">
        <f>IF($B91="","",IF($D91="No","No PTO/PTA",IF($D91&lt;&gt;"Yes","Not Yet Confirmed",IF($Q91&gt;=Settings!$C$13,"Legalized",IF($P91&gt;=Settings!$C$12,"Registered",IF($O91&gt;0,"In Progress","Not Started"))))))</f>
        <v/>
      </c>
      <c r="S91" s="32">
        <f>IF($B91="","",COUNTIF(G91:N91,"Received"))</f>
        <v/>
      </c>
      <c r="T91" s="32">
        <f>IF($B91="","",COUNTIF(G91:N91,"Needs Correction"))</f>
        <v/>
      </c>
      <c r="U91" s="33">
        <f>IF($B91="","",IF($D91&lt;&gt;"Yes","",IF($Q91&gt;=Settings!$C$13,"None",MID(IF(AND(G91&lt;&gt;"Accepted",G91&lt;&gt;"Not Needed",Settings!$C$15="Yes"),", "&amp;G$1,"")&amp;IF(AND(H91&lt;&gt;"Accepted",H91&lt;&gt;"Not Needed",Settings!$D$15="Yes"),", "&amp;H$1,"")&amp;IF(AND(I91&lt;&gt;"Accepted",I91&lt;&gt;"Not Needed",Settings!$E$15="Yes"),", "&amp;I$1,"")&amp;IF(AND(J91&lt;&gt;"Accepted",J91&lt;&gt;"Not Needed",Settings!$F$15="Yes"),", "&amp;J$1,"")&amp;IF(AND(K91&lt;&gt;"Accepted",K91&lt;&gt;"Not Needed",Settings!$G$15="Yes"),", "&amp;K$1,"")&amp;IF(AND(L91&lt;&gt;"Accepted",L91&lt;&gt;"Not Needed",Settings!$H$15="Yes"),", "&amp;L$1,"")&amp;IF(AND(M91&lt;&gt;"Accepted",M91&lt;&gt;"Not Needed",Settings!$I$15="Yes"),", "&amp;M$1,"")&amp;IF(AND(N91&lt;&gt;"Accepted",N91&lt;&gt;"Not Needed",Settings!$J$15="Yes"),", "&amp;N$1,""),3,400))))</f>
        <v/>
      </c>
    </row>
    <row r="92" ht="15" customHeight="1" s="21">
      <c r="A92" s="31" t="inlineStr">
        <is>
          <t>2026-27</t>
        </is>
      </c>
      <c r="B92" s="31" t="inlineStr">
        <is>
          <t>McNamara ES</t>
        </is>
      </c>
      <c r="C92" s="31" t="inlineStr">
        <is>
          <t>EAS Elementary</t>
        </is>
      </c>
      <c r="D92" s="31" t="inlineStr">
        <is>
          <t>Not Yet Confirmed</t>
        </is>
      </c>
      <c r="E92" s="31" t="n"/>
      <c r="F92" s="31" t="n"/>
      <c r="G92" s="31" t="inlineStr">
        <is>
          <t>Not Received</t>
        </is>
      </c>
      <c r="H92" s="31" t="inlineStr">
        <is>
          <t>Not Received</t>
        </is>
      </c>
      <c r="I92" s="31" t="inlineStr">
        <is>
          <t>Not Received</t>
        </is>
      </c>
      <c r="J92" s="31" t="inlineStr">
        <is>
          <t>Not Received</t>
        </is>
      </c>
      <c r="K92" s="31" t="inlineStr">
        <is>
          <t>Not Received</t>
        </is>
      </c>
      <c r="L92" s="31" t="inlineStr">
        <is>
          <t>Not Received</t>
        </is>
      </c>
      <c r="M92" s="31" t="inlineStr">
        <is>
          <t>Not Received</t>
        </is>
      </c>
      <c r="N92" s="31" t="inlineStr">
        <is>
          <t>Not Received</t>
        </is>
      </c>
      <c r="O92" s="32">
        <f>IF($B92="","",COUNTIF(G92:N92,"Accepted")+COUNTIF(G92:N92,"Received")+COUNTIF(G92:N92,"Needs Correction"))</f>
        <v/>
      </c>
      <c r="P92" s="32">
        <f>IF($B92="","",SUMPRODUCT(((G92:N92="Accepted")+(G92:N92="Not Needed"))*(Settings!$C$11:$J$11="Yes")))</f>
        <v/>
      </c>
      <c r="Q92" s="32">
        <f>IF($B92="","",SUMPRODUCT(((G92:N92="Accepted")+(G92:N92="Not Needed"))*(Settings!$C$15:$J$15="Yes")))</f>
        <v/>
      </c>
      <c r="R92" s="33">
        <f>IF($B92="","",IF($D92="No","No PTO/PTA",IF($D92&lt;&gt;"Yes","Not Yet Confirmed",IF($Q92&gt;=Settings!$C$13,"Legalized",IF($P92&gt;=Settings!$C$12,"Registered",IF($O92&gt;0,"In Progress","Not Started"))))))</f>
        <v/>
      </c>
      <c r="S92" s="32">
        <f>IF($B92="","",COUNTIF(G92:N92,"Received"))</f>
        <v/>
      </c>
      <c r="T92" s="32">
        <f>IF($B92="","",COUNTIF(G92:N92,"Needs Correction"))</f>
        <v/>
      </c>
      <c r="U92" s="33">
        <f>IF($B92="","",IF($D92&lt;&gt;"Yes","",IF($Q92&gt;=Settings!$C$13,"None",MID(IF(AND(G92&lt;&gt;"Accepted",G92&lt;&gt;"Not Needed",Settings!$C$15="Yes"),", "&amp;G$1,"")&amp;IF(AND(H92&lt;&gt;"Accepted",H92&lt;&gt;"Not Needed",Settings!$D$15="Yes"),", "&amp;H$1,"")&amp;IF(AND(I92&lt;&gt;"Accepted",I92&lt;&gt;"Not Needed",Settings!$E$15="Yes"),", "&amp;I$1,"")&amp;IF(AND(J92&lt;&gt;"Accepted",J92&lt;&gt;"Not Needed",Settings!$F$15="Yes"),", "&amp;J$1,"")&amp;IF(AND(K92&lt;&gt;"Accepted",K92&lt;&gt;"Not Needed",Settings!$G$15="Yes"),", "&amp;K$1,"")&amp;IF(AND(L92&lt;&gt;"Accepted",L92&lt;&gt;"Not Needed",Settings!$H$15="Yes"),", "&amp;L$1,"")&amp;IF(AND(M92&lt;&gt;"Accepted",M92&lt;&gt;"Not Needed",Settings!$I$15="Yes"),", "&amp;M$1,"")&amp;IF(AND(N92&lt;&gt;"Accepted",N92&lt;&gt;"Not Needed",Settings!$J$15="Yes"),", "&amp;N$1,""),3,400))))</f>
        <v/>
      </c>
    </row>
    <row r="93" ht="15" customHeight="1" s="21">
      <c r="A93" s="31" t="inlineStr">
        <is>
          <t>2026-27</t>
        </is>
      </c>
      <c r="B93" s="31" t="inlineStr">
        <is>
          <t>Memorial ES</t>
        </is>
      </c>
      <c r="C93" s="31" t="inlineStr">
        <is>
          <t>EAS Elementary</t>
        </is>
      </c>
      <c r="D93" s="31" t="inlineStr">
        <is>
          <t>Not Yet Confirmed</t>
        </is>
      </c>
      <c r="E93" s="31" t="n"/>
      <c r="F93" s="31" t="n"/>
      <c r="G93" s="31" t="inlineStr">
        <is>
          <t>Not Received</t>
        </is>
      </c>
      <c r="H93" s="31" t="inlineStr">
        <is>
          <t>Not Received</t>
        </is>
      </c>
      <c r="I93" s="31" t="inlineStr">
        <is>
          <t>Not Received</t>
        </is>
      </c>
      <c r="J93" s="31" t="inlineStr">
        <is>
          <t>Not Received</t>
        </is>
      </c>
      <c r="K93" s="31" t="inlineStr">
        <is>
          <t>Not Received</t>
        </is>
      </c>
      <c r="L93" s="31" t="inlineStr">
        <is>
          <t>Not Received</t>
        </is>
      </c>
      <c r="M93" s="31" t="inlineStr">
        <is>
          <t>Not Received</t>
        </is>
      </c>
      <c r="N93" s="31" t="inlineStr">
        <is>
          <t>Not Received</t>
        </is>
      </c>
      <c r="O93" s="32">
        <f>IF($B93="","",COUNTIF(G93:N93,"Accepted")+COUNTIF(G93:N93,"Received")+COUNTIF(G93:N93,"Needs Correction"))</f>
        <v/>
      </c>
      <c r="P93" s="32">
        <f>IF($B93="","",SUMPRODUCT(((G93:N93="Accepted")+(G93:N93="Not Needed"))*(Settings!$C$11:$J$11="Yes")))</f>
        <v/>
      </c>
      <c r="Q93" s="32">
        <f>IF($B93="","",SUMPRODUCT(((G93:N93="Accepted")+(G93:N93="Not Needed"))*(Settings!$C$15:$J$15="Yes")))</f>
        <v/>
      </c>
      <c r="R93" s="33">
        <f>IF($B93="","",IF($D93="No","No PTO/PTA",IF($D93&lt;&gt;"Yes","Not Yet Confirmed",IF($Q93&gt;=Settings!$C$13,"Legalized",IF($P93&gt;=Settings!$C$12,"Registered",IF($O93&gt;0,"In Progress","Not Started"))))))</f>
        <v/>
      </c>
      <c r="S93" s="32">
        <f>IF($B93="","",COUNTIF(G93:N93,"Received"))</f>
        <v/>
      </c>
      <c r="T93" s="32">
        <f>IF($B93="","",COUNTIF(G93:N93,"Needs Correction"))</f>
        <v/>
      </c>
      <c r="U93" s="33">
        <f>IF($B93="","",IF($D93&lt;&gt;"Yes","",IF($Q93&gt;=Settings!$C$13,"None",MID(IF(AND(G93&lt;&gt;"Accepted",G93&lt;&gt;"Not Needed",Settings!$C$15="Yes"),", "&amp;G$1,"")&amp;IF(AND(H93&lt;&gt;"Accepted",H93&lt;&gt;"Not Needed",Settings!$D$15="Yes"),", "&amp;H$1,"")&amp;IF(AND(I93&lt;&gt;"Accepted",I93&lt;&gt;"Not Needed",Settings!$E$15="Yes"),", "&amp;I$1,"")&amp;IF(AND(J93&lt;&gt;"Accepted",J93&lt;&gt;"Not Needed",Settings!$F$15="Yes"),", "&amp;J$1,"")&amp;IF(AND(K93&lt;&gt;"Accepted",K93&lt;&gt;"Not Needed",Settings!$G$15="Yes"),", "&amp;K$1,"")&amp;IF(AND(L93&lt;&gt;"Accepted",L93&lt;&gt;"Not Needed",Settings!$H$15="Yes"),", "&amp;L$1,"")&amp;IF(AND(M93&lt;&gt;"Accepted",M93&lt;&gt;"Not Needed",Settings!$I$15="Yes"),", "&amp;M$1,"")&amp;IF(AND(N93&lt;&gt;"Accepted",N93&lt;&gt;"Not Needed",Settings!$J$15="Yes"),", "&amp;N$1,""),3,400))))</f>
        <v/>
      </c>
    </row>
    <row r="94" ht="15" customHeight="1" s="21">
      <c r="A94" s="31" t="inlineStr">
        <is>
          <t>2026-27</t>
        </is>
      </c>
      <c r="B94" s="31" t="inlineStr">
        <is>
          <t>Mistral ECC</t>
        </is>
      </c>
      <c r="C94" s="31" t="inlineStr">
        <is>
          <t>EAS Elementary</t>
        </is>
      </c>
      <c r="D94" s="31" t="inlineStr">
        <is>
          <t>Not Yet Confirmed</t>
        </is>
      </c>
      <c r="E94" s="31" t="n"/>
      <c r="F94" s="31" t="n"/>
      <c r="G94" s="31" t="inlineStr">
        <is>
          <t>Not Received</t>
        </is>
      </c>
      <c r="H94" s="31" t="inlineStr">
        <is>
          <t>Not Received</t>
        </is>
      </c>
      <c r="I94" s="31" t="inlineStr">
        <is>
          <t>Not Received</t>
        </is>
      </c>
      <c r="J94" s="31" t="inlineStr">
        <is>
          <t>Not Received</t>
        </is>
      </c>
      <c r="K94" s="31" t="inlineStr">
        <is>
          <t>Not Received</t>
        </is>
      </c>
      <c r="L94" s="31" t="inlineStr">
        <is>
          <t>Not Received</t>
        </is>
      </c>
      <c r="M94" s="31" t="inlineStr">
        <is>
          <t>Not Received</t>
        </is>
      </c>
      <c r="N94" s="31" t="inlineStr">
        <is>
          <t>Not Received</t>
        </is>
      </c>
      <c r="O94" s="32">
        <f>IF($B94="","",COUNTIF(G94:N94,"Accepted")+COUNTIF(G94:N94,"Received")+COUNTIF(G94:N94,"Needs Correction"))</f>
        <v/>
      </c>
      <c r="P94" s="32">
        <f>IF($B94="","",SUMPRODUCT(((G94:N94="Accepted")+(G94:N94="Not Needed"))*(Settings!$C$11:$J$11="Yes")))</f>
        <v/>
      </c>
      <c r="Q94" s="32">
        <f>IF($B94="","",SUMPRODUCT(((G94:N94="Accepted")+(G94:N94="Not Needed"))*(Settings!$C$15:$J$15="Yes")))</f>
        <v/>
      </c>
      <c r="R94" s="33">
        <f>IF($B94="","",IF($D94="No","No PTO/PTA",IF($D94&lt;&gt;"Yes","Not Yet Confirmed",IF($Q94&gt;=Settings!$C$13,"Legalized",IF($P94&gt;=Settings!$C$12,"Registered",IF($O94&gt;0,"In Progress","Not Started"))))))</f>
        <v/>
      </c>
      <c r="S94" s="32">
        <f>IF($B94="","",COUNTIF(G94:N94,"Received"))</f>
        <v/>
      </c>
      <c r="T94" s="32">
        <f>IF($B94="","",COUNTIF(G94:N94,"Needs Correction"))</f>
        <v/>
      </c>
      <c r="U94" s="33">
        <f>IF($B94="","",IF($D94&lt;&gt;"Yes","",IF($Q94&gt;=Settings!$C$13,"None",MID(IF(AND(G94&lt;&gt;"Accepted",G94&lt;&gt;"Not Needed",Settings!$C$15="Yes"),", "&amp;G$1,"")&amp;IF(AND(H94&lt;&gt;"Accepted",H94&lt;&gt;"Not Needed",Settings!$D$15="Yes"),", "&amp;H$1,"")&amp;IF(AND(I94&lt;&gt;"Accepted",I94&lt;&gt;"Not Needed",Settings!$E$15="Yes"),", "&amp;I$1,"")&amp;IF(AND(J94&lt;&gt;"Accepted",J94&lt;&gt;"Not Needed",Settings!$F$15="Yes"),", "&amp;J$1,"")&amp;IF(AND(K94&lt;&gt;"Accepted",K94&lt;&gt;"Not Needed",Settings!$G$15="Yes"),", "&amp;K$1,"")&amp;IF(AND(L94&lt;&gt;"Accepted",L94&lt;&gt;"Not Needed",Settings!$H$15="Yes"),", "&amp;L$1,"")&amp;IF(AND(M94&lt;&gt;"Accepted",M94&lt;&gt;"Not Needed",Settings!$I$15="Yes"),", "&amp;M$1,"")&amp;IF(AND(N94&lt;&gt;"Accepted",N94&lt;&gt;"Not Needed",Settings!$J$15="Yes"),", "&amp;N$1,""),3,400))))</f>
        <v/>
      </c>
    </row>
    <row r="95" ht="15" customHeight="1" s="21">
      <c r="A95" s="31" t="inlineStr">
        <is>
          <t>2026-27</t>
        </is>
      </c>
      <c r="B95" s="31" t="inlineStr">
        <is>
          <t>Moreno ES</t>
        </is>
      </c>
      <c r="C95" s="31" t="inlineStr">
        <is>
          <t>EAS Elementary</t>
        </is>
      </c>
      <c r="D95" s="31" t="inlineStr">
        <is>
          <t>Not Yet Confirmed</t>
        </is>
      </c>
      <c r="E95" s="31" t="n"/>
      <c r="F95" s="31" t="n"/>
      <c r="G95" s="31" t="inlineStr">
        <is>
          <t>Not Received</t>
        </is>
      </c>
      <c r="H95" s="31" t="inlineStr">
        <is>
          <t>Not Received</t>
        </is>
      </c>
      <c r="I95" s="31" t="inlineStr">
        <is>
          <t>Not Received</t>
        </is>
      </c>
      <c r="J95" s="31" t="inlineStr">
        <is>
          <t>Not Received</t>
        </is>
      </c>
      <c r="K95" s="31" t="inlineStr">
        <is>
          <t>Not Received</t>
        </is>
      </c>
      <c r="L95" s="31" t="inlineStr">
        <is>
          <t>Not Received</t>
        </is>
      </c>
      <c r="M95" s="31" t="inlineStr">
        <is>
          <t>Not Received</t>
        </is>
      </c>
      <c r="N95" s="31" t="inlineStr">
        <is>
          <t>Not Received</t>
        </is>
      </c>
      <c r="O95" s="32">
        <f>IF($B95="","",COUNTIF(G95:N95,"Accepted")+COUNTIF(G95:N95,"Received")+COUNTIF(G95:N95,"Needs Correction"))</f>
        <v/>
      </c>
      <c r="P95" s="32">
        <f>IF($B95="","",SUMPRODUCT(((G95:N95="Accepted")+(G95:N95="Not Needed"))*(Settings!$C$11:$J$11="Yes")))</f>
        <v/>
      </c>
      <c r="Q95" s="32">
        <f>IF($B95="","",SUMPRODUCT(((G95:N95="Accepted")+(G95:N95="Not Needed"))*(Settings!$C$15:$J$15="Yes")))</f>
        <v/>
      </c>
      <c r="R95" s="33">
        <f>IF($B95="","",IF($D95="No","No PTO/PTA",IF($D95&lt;&gt;"Yes","Not Yet Confirmed",IF($Q95&gt;=Settings!$C$13,"Legalized",IF($P95&gt;=Settings!$C$12,"Registered",IF($O95&gt;0,"In Progress","Not Started"))))))</f>
        <v/>
      </c>
      <c r="S95" s="32">
        <f>IF($B95="","",COUNTIF(G95:N95,"Received"))</f>
        <v/>
      </c>
      <c r="T95" s="32">
        <f>IF($B95="","",COUNTIF(G95:N95,"Needs Correction"))</f>
        <v/>
      </c>
      <c r="U95" s="33">
        <f>IF($B95="","",IF($D95&lt;&gt;"Yes","",IF($Q95&gt;=Settings!$C$13,"None",MID(IF(AND(G95&lt;&gt;"Accepted",G95&lt;&gt;"Not Needed",Settings!$C$15="Yes"),", "&amp;G$1,"")&amp;IF(AND(H95&lt;&gt;"Accepted",H95&lt;&gt;"Not Needed",Settings!$D$15="Yes"),", "&amp;H$1,"")&amp;IF(AND(I95&lt;&gt;"Accepted",I95&lt;&gt;"Not Needed",Settings!$E$15="Yes"),", "&amp;I$1,"")&amp;IF(AND(J95&lt;&gt;"Accepted",J95&lt;&gt;"Not Needed",Settings!$F$15="Yes"),", "&amp;J$1,"")&amp;IF(AND(K95&lt;&gt;"Accepted",K95&lt;&gt;"Not Needed",Settings!$G$15="Yes"),", "&amp;K$1,"")&amp;IF(AND(L95&lt;&gt;"Accepted",L95&lt;&gt;"Not Needed",Settings!$H$15="Yes"),", "&amp;L$1,"")&amp;IF(AND(M95&lt;&gt;"Accepted",M95&lt;&gt;"Not Needed",Settings!$I$15="Yes"),", "&amp;M$1,"")&amp;IF(AND(N95&lt;&gt;"Accepted",N95&lt;&gt;"Not Needed",Settings!$J$15="Yes"),", "&amp;N$1,""),3,400))))</f>
        <v/>
      </c>
    </row>
    <row r="96" ht="15" customHeight="1" s="21">
      <c r="A96" s="31" t="inlineStr">
        <is>
          <t>2026-27</t>
        </is>
      </c>
      <c r="B96" s="31" t="inlineStr">
        <is>
          <t>Neff ECC</t>
        </is>
      </c>
      <c r="C96" s="31" t="inlineStr">
        <is>
          <t>EAS Elementary</t>
        </is>
      </c>
      <c r="D96" s="31" t="inlineStr">
        <is>
          <t>Not Yet Confirmed</t>
        </is>
      </c>
      <c r="E96" s="31" t="n"/>
      <c r="F96" s="31" t="n"/>
      <c r="G96" s="31" t="inlineStr">
        <is>
          <t>Not Received</t>
        </is>
      </c>
      <c r="H96" s="31" t="inlineStr">
        <is>
          <t>Not Received</t>
        </is>
      </c>
      <c r="I96" s="31" t="inlineStr">
        <is>
          <t>Not Received</t>
        </is>
      </c>
      <c r="J96" s="31" t="inlineStr">
        <is>
          <t>Not Received</t>
        </is>
      </c>
      <c r="K96" s="31" t="inlineStr">
        <is>
          <t>Not Received</t>
        </is>
      </c>
      <c r="L96" s="31" t="inlineStr">
        <is>
          <t>Not Received</t>
        </is>
      </c>
      <c r="M96" s="31" t="inlineStr">
        <is>
          <t>Not Received</t>
        </is>
      </c>
      <c r="N96" s="31" t="inlineStr">
        <is>
          <t>Not Received</t>
        </is>
      </c>
      <c r="O96" s="32">
        <f>IF($B96="","",COUNTIF(G96:N96,"Accepted")+COUNTIF(G96:N96,"Received")+COUNTIF(G96:N96,"Needs Correction"))</f>
        <v/>
      </c>
      <c r="P96" s="32">
        <f>IF($B96="","",SUMPRODUCT(((G96:N96="Accepted")+(G96:N96="Not Needed"))*(Settings!$C$11:$J$11="Yes")))</f>
        <v/>
      </c>
      <c r="Q96" s="32">
        <f>IF($B96="","",SUMPRODUCT(((G96:N96="Accepted")+(G96:N96="Not Needed"))*(Settings!$C$15:$J$15="Yes")))</f>
        <v/>
      </c>
      <c r="R96" s="33">
        <f>IF($B96="","",IF($D96="No","No PTO/PTA",IF($D96&lt;&gt;"Yes","Not Yet Confirmed",IF($Q96&gt;=Settings!$C$13,"Legalized",IF($P96&gt;=Settings!$C$12,"Registered",IF($O96&gt;0,"In Progress","Not Started"))))))</f>
        <v/>
      </c>
      <c r="S96" s="32">
        <f>IF($B96="","",COUNTIF(G96:N96,"Received"))</f>
        <v/>
      </c>
      <c r="T96" s="32">
        <f>IF($B96="","",COUNTIF(G96:N96,"Needs Correction"))</f>
        <v/>
      </c>
      <c r="U96" s="33">
        <f>IF($B96="","",IF($D96&lt;&gt;"Yes","",IF($Q96&gt;=Settings!$C$13,"None",MID(IF(AND(G96&lt;&gt;"Accepted",G96&lt;&gt;"Not Needed",Settings!$C$15="Yes"),", "&amp;G$1,"")&amp;IF(AND(H96&lt;&gt;"Accepted",H96&lt;&gt;"Not Needed",Settings!$D$15="Yes"),", "&amp;H$1,"")&amp;IF(AND(I96&lt;&gt;"Accepted",I96&lt;&gt;"Not Needed",Settings!$E$15="Yes"),", "&amp;I$1,"")&amp;IF(AND(J96&lt;&gt;"Accepted",J96&lt;&gt;"Not Needed",Settings!$F$15="Yes"),", "&amp;J$1,"")&amp;IF(AND(K96&lt;&gt;"Accepted",K96&lt;&gt;"Not Needed",Settings!$G$15="Yes"),", "&amp;K$1,"")&amp;IF(AND(L96&lt;&gt;"Accepted",L96&lt;&gt;"Not Needed",Settings!$H$15="Yes"),", "&amp;L$1,"")&amp;IF(AND(M96&lt;&gt;"Accepted",M96&lt;&gt;"Not Needed",Settings!$I$15="Yes"),", "&amp;M$1,"")&amp;IF(AND(N96&lt;&gt;"Accepted",N96&lt;&gt;"Not Needed",Settings!$J$15="Yes"),", "&amp;N$1,""),3,400))))</f>
        <v/>
      </c>
    </row>
    <row r="97" ht="15" customHeight="1" s="21">
      <c r="A97" s="31" t="inlineStr">
        <is>
          <t>2026-27</t>
        </is>
      </c>
      <c r="B97" s="31" t="inlineStr">
        <is>
          <t>Oak Forest ES</t>
        </is>
      </c>
      <c r="C97" s="31" t="inlineStr">
        <is>
          <t>EAS Elementary</t>
        </is>
      </c>
      <c r="D97" s="31" t="inlineStr">
        <is>
          <t>Yes</t>
        </is>
      </c>
      <c r="E97" s="31" t="inlineStr">
        <is>
          <t>PTA</t>
        </is>
      </c>
      <c r="F97" s="31" t="n"/>
      <c r="G97" s="31" t="inlineStr">
        <is>
          <t>Accepted</t>
        </is>
      </c>
      <c r="H97" s="31" t="inlineStr">
        <is>
          <t>Not Received</t>
        </is>
      </c>
      <c r="I97" s="31" t="inlineStr">
        <is>
          <t>Not Received</t>
        </is>
      </c>
      <c r="J97" s="31" t="inlineStr">
        <is>
          <t>Accepted</t>
        </is>
      </c>
      <c r="K97" s="31" t="inlineStr">
        <is>
          <t>Accepted</t>
        </is>
      </c>
      <c r="L97" s="31" t="inlineStr">
        <is>
          <t>Accepted</t>
        </is>
      </c>
      <c r="M97" s="31" t="inlineStr">
        <is>
          <t>Not Received</t>
        </is>
      </c>
      <c r="N97" s="31" t="inlineStr">
        <is>
          <t>Not Received</t>
        </is>
      </c>
      <c r="O97" s="32">
        <f>IF($B97="","",COUNTIF(G97:N97,"Accepted")+COUNTIF(G97:N97,"Received")+COUNTIF(G97:N97,"Needs Correction"))</f>
        <v/>
      </c>
      <c r="P97" s="32">
        <f>IF($B97="","",SUMPRODUCT(((G97:N97="Accepted")+(G97:N97="Not Needed"))*(Settings!$C$11:$J$11="Yes")))</f>
        <v/>
      </c>
      <c r="Q97" s="32">
        <f>IF($B97="","",SUMPRODUCT(((G97:N97="Accepted")+(G97:N97="Not Needed"))*(Settings!$C$15:$J$15="Yes")))</f>
        <v/>
      </c>
      <c r="R97" s="33">
        <f>IF($B97="","",IF($D97="No","No PTO/PTA",IF($D97&lt;&gt;"Yes","Not Yet Confirmed",IF($Q97&gt;=Settings!$C$13,"Legalized",IF($P97&gt;=Settings!$C$12,"Registered",IF($O97&gt;0,"In Progress","Not Started"))))))</f>
        <v/>
      </c>
      <c r="S97" s="32">
        <f>IF($B97="","",COUNTIF(G97:N97,"Received"))</f>
        <v/>
      </c>
      <c r="T97" s="32">
        <f>IF($B97="","",COUNTIF(G97:N97,"Needs Correction"))</f>
        <v/>
      </c>
      <c r="U97" s="33">
        <f>IF($B97="","",IF($D97&lt;&gt;"Yes","",IF($Q97&gt;=Settings!$C$13,"None",MID(IF(AND(G97&lt;&gt;"Accepted",G97&lt;&gt;"Not Needed",Settings!$C$15="Yes"),", "&amp;G$1,"")&amp;IF(AND(H97&lt;&gt;"Accepted",H97&lt;&gt;"Not Needed",Settings!$D$15="Yes"),", "&amp;H$1,"")&amp;IF(AND(I97&lt;&gt;"Accepted",I97&lt;&gt;"Not Needed",Settings!$E$15="Yes"),", "&amp;I$1,"")&amp;IF(AND(J97&lt;&gt;"Accepted",J97&lt;&gt;"Not Needed",Settings!$F$15="Yes"),", "&amp;J$1,"")&amp;IF(AND(K97&lt;&gt;"Accepted",K97&lt;&gt;"Not Needed",Settings!$G$15="Yes"),", "&amp;K$1,"")&amp;IF(AND(L97&lt;&gt;"Accepted",L97&lt;&gt;"Not Needed",Settings!$H$15="Yes"),", "&amp;L$1,"")&amp;IF(AND(M97&lt;&gt;"Accepted",M97&lt;&gt;"Not Needed",Settings!$I$15="Yes"),", "&amp;M$1,"")&amp;IF(AND(N97&lt;&gt;"Accepted",N97&lt;&gt;"Not Needed",Settings!$J$15="Yes"),", "&amp;N$1,""),3,400))))</f>
        <v/>
      </c>
    </row>
    <row r="98" ht="15" customHeight="1" s="21">
      <c r="A98" s="31" t="inlineStr">
        <is>
          <t>2026-27</t>
        </is>
      </c>
      <c r="B98" s="31" t="inlineStr">
        <is>
          <t>Park Place ES</t>
        </is>
      </c>
      <c r="C98" s="31" t="inlineStr">
        <is>
          <t>EAS Elementary</t>
        </is>
      </c>
      <c r="D98" s="31" t="inlineStr">
        <is>
          <t>Not Yet Confirmed</t>
        </is>
      </c>
      <c r="E98" s="31" t="n"/>
      <c r="F98" s="31" t="n"/>
      <c r="G98" s="31" t="inlineStr">
        <is>
          <t>Not Received</t>
        </is>
      </c>
      <c r="H98" s="31" t="inlineStr">
        <is>
          <t>Not Received</t>
        </is>
      </c>
      <c r="I98" s="31" t="inlineStr">
        <is>
          <t>Not Received</t>
        </is>
      </c>
      <c r="J98" s="31" t="inlineStr">
        <is>
          <t>Not Received</t>
        </is>
      </c>
      <c r="K98" s="31" t="inlineStr">
        <is>
          <t>Not Received</t>
        </is>
      </c>
      <c r="L98" s="31" t="inlineStr">
        <is>
          <t>Not Received</t>
        </is>
      </c>
      <c r="M98" s="31" t="inlineStr">
        <is>
          <t>Not Received</t>
        </is>
      </c>
      <c r="N98" s="31" t="inlineStr">
        <is>
          <t>Not Received</t>
        </is>
      </c>
      <c r="O98" s="32">
        <f>IF($B98="","",COUNTIF(G98:N98,"Accepted")+COUNTIF(G98:N98,"Received")+COUNTIF(G98:N98,"Needs Correction"))</f>
        <v/>
      </c>
      <c r="P98" s="32">
        <f>IF($B98="","",SUMPRODUCT(((G98:N98="Accepted")+(G98:N98="Not Needed"))*(Settings!$C$11:$J$11="Yes")))</f>
        <v/>
      </c>
      <c r="Q98" s="32">
        <f>IF($B98="","",SUMPRODUCT(((G98:N98="Accepted")+(G98:N98="Not Needed"))*(Settings!$C$15:$J$15="Yes")))</f>
        <v/>
      </c>
      <c r="R98" s="33">
        <f>IF($B98="","",IF($D98="No","No PTO/PTA",IF($D98&lt;&gt;"Yes","Not Yet Confirmed",IF($Q98&gt;=Settings!$C$13,"Legalized",IF($P98&gt;=Settings!$C$12,"Registered",IF($O98&gt;0,"In Progress","Not Started"))))))</f>
        <v/>
      </c>
      <c r="S98" s="32">
        <f>IF($B98="","",COUNTIF(G98:N98,"Received"))</f>
        <v/>
      </c>
      <c r="T98" s="32">
        <f>IF($B98="","",COUNTIF(G98:N98,"Needs Correction"))</f>
        <v/>
      </c>
      <c r="U98" s="33">
        <f>IF($B98="","",IF($D98&lt;&gt;"Yes","",IF($Q98&gt;=Settings!$C$13,"None",MID(IF(AND(G98&lt;&gt;"Accepted",G98&lt;&gt;"Not Needed",Settings!$C$15="Yes"),", "&amp;G$1,"")&amp;IF(AND(H98&lt;&gt;"Accepted",H98&lt;&gt;"Not Needed",Settings!$D$15="Yes"),", "&amp;H$1,"")&amp;IF(AND(I98&lt;&gt;"Accepted",I98&lt;&gt;"Not Needed",Settings!$E$15="Yes"),", "&amp;I$1,"")&amp;IF(AND(J98&lt;&gt;"Accepted",J98&lt;&gt;"Not Needed",Settings!$F$15="Yes"),", "&amp;J$1,"")&amp;IF(AND(K98&lt;&gt;"Accepted",K98&lt;&gt;"Not Needed",Settings!$G$15="Yes"),", "&amp;K$1,"")&amp;IF(AND(L98&lt;&gt;"Accepted",L98&lt;&gt;"Not Needed",Settings!$H$15="Yes"),", "&amp;L$1,"")&amp;IF(AND(M98&lt;&gt;"Accepted",M98&lt;&gt;"Not Needed",Settings!$I$15="Yes"),", "&amp;M$1,"")&amp;IF(AND(N98&lt;&gt;"Accepted",N98&lt;&gt;"Not Needed",Settings!$J$15="Yes"),", "&amp;N$1,""),3,400))))</f>
        <v/>
      </c>
    </row>
    <row r="99" ht="15" customHeight="1" s="21">
      <c r="A99" s="31" t="inlineStr">
        <is>
          <t>2026-27</t>
        </is>
      </c>
      <c r="B99" s="31" t="inlineStr">
        <is>
          <t>Parker ES</t>
        </is>
      </c>
      <c r="C99" s="31" t="inlineStr">
        <is>
          <t>EAS Elementary</t>
        </is>
      </c>
      <c r="D99" s="31" t="inlineStr">
        <is>
          <t>Not Yet Confirmed</t>
        </is>
      </c>
      <c r="E99" s="31" t="n"/>
      <c r="F99" s="31" t="n"/>
      <c r="G99" s="31" t="inlineStr">
        <is>
          <t>Not Received</t>
        </is>
      </c>
      <c r="H99" s="31" t="inlineStr">
        <is>
          <t>Not Received</t>
        </is>
      </c>
      <c r="I99" s="31" t="inlineStr">
        <is>
          <t>Not Received</t>
        </is>
      </c>
      <c r="J99" s="31" t="inlineStr">
        <is>
          <t>Not Received</t>
        </is>
      </c>
      <c r="K99" s="31" t="inlineStr">
        <is>
          <t>Not Received</t>
        </is>
      </c>
      <c r="L99" s="31" t="inlineStr">
        <is>
          <t>Not Received</t>
        </is>
      </c>
      <c r="M99" s="31" t="inlineStr">
        <is>
          <t>Not Received</t>
        </is>
      </c>
      <c r="N99" s="31" t="inlineStr">
        <is>
          <t>Not Received</t>
        </is>
      </c>
      <c r="O99" s="32">
        <f>IF($B99="","",COUNTIF(G99:N99,"Accepted")+COUNTIF(G99:N99,"Received")+COUNTIF(G99:N99,"Needs Correction"))</f>
        <v/>
      </c>
      <c r="P99" s="32">
        <f>IF($B99="","",SUMPRODUCT(((G99:N99="Accepted")+(G99:N99="Not Needed"))*(Settings!$C$11:$J$11="Yes")))</f>
        <v/>
      </c>
      <c r="Q99" s="32">
        <f>IF($B99="","",SUMPRODUCT(((G99:N99="Accepted")+(G99:N99="Not Needed"))*(Settings!$C$15:$J$15="Yes")))</f>
        <v/>
      </c>
      <c r="R99" s="33">
        <f>IF($B99="","",IF($D99="No","No PTO/PTA",IF($D99&lt;&gt;"Yes","Not Yet Confirmed",IF($Q99&gt;=Settings!$C$13,"Legalized",IF($P99&gt;=Settings!$C$12,"Registered",IF($O99&gt;0,"In Progress","Not Started"))))))</f>
        <v/>
      </c>
      <c r="S99" s="32">
        <f>IF($B99="","",COUNTIF(G99:N99,"Received"))</f>
        <v/>
      </c>
      <c r="T99" s="32">
        <f>IF($B99="","",COUNTIF(G99:N99,"Needs Correction"))</f>
        <v/>
      </c>
      <c r="U99" s="33">
        <f>IF($B99="","",IF($D99&lt;&gt;"Yes","",IF($Q99&gt;=Settings!$C$13,"None",MID(IF(AND(G99&lt;&gt;"Accepted",G99&lt;&gt;"Not Needed",Settings!$C$15="Yes"),", "&amp;G$1,"")&amp;IF(AND(H99&lt;&gt;"Accepted",H99&lt;&gt;"Not Needed",Settings!$D$15="Yes"),", "&amp;H$1,"")&amp;IF(AND(I99&lt;&gt;"Accepted",I99&lt;&gt;"Not Needed",Settings!$E$15="Yes"),", "&amp;I$1,"")&amp;IF(AND(J99&lt;&gt;"Accepted",J99&lt;&gt;"Not Needed",Settings!$F$15="Yes"),", "&amp;J$1,"")&amp;IF(AND(K99&lt;&gt;"Accepted",K99&lt;&gt;"Not Needed",Settings!$G$15="Yes"),", "&amp;K$1,"")&amp;IF(AND(L99&lt;&gt;"Accepted",L99&lt;&gt;"Not Needed",Settings!$H$15="Yes"),", "&amp;L$1,"")&amp;IF(AND(M99&lt;&gt;"Accepted",M99&lt;&gt;"Not Needed",Settings!$I$15="Yes"),", "&amp;M$1,"")&amp;IF(AND(N99&lt;&gt;"Accepted",N99&lt;&gt;"Not Needed",Settings!$J$15="Yes"),", "&amp;N$1,""),3,400))))</f>
        <v/>
      </c>
    </row>
    <row r="100" ht="15" customHeight="1" s="21">
      <c r="A100" s="31" t="inlineStr">
        <is>
          <t>2026-27</t>
        </is>
      </c>
      <c r="B100" s="31" t="inlineStr">
        <is>
          <t>Patterson ES</t>
        </is>
      </c>
      <c r="C100" s="31" t="inlineStr">
        <is>
          <t>EAS Elementary</t>
        </is>
      </c>
      <c r="D100" s="31" t="inlineStr">
        <is>
          <t>Not Yet Confirmed</t>
        </is>
      </c>
      <c r="E100" s="31" t="n"/>
      <c r="F100" s="31" t="n"/>
      <c r="G100" s="31" t="inlineStr">
        <is>
          <t>Not Received</t>
        </is>
      </c>
      <c r="H100" s="31" t="inlineStr">
        <is>
          <t>Not Received</t>
        </is>
      </c>
      <c r="I100" s="31" t="inlineStr">
        <is>
          <t>Not Received</t>
        </is>
      </c>
      <c r="J100" s="31" t="inlineStr">
        <is>
          <t>Not Received</t>
        </is>
      </c>
      <c r="K100" s="31" t="inlineStr">
        <is>
          <t>Not Received</t>
        </is>
      </c>
      <c r="L100" s="31" t="inlineStr">
        <is>
          <t>Not Received</t>
        </is>
      </c>
      <c r="M100" s="31" t="inlineStr">
        <is>
          <t>Not Received</t>
        </is>
      </c>
      <c r="N100" s="31" t="inlineStr">
        <is>
          <t>Not Received</t>
        </is>
      </c>
      <c r="O100" s="32">
        <f>IF($B100="","",COUNTIF(G100:N100,"Accepted")+COUNTIF(G100:N100,"Received")+COUNTIF(G100:N100,"Needs Correction"))</f>
        <v/>
      </c>
      <c r="P100" s="32">
        <f>IF($B100="","",SUMPRODUCT(((G100:N100="Accepted")+(G100:N100="Not Needed"))*(Settings!$C$11:$J$11="Yes")))</f>
        <v/>
      </c>
      <c r="Q100" s="32">
        <f>IF($B100="","",SUMPRODUCT(((G100:N100="Accepted")+(G100:N100="Not Needed"))*(Settings!$C$15:$J$15="Yes")))</f>
        <v/>
      </c>
      <c r="R100" s="33">
        <f>IF($B100="","",IF($D100="No","No PTO/PTA",IF($D100&lt;&gt;"Yes","Not Yet Confirmed",IF($Q100&gt;=Settings!$C$13,"Legalized",IF($P100&gt;=Settings!$C$12,"Registered",IF($O100&gt;0,"In Progress","Not Started"))))))</f>
        <v/>
      </c>
      <c r="S100" s="32">
        <f>IF($B100="","",COUNTIF(G100:N100,"Received"))</f>
        <v/>
      </c>
      <c r="T100" s="32">
        <f>IF($B100="","",COUNTIF(G100:N100,"Needs Correction"))</f>
        <v/>
      </c>
      <c r="U100" s="33">
        <f>IF($B100="","",IF($D100&lt;&gt;"Yes","",IF($Q100&gt;=Settings!$C$13,"None",MID(IF(AND(G100&lt;&gt;"Accepted",G100&lt;&gt;"Not Needed",Settings!$C$15="Yes"),", "&amp;G$1,"")&amp;IF(AND(H100&lt;&gt;"Accepted",H100&lt;&gt;"Not Needed",Settings!$D$15="Yes"),", "&amp;H$1,"")&amp;IF(AND(I100&lt;&gt;"Accepted",I100&lt;&gt;"Not Needed",Settings!$E$15="Yes"),", "&amp;I$1,"")&amp;IF(AND(J100&lt;&gt;"Accepted",J100&lt;&gt;"Not Needed",Settings!$F$15="Yes"),", "&amp;J$1,"")&amp;IF(AND(K100&lt;&gt;"Accepted",K100&lt;&gt;"Not Needed",Settings!$G$15="Yes"),", "&amp;K$1,"")&amp;IF(AND(L100&lt;&gt;"Accepted",L100&lt;&gt;"Not Needed",Settings!$H$15="Yes"),", "&amp;L$1,"")&amp;IF(AND(M100&lt;&gt;"Accepted",M100&lt;&gt;"Not Needed",Settings!$I$15="Yes"),", "&amp;M$1,"")&amp;IF(AND(N100&lt;&gt;"Accepted",N100&lt;&gt;"Not Needed",Settings!$J$15="Yes"),", "&amp;N$1,""),3,400))))</f>
        <v/>
      </c>
    </row>
    <row r="101" ht="15" customHeight="1" s="21">
      <c r="A101" s="31" t="inlineStr">
        <is>
          <t>2026-27</t>
        </is>
      </c>
      <c r="B101" s="31" t="inlineStr">
        <is>
          <t>Piney Point ES</t>
        </is>
      </c>
      <c r="C101" s="31" t="inlineStr">
        <is>
          <t>EAS Elementary</t>
        </is>
      </c>
      <c r="D101" s="31" t="inlineStr">
        <is>
          <t>Not Yet Confirmed</t>
        </is>
      </c>
      <c r="E101" s="31" t="n"/>
      <c r="F101" s="31" t="n"/>
      <c r="G101" s="31" t="inlineStr">
        <is>
          <t>Not Received</t>
        </is>
      </c>
      <c r="H101" s="31" t="inlineStr">
        <is>
          <t>Not Received</t>
        </is>
      </c>
      <c r="I101" s="31" t="inlineStr">
        <is>
          <t>Not Received</t>
        </is>
      </c>
      <c r="J101" s="31" t="inlineStr">
        <is>
          <t>Not Received</t>
        </is>
      </c>
      <c r="K101" s="31" t="inlineStr">
        <is>
          <t>Not Received</t>
        </is>
      </c>
      <c r="L101" s="31" t="inlineStr">
        <is>
          <t>Not Received</t>
        </is>
      </c>
      <c r="M101" s="31" t="inlineStr">
        <is>
          <t>Not Received</t>
        </is>
      </c>
      <c r="N101" s="31" t="inlineStr">
        <is>
          <t>Not Received</t>
        </is>
      </c>
      <c r="O101" s="32">
        <f>IF($B101="","",COUNTIF(G101:N101,"Accepted")+COUNTIF(G101:N101,"Received")+COUNTIF(G101:N101,"Needs Correction"))</f>
        <v/>
      </c>
      <c r="P101" s="32">
        <f>IF($B101="","",SUMPRODUCT(((G101:N101="Accepted")+(G101:N101="Not Needed"))*(Settings!$C$11:$J$11="Yes")))</f>
        <v/>
      </c>
      <c r="Q101" s="32">
        <f>IF($B101="","",SUMPRODUCT(((G101:N101="Accepted")+(G101:N101="Not Needed"))*(Settings!$C$15:$J$15="Yes")))</f>
        <v/>
      </c>
      <c r="R101" s="33">
        <f>IF($B101="","",IF($D101="No","No PTO/PTA",IF($D101&lt;&gt;"Yes","Not Yet Confirmed",IF($Q101&gt;=Settings!$C$13,"Legalized",IF($P101&gt;=Settings!$C$12,"Registered",IF($O101&gt;0,"In Progress","Not Started"))))))</f>
        <v/>
      </c>
      <c r="S101" s="32">
        <f>IF($B101="","",COUNTIF(G101:N101,"Received"))</f>
        <v/>
      </c>
      <c r="T101" s="32">
        <f>IF($B101="","",COUNTIF(G101:N101,"Needs Correction"))</f>
        <v/>
      </c>
      <c r="U101" s="33">
        <f>IF($B101="","",IF($D101&lt;&gt;"Yes","",IF($Q101&gt;=Settings!$C$13,"None",MID(IF(AND(G101&lt;&gt;"Accepted",G101&lt;&gt;"Not Needed",Settings!$C$15="Yes"),", "&amp;G$1,"")&amp;IF(AND(H101&lt;&gt;"Accepted",H101&lt;&gt;"Not Needed",Settings!$D$15="Yes"),", "&amp;H$1,"")&amp;IF(AND(I101&lt;&gt;"Accepted",I101&lt;&gt;"Not Needed",Settings!$E$15="Yes"),", "&amp;I$1,"")&amp;IF(AND(J101&lt;&gt;"Accepted",J101&lt;&gt;"Not Needed",Settings!$F$15="Yes"),", "&amp;J$1,"")&amp;IF(AND(K101&lt;&gt;"Accepted",K101&lt;&gt;"Not Needed",Settings!$G$15="Yes"),", "&amp;K$1,"")&amp;IF(AND(L101&lt;&gt;"Accepted",L101&lt;&gt;"Not Needed",Settings!$H$15="Yes"),", "&amp;L$1,"")&amp;IF(AND(M101&lt;&gt;"Accepted",M101&lt;&gt;"Not Needed",Settings!$I$15="Yes"),", "&amp;M$1,"")&amp;IF(AND(N101&lt;&gt;"Accepted",N101&lt;&gt;"Not Needed",Settings!$J$15="Yes"),", "&amp;N$1,""),3,400))))</f>
        <v/>
      </c>
    </row>
    <row r="102" ht="15" customHeight="1" s="21">
      <c r="A102" s="31" t="inlineStr">
        <is>
          <t>2026-27</t>
        </is>
      </c>
      <c r="B102" s="31" t="inlineStr">
        <is>
          <t>Poe ES</t>
        </is>
      </c>
      <c r="C102" s="31" t="inlineStr">
        <is>
          <t>EAS Elementary</t>
        </is>
      </c>
      <c r="D102" s="31" t="inlineStr">
        <is>
          <t>Not Yet Confirmed</t>
        </is>
      </c>
      <c r="E102" s="31" t="n"/>
      <c r="F102" s="31" t="n"/>
      <c r="G102" s="31" t="inlineStr">
        <is>
          <t>Not Received</t>
        </is>
      </c>
      <c r="H102" s="31" t="inlineStr">
        <is>
          <t>Not Received</t>
        </is>
      </c>
      <c r="I102" s="31" t="inlineStr">
        <is>
          <t>Not Received</t>
        </is>
      </c>
      <c r="J102" s="31" t="inlineStr">
        <is>
          <t>Not Received</t>
        </is>
      </c>
      <c r="K102" s="31" t="inlineStr">
        <is>
          <t>Not Received</t>
        </is>
      </c>
      <c r="L102" s="31" t="inlineStr">
        <is>
          <t>Not Received</t>
        </is>
      </c>
      <c r="M102" s="31" t="inlineStr">
        <is>
          <t>Not Received</t>
        </is>
      </c>
      <c r="N102" s="31" t="inlineStr">
        <is>
          <t>Not Received</t>
        </is>
      </c>
      <c r="O102" s="32">
        <f>IF($B102="","",COUNTIF(G102:N102,"Accepted")+COUNTIF(G102:N102,"Received")+COUNTIF(G102:N102,"Needs Correction"))</f>
        <v/>
      </c>
      <c r="P102" s="32">
        <f>IF($B102="","",SUMPRODUCT(((G102:N102="Accepted")+(G102:N102="Not Needed"))*(Settings!$C$11:$J$11="Yes")))</f>
        <v/>
      </c>
      <c r="Q102" s="32">
        <f>IF($B102="","",SUMPRODUCT(((G102:N102="Accepted")+(G102:N102="Not Needed"))*(Settings!$C$15:$J$15="Yes")))</f>
        <v/>
      </c>
      <c r="R102" s="33">
        <f>IF($B102="","",IF($D102="No","No PTO/PTA",IF($D102&lt;&gt;"Yes","Not Yet Confirmed",IF($Q102&gt;=Settings!$C$13,"Legalized",IF($P102&gt;=Settings!$C$12,"Registered",IF($O102&gt;0,"In Progress","Not Started"))))))</f>
        <v/>
      </c>
      <c r="S102" s="32">
        <f>IF($B102="","",COUNTIF(G102:N102,"Received"))</f>
        <v/>
      </c>
      <c r="T102" s="32">
        <f>IF($B102="","",COUNTIF(G102:N102,"Needs Correction"))</f>
        <v/>
      </c>
      <c r="U102" s="33">
        <f>IF($B102="","",IF($D102&lt;&gt;"Yes","",IF($Q102&gt;=Settings!$C$13,"None",MID(IF(AND(G102&lt;&gt;"Accepted",G102&lt;&gt;"Not Needed",Settings!$C$15="Yes"),", "&amp;G$1,"")&amp;IF(AND(H102&lt;&gt;"Accepted",H102&lt;&gt;"Not Needed",Settings!$D$15="Yes"),", "&amp;H$1,"")&amp;IF(AND(I102&lt;&gt;"Accepted",I102&lt;&gt;"Not Needed",Settings!$E$15="Yes"),", "&amp;I$1,"")&amp;IF(AND(J102&lt;&gt;"Accepted",J102&lt;&gt;"Not Needed",Settings!$F$15="Yes"),", "&amp;J$1,"")&amp;IF(AND(K102&lt;&gt;"Accepted",K102&lt;&gt;"Not Needed",Settings!$G$15="Yes"),", "&amp;K$1,"")&amp;IF(AND(L102&lt;&gt;"Accepted",L102&lt;&gt;"Not Needed",Settings!$H$15="Yes"),", "&amp;L$1,"")&amp;IF(AND(M102&lt;&gt;"Accepted",M102&lt;&gt;"Not Needed",Settings!$I$15="Yes"),", "&amp;M$1,"")&amp;IF(AND(N102&lt;&gt;"Accepted",N102&lt;&gt;"Not Needed",Settings!$J$15="Yes"),", "&amp;N$1,""),3,400))))</f>
        <v/>
      </c>
    </row>
    <row r="103" ht="15" customHeight="1" s="21">
      <c r="A103" s="31" t="inlineStr">
        <is>
          <t>2026-27</t>
        </is>
      </c>
      <c r="B103" s="31" t="inlineStr">
        <is>
          <t>Red ES</t>
        </is>
      </c>
      <c r="C103" s="31" t="inlineStr">
        <is>
          <t>EAS Elementary</t>
        </is>
      </c>
      <c r="D103" s="31" t="inlineStr">
        <is>
          <t>Not Yet Confirmed</t>
        </is>
      </c>
      <c r="E103" s="31" t="n"/>
      <c r="F103" s="31" t="n"/>
      <c r="G103" s="31" t="inlineStr">
        <is>
          <t>Not Received</t>
        </is>
      </c>
      <c r="H103" s="31" t="inlineStr">
        <is>
          <t>Not Received</t>
        </is>
      </c>
      <c r="I103" s="31" t="inlineStr">
        <is>
          <t>Not Received</t>
        </is>
      </c>
      <c r="J103" s="31" t="inlineStr">
        <is>
          <t>Not Received</t>
        </is>
      </c>
      <c r="K103" s="31" t="inlineStr">
        <is>
          <t>Not Received</t>
        </is>
      </c>
      <c r="L103" s="31" t="inlineStr">
        <is>
          <t>Not Received</t>
        </is>
      </c>
      <c r="M103" s="31" t="inlineStr">
        <is>
          <t>Not Received</t>
        </is>
      </c>
      <c r="N103" s="31" t="inlineStr">
        <is>
          <t>Not Received</t>
        </is>
      </c>
      <c r="O103" s="32">
        <f>IF($B103="","",COUNTIF(G103:N103,"Accepted")+COUNTIF(G103:N103,"Received")+COUNTIF(G103:N103,"Needs Correction"))</f>
        <v/>
      </c>
      <c r="P103" s="32">
        <f>IF($B103="","",SUMPRODUCT(((G103:N103="Accepted")+(G103:N103="Not Needed"))*(Settings!$C$11:$J$11="Yes")))</f>
        <v/>
      </c>
      <c r="Q103" s="32">
        <f>IF($B103="","",SUMPRODUCT(((G103:N103="Accepted")+(G103:N103="Not Needed"))*(Settings!$C$15:$J$15="Yes")))</f>
        <v/>
      </c>
      <c r="R103" s="33">
        <f>IF($B103="","",IF($D103="No","No PTO/PTA",IF($D103&lt;&gt;"Yes","Not Yet Confirmed",IF($Q103&gt;=Settings!$C$13,"Legalized",IF($P103&gt;=Settings!$C$12,"Registered",IF($O103&gt;0,"In Progress","Not Started"))))))</f>
        <v/>
      </c>
      <c r="S103" s="32">
        <f>IF($B103="","",COUNTIF(G103:N103,"Received"))</f>
        <v/>
      </c>
      <c r="T103" s="32">
        <f>IF($B103="","",COUNTIF(G103:N103,"Needs Correction"))</f>
        <v/>
      </c>
      <c r="U103" s="33">
        <f>IF($B103="","",IF($D103&lt;&gt;"Yes","",IF($Q103&gt;=Settings!$C$13,"None",MID(IF(AND(G103&lt;&gt;"Accepted",G103&lt;&gt;"Not Needed",Settings!$C$15="Yes"),", "&amp;G$1,"")&amp;IF(AND(H103&lt;&gt;"Accepted",H103&lt;&gt;"Not Needed",Settings!$D$15="Yes"),", "&amp;H$1,"")&amp;IF(AND(I103&lt;&gt;"Accepted",I103&lt;&gt;"Not Needed",Settings!$E$15="Yes"),", "&amp;I$1,"")&amp;IF(AND(J103&lt;&gt;"Accepted",J103&lt;&gt;"Not Needed",Settings!$F$15="Yes"),", "&amp;J$1,"")&amp;IF(AND(K103&lt;&gt;"Accepted",K103&lt;&gt;"Not Needed",Settings!$G$15="Yes"),", "&amp;K$1,"")&amp;IF(AND(L103&lt;&gt;"Accepted",L103&lt;&gt;"Not Needed",Settings!$H$15="Yes"),", "&amp;L$1,"")&amp;IF(AND(M103&lt;&gt;"Accepted",M103&lt;&gt;"Not Needed",Settings!$I$15="Yes"),", "&amp;M$1,"")&amp;IF(AND(N103&lt;&gt;"Accepted",N103&lt;&gt;"Not Needed",Settings!$J$15="Yes"),", "&amp;N$1,""),3,400))))</f>
        <v/>
      </c>
    </row>
    <row r="104" ht="15" customHeight="1" s="21">
      <c r="A104" s="31" t="inlineStr">
        <is>
          <t>2026-27</t>
        </is>
      </c>
      <c r="B104" s="31" t="inlineStr">
        <is>
          <t>Rice School K-8</t>
        </is>
      </c>
      <c r="C104" s="31" t="inlineStr">
        <is>
          <t>EAS Elementary</t>
        </is>
      </c>
      <c r="D104" s="31" t="inlineStr">
        <is>
          <t>Not Yet Confirmed</t>
        </is>
      </c>
      <c r="E104" s="31" t="n"/>
      <c r="F104" s="31" t="n"/>
      <c r="G104" s="31" t="inlineStr">
        <is>
          <t>Not Received</t>
        </is>
      </c>
      <c r="H104" s="31" t="inlineStr">
        <is>
          <t>Not Received</t>
        </is>
      </c>
      <c r="I104" s="31" t="inlineStr">
        <is>
          <t>Not Received</t>
        </is>
      </c>
      <c r="J104" s="31" t="inlineStr">
        <is>
          <t>Not Received</t>
        </is>
      </c>
      <c r="K104" s="31" t="inlineStr">
        <is>
          <t>Not Received</t>
        </is>
      </c>
      <c r="L104" s="31" t="inlineStr">
        <is>
          <t>Not Received</t>
        </is>
      </c>
      <c r="M104" s="31" t="inlineStr">
        <is>
          <t>Not Received</t>
        </is>
      </c>
      <c r="N104" s="31" t="inlineStr">
        <is>
          <t>Not Received</t>
        </is>
      </c>
      <c r="O104" s="32">
        <f>IF($B104="","",COUNTIF(G104:N104,"Accepted")+COUNTIF(G104:N104,"Received")+COUNTIF(G104:N104,"Needs Correction"))</f>
        <v/>
      </c>
      <c r="P104" s="32">
        <f>IF($B104="","",SUMPRODUCT(((G104:N104="Accepted")+(G104:N104="Not Needed"))*(Settings!$C$11:$J$11="Yes")))</f>
        <v/>
      </c>
      <c r="Q104" s="32">
        <f>IF($B104="","",SUMPRODUCT(((G104:N104="Accepted")+(G104:N104="Not Needed"))*(Settings!$C$15:$J$15="Yes")))</f>
        <v/>
      </c>
      <c r="R104" s="33">
        <f>IF($B104="","",IF($D104="No","No PTO/PTA",IF($D104&lt;&gt;"Yes","Not Yet Confirmed",IF($Q104&gt;=Settings!$C$13,"Legalized",IF($P104&gt;=Settings!$C$12,"Registered",IF($O104&gt;0,"In Progress","Not Started"))))))</f>
        <v/>
      </c>
      <c r="S104" s="32">
        <f>IF($B104="","",COUNTIF(G104:N104,"Received"))</f>
        <v/>
      </c>
      <c r="T104" s="32">
        <f>IF($B104="","",COUNTIF(G104:N104,"Needs Correction"))</f>
        <v/>
      </c>
      <c r="U104" s="33">
        <f>IF($B104="","",IF($D104&lt;&gt;"Yes","",IF($Q104&gt;=Settings!$C$13,"None",MID(IF(AND(G104&lt;&gt;"Accepted",G104&lt;&gt;"Not Needed",Settings!$C$15="Yes"),", "&amp;G$1,"")&amp;IF(AND(H104&lt;&gt;"Accepted",H104&lt;&gt;"Not Needed",Settings!$D$15="Yes"),", "&amp;H$1,"")&amp;IF(AND(I104&lt;&gt;"Accepted",I104&lt;&gt;"Not Needed",Settings!$E$15="Yes"),", "&amp;I$1,"")&amp;IF(AND(J104&lt;&gt;"Accepted",J104&lt;&gt;"Not Needed",Settings!$F$15="Yes"),", "&amp;J$1,"")&amp;IF(AND(K104&lt;&gt;"Accepted",K104&lt;&gt;"Not Needed",Settings!$G$15="Yes"),", "&amp;K$1,"")&amp;IF(AND(L104&lt;&gt;"Accepted",L104&lt;&gt;"Not Needed",Settings!$H$15="Yes"),", "&amp;L$1,"")&amp;IF(AND(M104&lt;&gt;"Accepted",M104&lt;&gt;"Not Needed",Settings!$I$15="Yes"),", "&amp;M$1,"")&amp;IF(AND(N104&lt;&gt;"Accepted",N104&lt;&gt;"Not Needed",Settings!$J$15="Yes"),", "&amp;N$1,""),3,400))))</f>
        <v/>
      </c>
    </row>
    <row r="105" ht="15" customHeight="1" s="21">
      <c r="A105" s="31" t="inlineStr">
        <is>
          <t>2026-27</t>
        </is>
      </c>
      <c r="B105" s="31" t="inlineStr">
        <is>
          <t>River Oaks ES</t>
        </is>
      </c>
      <c r="C105" s="31" t="inlineStr">
        <is>
          <t>EAS Elementary</t>
        </is>
      </c>
      <c r="D105" s="31" t="inlineStr">
        <is>
          <t>Not Yet Confirmed</t>
        </is>
      </c>
      <c r="E105" s="31" t="n"/>
      <c r="F105" s="31" t="n"/>
      <c r="G105" s="31" t="inlineStr">
        <is>
          <t>Not Received</t>
        </is>
      </c>
      <c r="H105" s="31" t="inlineStr">
        <is>
          <t>Not Received</t>
        </is>
      </c>
      <c r="I105" s="31" t="inlineStr">
        <is>
          <t>Not Received</t>
        </is>
      </c>
      <c r="J105" s="31" t="inlineStr">
        <is>
          <t>Not Received</t>
        </is>
      </c>
      <c r="K105" s="31" t="inlineStr">
        <is>
          <t>Not Received</t>
        </is>
      </c>
      <c r="L105" s="31" t="inlineStr">
        <is>
          <t>Not Received</t>
        </is>
      </c>
      <c r="M105" s="31" t="inlineStr">
        <is>
          <t>Not Received</t>
        </is>
      </c>
      <c r="N105" s="31" t="inlineStr">
        <is>
          <t>Not Received</t>
        </is>
      </c>
      <c r="O105" s="32">
        <f>IF($B105="","",COUNTIF(G105:N105,"Accepted")+COUNTIF(G105:N105,"Received")+COUNTIF(G105:N105,"Needs Correction"))</f>
        <v/>
      </c>
      <c r="P105" s="32">
        <f>IF($B105="","",SUMPRODUCT(((G105:N105="Accepted")+(G105:N105="Not Needed"))*(Settings!$C$11:$J$11="Yes")))</f>
        <v/>
      </c>
      <c r="Q105" s="32">
        <f>IF($B105="","",SUMPRODUCT(((G105:N105="Accepted")+(G105:N105="Not Needed"))*(Settings!$C$15:$J$15="Yes")))</f>
        <v/>
      </c>
      <c r="R105" s="33">
        <f>IF($B105="","",IF($D105="No","No PTO/PTA",IF($D105&lt;&gt;"Yes","Not Yet Confirmed",IF($Q105&gt;=Settings!$C$13,"Legalized",IF($P105&gt;=Settings!$C$12,"Registered",IF($O105&gt;0,"In Progress","Not Started"))))))</f>
        <v/>
      </c>
      <c r="S105" s="32">
        <f>IF($B105="","",COUNTIF(G105:N105,"Received"))</f>
        <v/>
      </c>
      <c r="T105" s="32">
        <f>IF($B105="","",COUNTIF(G105:N105,"Needs Correction"))</f>
        <v/>
      </c>
      <c r="U105" s="33">
        <f>IF($B105="","",IF($D105&lt;&gt;"Yes","",IF($Q105&gt;=Settings!$C$13,"None",MID(IF(AND(G105&lt;&gt;"Accepted",G105&lt;&gt;"Not Needed",Settings!$C$15="Yes"),", "&amp;G$1,"")&amp;IF(AND(H105&lt;&gt;"Accepted",H105&lt;&gt;"Not Needed",Settings!$D$15="Yes"),", "&amp;H$1,"")&amp;IF(AND(I105&lt;&gt;"Accepted",I105&lt;&gt;"Not Needed",Settings!$E$15="Yes"),", "&amp;I$1,"")&amp;IF(AND(J105&lt;&gt;"Accepted",J105&lt;&gt;"Not Needed",Settings!$F$15="Yes"),", "&amp;J$1,"")&amp;IF(AND(K105&lt;&gt;"Accepted",K105&lt;&gt;"Not Needed",Settings!$G$15="Yes"),", "&amp;K$1,"")&amp;IF(AND(L105&lt;&gt;"Accepted",L105&lt;&gt;"Not Needed",Settings!$H$15="Yes"),", "&amp;L$1,"")&amp;IF(AND(M105&lt;&gt;"Accepted",M105&lt;&gt;"Not Needed",Settings!$I$15="Yes"),", "&amp;M$1,"")&amp;IF(AND(N105&lt;&gt;"Accepted",N105&lt;&gt;"Not Needed",Settings!$J$15="Yes"),", "&amp;N$1,""),3,400))))</f>
        <v/>
      </c>
    </row>
    <row r="106" ht="15" customHeight="1" s="21">
      <c r="A106" s="31" t="inlineStr">
        <is>
          <t>2026-27</t>
        </is>
      </c>
      <c r="B106" s="31" t="inlineStr">
        <is>
          <t>Roberts ES</t>
        </is>
      </c>
      <c r="C106" s="31" t="inlineStr">
        <is>
          <t>EAS Elementary</t>
        </is>
      </c>
      <c r="D106" s="31" t="inlineStr">
        <is>
          <t>Not Yet Confirmed</t>
        </is>
      </c>
      <c r="E106" s="31" t="n"/>
      <c r="F106" s="31" t="n"/>
      <c r="G106" s="31" t="inlineStr">
        <is>
          <t>Not Received</t>
        </is>
      </c>
      <c r="H106" s="31" t="inlineStr">
        <is>
          <t>Not Received</t>
        </is>
      </c>
      <c r="I106" s="31" t="inlineStr">
        <is>
          <t>Not Received</t>
        </is>
      </c>
      <c r="J106" s="31" t="inlineStr">
        <is>
          <t>Not Received</t>
        </is>
      </c>
      <c r="K106" s="31" t="inlineStr">
        <is>
          <t>Not Received</t>
        </is>
      </c>
      <c r="L106" s="31" t="inlineStr">
        <is>
          <t>Not Received</t>
        </is>
      </c>
      <c r="M106" s="31" t="inlineStr">
        <is>
          <t>Not Received</t>
        </is>
      </c>
      <c r="N106" s="31" t="inlineStr">
        <is>
          <t>Not Received</t>
        </is>
      </c>
      <c r="O106" s="32">
        <f>IF($B106="","",COUNTIF(G106:N106,"Accepted")+COUNTIF(G106:N106,"Received")+COUNTIF(G106:N106,"Needs Correction"))</f>
        <v/>
      </c>
      <c r="P106" s="32">
        <f>IF($B106="","",SUMPRODUCT(((G106:N106="Accepted")+(G106:N106="Not Needed"))*(Settings!$C$11:$J$11="Yes")))</f>
        <v/>
      </c>
      <c r="Q106" s="32">
        <f>IF($B106="","",SUMPRODUCT(((G106:N106="Accepted")+(G106:N106="Not Needed"))*(Settings!$C$15:$J$15="Yes")))</f>
        <v/>
      </c>
      <c r="R106" s="33">
        <f>IF($B106="","",IF($D106="No","No PTO/PTA",IF($D106&lt;&gt;"Yes","Not Yet Confirmed",IF($Q106&gt;=Settings!$C$13,"Legalized",IF($P106&gt;=Settings!$C$12,"Registered",IF($O106&gt;0,"In Progress","Not Started"))))))</f>
        <v/>
      </c>
      <c r="S106" s="32">
        <f>IF($B106="","",COUNTIF(G106:N106,"Received"))</f>
        <v/>
      </c>
      <c r="T106" s="32">
        <f>IF($B106="","",COUNTIF(G106:N106,"Needs Correction"))</f>
        <v/>
      </c>
      <c r="U106" s="33">
        <f>IF($B106="","",IF($D106&lt;&gt;"Yes","",IF($Q106&gt;=Settings!$C$13,"None",MID(IF(AND(G106&lt;&gt;"Accepted",G106&lt;&gt;"Not Needed",Settings!$C$15="Yes"),", "&amp;G$1,"")&amp;IF(AND(H106&lt;&gt;"Accepted",H106&lt;&gt;"Not Needed",Settings!$D$15="Yes"),", "&amp;H$1,"")&amp;IF(AND(I106&lt;&gt;"Accepted",I106&lt;&gt;"Not Needed",Settings!$E$15="Yes"),", "&amp;I$1,"")&amp;IF(AND(J106&lt;&gt;"Accepted",J106&lt;&gt;"Not Needed",Settings!$F$15="Yes"),", "&amp;J$1,"")&amp;IF(AND(K106&lt;&gt;"Accepted",K106&lt;&gt;"Not Needed",Settings!$G$15="Yes"),", "&amp;K$1,"")&amp;IF(AND(L106&lt;&gt;"Accepted",L106&lt;&gt;"Not Needed",Settings!$H$15="Yes"),", "&amp;L$1,"")&amp;IF(AND(M106&lt;&gt;"Accepted",M106&lt;&gt;"Not Needed",Settings!$I$15="Yes"),", "&amp;M$1,"")&amp;IF(AND(N106&lt;&gt;"Accepted",N106&lt;&gt;"Not Needed",Settings!$J$15="Yes"),", "&amp;N$1,""),3,400))))</f>
        <v/>
      </c>
    </row>
    <row r="107" ht="15" customHeight="1" s="21">
      <c r="A107" s="31" t="inlineStr">
        <is>
          <t>2026-27</t>
        </is>
      </c>
      <c r="B107" s="31" t="inlineStr">
        <is>
          <t>Rogers T H</t>
        </is>
      </c>
      <c r="C107" s="31" t="inlineStr">
        <is>
          <t>EAS Elementary</t>
        </is>
      </c>
      <c r="D107" s="31" t="inlineStr">
        <is>
          <t>Not Yet Confirmed</t>
        </is>
      </c>
      <c r="E107" s="31" t="n"/>
      <c r="F107" s="31" t="n"/>
      <c r="G107" s="31" t="inlineStr">
        <is>
          <t>Not Received</t>
        </is>
      </c>
      <c r="H107" s="31" t="inlineStr">
        <is>
          <t>Not Received</t>
        </is>
      </c>
      <c r="I107" s="31" t="inlineStr">
        <is>
          <t>Not Received</t>
        </is>
      </c>
      <c r="J107" s="31" t="inlineStr">
        <is>
          <t>Not Received</t>
        </is>
      </c>
      <c r="K107" s="31" t="inlineStr">
        <is>
          <t>Not Received</t>
        </is>
      </c>
      <c r="L107" s="31" t="inlineStr">
        <is>
          <t>Not Received</t>
        </is>
      </c>
      <c r="M107" s="31" t="inlineStr">
        <is>
          <t>Not Received</t>
        </is>
      </c>
      <c r="N107" s="31" t="inlineStr">
        <is>
          <t>Not Received</t>
        </is>
      </c>
      <c r="O107" s="32">
        <f>IF($B107="","",COUNTIF(G107:N107,"Accepted")+COUNTIF(G107:N107,"Received")+COUNTIF(G107:N107,"Needs Correction"))</f>
        <v/>
      </c>
      <c r="P107" s="32">
        <f>IF($B107="","",SUMPRODUCT(((G107:N107="Accepted")+(G107:N107="Not Needed"))*(Settings!$C$11:$J$11="Yes")))</f>
        <v/>
      </c>
      <c r="Q107" s="32">
        <f>IF($B107="","",SUMPRODUCT(((G107:N107="Accepted")+(G107:N107="Not Needed"))*(Settings!$C$15:$J$15="Yes")))</f>
        <v/>
      </c>
      <c r="R107" s="33">
        <f>IF($B107="","",IF($D107="No","No PTO/PTA",IF($D107&lt;&gt;"Yes","Not Yet Confirmed",IF($Q107&gt;=Settings!$C$13,"Legalized",IF($P107&gt;=Settings!$C$12,"Registered",IF($O107&gt;0,"In Progress","Not Started"))))))</f>
        <v/>
      </c>
      <c r="S107" s="32">
        <f>IF($B107="","",COUNTIF(G107:N107,"Received"))</f>
        <v/>
      </c>
      <c r="T107" s="32">
        <f>IF($B107="","",COUNTIF(G107:N107,"Needs Correction"))</f>
        <v/>
      </c>
      <c r="U107" s="33">
        <f>IF($B107="","",IF($D107&lt;&gt;"Yes","",IF($Q107&gt;=Settings!$C$13,"None",MID(IF(AND(G107&lt;&gt;"Accepted",G107&lt;&gt;"Not Needed",Settings!$C$15="Yes"),", "&amp;G$1,"")&amp;IF(AND(H107&lt;&gt;"Accepted",H107&lt;&gt;"Not Needed",Settings!$D$15="Yes"),", "&amp;H$1,"")&amp;IF(AND(I107&lt;&gt;"Accepted",I107&lt;&gt;"Not Needed",Settings!$E$15="Yes"),", "&amp;I$1,"")&amp;IF(AND(J107&lt;&gt;"Accepted",J107&lt;&gt;"Not Needed",Settings!$F$15="Yes"),", "&amp;J$1,"")&amp;IF(AND(K107&lt;&gt;"Accepted",K107&lt;&gt;"Not Needed",Settings!$G$15="Yes"),", "&amp;K$1,"")&amp;IF(AND(L107&lt;&gt;"Accepted",L107&lt;&gt;"Not Needed",Settings!$H$15="Yes"),", "&amp;L$1,"")&amp;IF(AND(M107&lt;&gt;"Accepted",M107&lt;&gt;"Not Needed",Settings!$I$15="Yes"),", "&amp;M$1,"")&amp;IF(AND(N107&lt;&gt;"Accepted",N107&lt;&gt;"Not Needed",Settings!$J$15="Yes"),", "&amp;N$1,""),3,400))))</f>
        <v/>
      </c>
    </row>
    <row r="108" ht="15" customHeight="1" s="21">
      <c r="A108" s="31" t="inlineStr">
        <is>
          <t>2026-27</t>
        </is>
      </c>
      <c r="B108" s="31" t="inlineStr">
        <is>
          <t>Roosevelt ES</t>
        </is>
      </c>
      <c r="C108" s="31" t="inlineStr">
        <is>
          <t>EAS Elementary</t>
        </is>
      </c>
      <c r="D108" s="31" t="inlineStr">
        <is>
          <t>Not Yet Confirmed</t>
        </is>
      </c>
      <c r="E108" s="31" t="n"/>
      <c r="F108" s="31" t="n"/>
      <c r="G108" s="31" t="inlineStr">
        <is>
          <t>Not Received</t>
        </is>
      </c>
      <c r="H108" s="31" t="inlineStr">
        <is>
          <t>Not Received</t>
        </is>
      </c>
      <c r="I108" s="31" t="inlineStr">
        <is>
          <t>Not Received</t>
        </is>
      </c>
      <c r="J108" s="31" t="inlineStr">
        <is>
          <t>Not Received</t>
        </is>
      </c>
      <c r="K108" s="31" t="inlineStr">
        <is>
          <t>Not Received</t>
        </is>
      </c>
      <c r="L108" s="31" t="inlineStr">
        <is>
          <t>Not Received</t>
        </is>
      </c>
      <c r="M108" s="31" t="inlineStr">
        <is>
          <t>Not Received</t>
        </is>
      </c>
      <c r="N108" s="31" t="inlineStr">
        <is>
          <t>Not Received</t>
        </is>
      </c>
      <c r="O108" s="32">
        <f>IF($B108="","",COUNTIF(G108:N108,"Accepted")+COUNTIF(G108:N108,"Received")+COUNTIF(G108:N108,"Needs Correction"))</f>
        <v/>
      </c>
      <c r="P108" s="32">
        <f>IF($B108="","",SUMPRODUCT(((G108:N108="Accepted")+(G108:N108="Not Needed"))*(Settings!$C$11:$J$11="Yes")))</f>
        <v/>
      </c>
      <c r="Q108" s="32">
        <f>IF($B108="","",SUMPRODUCT(((G108:N108="Accepted")+(G108:N108="Not Needed"))*(Settings!$C$15:$J$15="Yes")))</f>
        <v/>
      </c>
      <c r="R108" s="33">
        <f>IF($B108="","",IF($D108="No","No PTO/PTA",IF($D108&lt;&gt;"Yes","Not Yet Confirmed",IF($Q108&gt;=Settings!$C$13,"Legalized",IF($P108&gt;=Settings!$C$12,"Registered",IF($O108&gt;0,"In Progress","Not Started"))))))</f>
        <v/>
      </c>
      <c r="S108" s="32">
        <f>IF($B108="","",COUNTIF(G108:N108,"Received"))</f>
        <v/>
      </c>
      <c r="T108" s="32">
        <f>IF($B108="","",COUNTIF(G108:N108,"Needs Correction"))</f>
        <v/>
      </c>
      <c r="U108" s="33">
        <f>IF($B108="","",IF($D108&lt;&gt;"Yes","",IF($Q108&gt;=Settings!$C$13,"None",MID(IF(AND(G108&lt;&gt;"Accepted",G108&lt;&gt;"Not Needed",Settings!$C$15="Yes"),", "&amp;G$1,"")&amp;IF(AND(H108&lt;&gt;"Accepted",H108&lt;&gt;"Not Needed",Settings!$D$15="Yes"),", "&amp;H$1,"")&amp;IF(AND(I108&lt;&gt;"Accepted",I108&lt;&gt;"Not Needed",Settings!$E$15="Yes"),", "&amp;I$1,"")&amp;IF(AND(J108&lt;&gt;"Accepted",J108&lt;&gt;"Not Needed",Settings!$F$15="Yes"),", "&amp;J$1,"")&amp;IF(AND(K108&lt;&gt;"Accepted",K108&lt;&gt;"Not Needed",Settings!$G$15="Yes"),", "&amp;K$1,"")&amp;IF(AND(L108&lt;&gt;"Accepted",L108&lt;&gt;"Not Needed",Settings!$H$15="Yes"),", "&amp;L$1,"")&amp;IF(AND(M108&lt;&gt;"Accepted",M108&lt;&gt;"Not Needed",Settings!$I$15="Yes"),", "&amp;M$1,"")&amp;IF(AND(N108&lt;&gt;"Accepted",N108&lt;&gt;"Not Needed",Settings!$J$15="Yes"),", "&amp;N$1,""),3,400))))</f>
        <v/>
      </c>
    </row>
    <row r="109" ht="15" customHeight="1" s="21">
      <c r="A109" s="31" t="inlineStr">
        <is>
          <t>2026-27</t>
        </is>
      </c>
      <c r="B109" s="31" t="inlineStr">
        <is>
          <t>Scarborough ES</t>
        </is>
      </c>
      <c r="C109" s="31" t="inlineStr">
        <is>
          <t>EAS Elementary</t>
        </is>
      </c>
      <c r="D109" s="31" t="inlineStr">
        <is>
          <t>Not Yet Confirmed</t>
        </is>
      </c>
      <c r="E109" s="31" t="n"/>
      <c r="F109" s="31" t="n"/>
      <c r="G109" s="31" t="inlineStr">
        <is>
          <t>Not Received</t>
        </is>
      </c>
      <c r="H109" s="31" t="inlineStr">
        <is>
          <t>Not Received</t>
        </is>
      </c>
      <c r="I109" s="31" t="inlineStr">
        <is>
          <t>Not Received</t>
        </is>
      </c>
      <c r="J109" s="31" t="inlineStr">
        <is>
          <t>Not Received</t>
        </is>
      </c>
      <c r="K109" s="31" t="inlineStr">
        <is>
          <t>Not Received</t>
        </is>
      </c>
      <c r="L109" s="31" t="inlineStr">
        <is>
          <t>Not Received</t>
        </is>
      </c>
      <c r="M109" s="31" t="inlineStr">
        <is>
          <t>Not Received</t>
        </is>
      </c>
      <c r="N109" s="31" t="inlineStr">
        <is>
          <t>Not Received</t>
        </is>
      </c>
      <c r="O109" s="32">
        <f>IF($B109="","",COUNTIF(G109:N109,"Accepted")+COUNTIF(G109:N109,"Received")+COUNTIF(G109:N109,"Needs Correction"))</f>
        <v/>
      </c>
      <c r="P109" s="32">
        <f>IF($B109="","",SUMPRODUCT(((G109:N109="Accepted")+(G109:N109="Not Needed"))*(Settings!$C$11:$J$11="Yes")))</f>
        <v/>
      </c>
      <c r="Q109" s="32">
        <f>IF($B109="","",SUMPRODUCT(((G109:N109="Accepted")+(G109:N109="Not Needed"))*(Settings!$C$15:$J$15="Yes")))</f>
        <v/>
      </c>
      <c r="R109" s="33">
        <f>IF($B109="","",IF($D109="No","No PTO/PTA",IF($D109&lt;&gt;"Yes","Not Yet Confirmed",IF($Q109&gt;=Settings!$C$13,"Legalized",IF($P109&gt;=Settings!$C$12,"Registered",IF($O109&gt;0,"In Progress","Not Started"))))))</f>
        <v/>
      </c>
      <c r="S109" s="32">
        <f>IF($B109="","",COUNTIF(G109:N109,"Received"))</f>
        <v/>
      </c>
      <c r="T109" s="32">
        <f>IF($B109="","",COUNTIF(G109:N109,"Needs Correction"))</f>
        <v/>
      </c>
      <c r="U109" s="33">
        <f>IF($B109="","",IF($D109&lt;&gt;"Yes","",IF($Q109&gt;=Settings!$C$13,"None",MID(IF(AND(G109&lt;&gt;"Accepted",G109&lt;&gt;"Not Needed",Settings!$C$15="Yes"),", "&amp;G$1,"")&amp;IF(AND(H109&lt;&gt;"Accepted",H109&lt;&gt;"Not Needed",Settings!$D$15="Yes"),", "&amp;H$1,"")&amp;IF(AND(I109&lt;&gt;"Accepted",I109&lt;&gt;"Not Needed",Settings!$E$15="Yes"),", "&amp;I$1,"")&amp;IF(AND(J109&lt;&gt;"Accepted",J109&lt;&gt;"Not Needed",Settings!$F$15="Yes"),", "&amp;J$1,"")&amp;IF(AND(K109&lt;&gt;"Accepted",K109&lt;&gt;"Not Needed",Settings!$G$15="Yes"),", "&amp;K$1,"")&amp;IF(AND(L109&lt;&gt;"Accepted",L109&lt;&gt;"Not Needed",Settings!$H$15="Yes"),", "&amp;L$1,"")&amp;IF(AND(M109&lt;&gt;"Accepted",M109&lt;&gt;"Not Needed",Settings!$I$15="Yes"),", "&amp;M$1,"")&amp;IF(AND(N109&lt;&gt;"Accepted",N109&lt;&gt;"Not Needed",Settings!$J$15="Yes"),", "&amp;N$1,""),3,400))))</f>
        <v/>
      </c>
    </row>
    <row r="110" ht="15" customHeight="1" s="21">
      <c r="A110" s="31" t="inlineStr">
        <is>
          <t>2026-27</t>
        </is>
      </c>
      <c r="B110" s="31" t="inlineStr">
        <is>
          <t>School at St. George ES</t>
        </is>
      </c>
      <c r="C110" s="31" t="inlineStr">
        <is>
          <t>EAS Elementary</t>
        </is>
      </c>
      <c r="D110" s="31" t="inlineStr">
        <is>
          <t>Not Yet Confirmed</t>
        </is>
      </c>
      <c r="E110" s="31" t="n"/>
      <c r="F110" s="31" t="n"/>
      <c r="G110" s="31" t="inlineStr">
        <is>
          <t>Not Received</t>
        </is>
      </c>
      <c r="H110" s="31" t="inlineStr">
        <is>
          <t>Not Received</t>
        </is>
      </c>
      <c r="I110" s="31" t="inlineStr">
        <is>
          <t>Not Received</t>
        </is>
      </c>
      <c r="J110" s="31" t="inlineStr">
        <is>
          <t>Not Received</t>
        </is>
      </c>
      <c r="K110" s="31" t="inlineStr">
        <is>
          <t>Not Received</t>
        </is>
      </c>
      <c r="L110" s="31" t="inlineStr">
        <is>
          <t>Not Received</t>
        </is>
      </c>
      <c r="M110" s="31" t="inlineStr">
        <is>
          <t>Not Received</t>
        </is>
      </c>
      <c r="N110" s="31" t="inlineStr">
        <is>
          <t>Not Received</t>
        </is>
      </c>
      <c r="O110" s="32">
        <f>IF($B110="","",COUNTIF(G110:N110,"Accepted")+COUNTIF(G110:N110,"Received")+COUNTIF(G110:N110,"Needs Correction"))</f>
        <v/>
      </c>
      <c r="P110" s="32">
        <f>IF($B110="","",SUMPRODUCT(((G110:N110="Accepted")+(G110:N110="Not Needed"))*(Settings!$C$11:$J$11="Yes")))</f>
        <v/>
      </c>
      <c r="Q110" s="32">
        <f>IF($B110="","",SUMPRODUCT(((G110:N110="Accepted")+(G110:N110="Not Needed"))*(Settings!$C$15:$J$15="Yes")))</f>
        <v/>
      </c>
      <c r="R110" s="33">
        <f>IF($B110="","",IF($D110="No","No PTO/PTA",IF($D110&lt;&gt;"Yes","Not Yet Confirmed",IF($Q110&gt;=Settings!$C$13,"Legalized",IF($P110&gt;=Settings!$C$12,"Registered",IF($O110&gt;0,"In Progress","Not Started"))))))</f>
        <v/>
      </c>
      <c r="S110" s="32">
        <f>IF($B110="","",COUNTIF(G110:N110,"Received"))</f>
        <v/>
      </c>
      <c r="T110" s="32">
        <f>IF($B110="","",COUNTIF(G110:N110,"Needs Correction"))</f>
        <v/>
      </c>
      <c r="U110" s="33">
        <f>IF($B110="","",IF($D110&lt;&gt;"Yes","",IF($Q110&gt;=Settings!$C$13,"None",MID(IF(AND(G110&lt;&gt;"Accepted",G110&lt;&gt;"Not Needed",Settings!$C$15="Yes"),", "&amp;G$1,"")&amp;IF(AND(H110&lt;&gt;"Accepted",H110&lt;&gt;"Not Needed",Settings!$D$15="Yes"),", "&amp;H$1,"")&amp;IF(AND(I110&lt;&gt;"Accepted",I110&lt;&gt;"Not Needed",Settings!$E$15="Yes"),", "&amp;I$1,"")&amp;IF(AND(J110&lt;&gt;"Accepted",J110&lt;&gt;"Not Needed",Settings!$F$15="Yes"),", "&amp;J$1,"")&amp;IF(AND(K110&lt;&gt;"Accepted",K110&lt;&gt;"Not Needed",Settings!$G$15="Yes"),", "&amp;K$1,"")&amp;IF(AND(L110&lt;&gt;"Accepted",L110&lt;&gt;"Not Needed",Settings!$H$15="Yes"),", "&amp;L$1,"")&amp;IF(AND(M110&lt;&gt;"Accepted",M110&lt;&gt;"Not Needed",Settings!$I$15="Yes"),", "&amp;M$1,"")&amp;IF(AND(N110&lt;&gt;"Accepted",N110&lt;&gt;"Not Needed",Settings!$J$15="Yes"),", "&amp;N$1,""),3,400))))</f>
        <v/>
      </c>
    </row>
    <row r="111" ht="15" customHeight="1" s="21">
      <c r="A111" s="31" t="inlineStr">
        <is>
          <t>2026-27</t>
        </is>
      </c>
      <c r="B111" s="31" t="inlineStr">
        <is>
          <t>Shadowbriar ES</t>
        </is>
      </c>
      <c r="C111" s="31" t="inlineStr">
        <is>
          <t>EAS Elementary</t>
        </is>
      </c>
      <c r="D111" s="31" t="inlineStr">
        <is>
          <t>Not Yet Confirmed</t>
        </is>
      </c>
      <c r="E111" s="31" t="n"/>
      <c r="F111" s="31" t="n"/>
      <c r="G111" s="31" t="inlineStr">
        <is>
          <t>Not Received</t>
        </is>
      </c>
      <c r="H111" s="31" t="inlineStr">
        <is>
          <t>Not Received</t>
        </is>
      </c>
      <c r="I111" s="31" t="inlineStr">
        <is>
          <t>Not Received</t>
        </is>
      </c>
      <c r="J111" s="31" t="inlineStr">
        <is>
          <t>Not Received</t>
        </is>
      </c>
      <c r="K111" s="31" t="inlineStr">
        <is>
          <t>Not Received</t>
        </is>
      </c>
      <c r="L111" s="31" t="inlineStr">
        <is>
          <t>Not Received</t>
        </is>
      </c>
      <c r="M111" s="31" t="inlineStr">
        <is>
          <t>Not Received</t>
        </is>
      </c>
      <c r="N111" s="31" t="inlineStr">
        <is>
          <t>Not Received</t>
        </is>
      </c>
      <c r="O111" s="32">
        <f>IF($B111="","",COUNTIF(G111:N111,"Accepted")+COUNTIF(G111:N111,"Received")+COUNTIF(G111:N111,"Needs Correction"))</f>
        <v/>
      </c>
      <c r="P111" s="32">
        <f>IF($B111="","",SUMPRODUCT(((G111:N111="Accepted")+(G111:N111="Not Needed"))*(Settings!$C$11:$J$11="Yes")))</f>
        <v/>
      </c>
      <c r="Q111" s="32">
        <f>IF($B111="","",SUMPRODUCT(((G111:N111="Accepted")+(G111:N111="Not Needed"))*(Settings!$C$15:$J$15="Yes")))</f>
        <v/>
      </c>
      <c r="R111" s="33">
        <f>IF($B111="","",IF($D111="No","No PTO/PTA",IF($D111&lt;&gt;"Yes","Not Yet Confirmed",IF($Q111&gt;=Settings!$C$13,"Legalized",IF($P111&gt;=Settings!$C$12,"Registered",IF($O111&gt;0,"In Progress","Not Started"))))))</f>
        <v/>
      </c>
      <c r="S111" s="32">
        <f>IF($B111="","",COUNTIF(G111:N111,"Received"))</f>
        <v/>
      </c>
      <c r="T111" s="32">
        <f>IF($B111="","",COUNTIF(G111:N111,"Needs Correction"))</f>
        <v/>
      </c>
      <c r="U111" s="33">
        <f>IF($B111="","",IF($D111&lt;&gt;"Yes","",IF($Q111&gt;=Settings!$C$13,"None",MID(IF(AND(G111&lt;&gt;"Accepted",G111&lt;&gt;"Not Needed",Settings!$C$15="Yes"),", "&amp;G$1,"")&amp;IF(AND(H111&lt;&gt;"Accepted",H111&lt;&gt;"Not Needed",Settings!$D$15="Yes"),", "&amp;H$1,"")&amp;IF(AND(I111&lt;&gt;"Accepted",I111&lt;&gt;"Not Needed",Settings!$E$15="Yes"),", "&amp;I$1,"")&amp;IF(AND(J111&lt;&gt;"Accepted",J111&lt;&gt;"Not Needed",Settings!$F$15="Yes"),", "&amp;J$1,"")&amp;IF(AND(K111&lt;&gt;"Accepted",K111&lt;&gt;"Not Needed",Settings!$G$15="Yes"),", "&amp;K$1,"")&amp;IF(AND(L111&lt;&gt;"Accepted",L111&lt;&gt;"Not Needed",Settings!$H$15="Yes"),", "&amp;L$1,"")&amp;IF(AND(M111&lt;&gt;"Accepted",M111&lt;&gt;"Not Needed",Settings!$I$15="Yes"),", "&amp;M$1,"")&amp;IF(AND(N111&lt;&gt;"Accepted",N111&lt;&gt;"Not Needed",Settings!$J$15="Yes"),", "&amp;N$1,""),3,400))))</f>
        <v/>
      </c>
    </row>
    <row r="112" ht="15" customHeight="1" s="21">
      <c r="A112" s="31" t="inlineStr">
        <is>
          <t>2026-27</t>
        </is>
      </c>
      <c r="B112" s="31" t="inlineStr">
        <is>
          <t>Shearn ES</t>
        </is>
      </c>
      <c r="C112" s="31" t="inlineStr">
        <is>
          <t>EAS Elementary</t>
        </is>
      </c>
      <c r="D112" s="31" t="inlineStr">
        <is>
          <t>No</t>
        </is>
      </c>
      <c r="E112" s="31" t="n"/>
      <c r="F112" s="31" t="n"/>
      <c r="G112" s="31" t="inlineStr">
        <is>
          <t>Not Received</t>
        </is>
      </c>
      <c r="H112" s="31" t="inlineStr">
        <is>
          <t>Not Received</t>
        </is>
      </c>
      <c r="I112" s="31" t="inlineStr">
        <is>
          <t>Not Received</t>
        </is>
      </c>
      <c r="J112" s="31" t="inlineStr">
        <is>
          <t>Not Received</t>
        </is>
      </c>
      <c r="K112" s="31" t="inlineStr">
        <is>
          <t>Not Received</t>
        </is>
      </c>
      <c r="L112" s="31" t="inlineStr">
        <is>
          <t>Not Received</t>
        </is>
      </c>
      <c r="M112" s="31" t="inlineStr">
        <is>
          <t>Not Received</t>
        </is>
      </c>
      <c r="N112" s="31" t="inlineStr">
        <is>
          <t>Not Received</t>
        </is>
      </c>
      <c r="O112" s="32">
        <f>IF($B112="","",COUNTIF(G112:N112,"Accepted")+COUNTIF(G112:N112,"Received")+COUNTIF(G112:N112,"Needs Correction"))</f>
        <v/>
      </c>
      <c r="P112" s="32">
        <f>IF($B112="","",SUMPRODUCT(((G112:N112="Accepted")+(G112:N112="Not Needed"))*(Settings!$C$11:$J$11="Yes")))</f>
        <v/>
      </c>
      <c r="Q112" s="32">
        <f>IF($B112="","",SUMPRODUCT(((G112:N112="Accepted")+(G112:N112="Not Needed"))*(Settings!$C$15:$J$15="Yes")))</f>
        <v/>
      </c>
      <c r="R112" s="33">
        <f>IF($B112="","",IF($D112="No","No PTO/PTA",IF($D112&lt;&gt;"Yes","Not Yet Confirmed",IF($Q112&gt;=Settings!$C$13,"Legalized",IF($P112&gt;=Settings!$C$12,"Registered",IF($O112&gt;0,"In Progress","Not Started"))))))</f>
        <v/>
      </c>
      <c r="S112" s="32">
        <f>IF($B112="","",COUNTIF(G112:N112,"Received"))</f>
        <v/>
      </c>
      <c r="T112" s="32">
        <f>IF($B112="","",COUNTIF(G112:N112,"Needs Correction"))</f>
        <v/>
      </c>
      <c r="U112" s="33">
        <f>IF($B112="","",IF($D112&lt;&gt;"Yes","",IF($Q112&gt;=Settings!$C$13,"None",MID(IF(AND(G112&lt;&gt;"Accepted",G112&lt;&gt;"Not Needed",Settings!$C$15="Yes"),", "&amp;G$1,"")&amp;IF(AND(H112&lt;&gt;"Accepted",H112&lt;&gt;"Not Needed",Settings!$D$15="Yes"),", "&amp;H$1,"")&amp;IF(AND(I112&lt;&gt;"Accepted",I112&lt;&gt;"Not Needed",Settings!$E$15="Yes"),", "&amp;I$1,"")&amp;IF(AND(J112&lt;&gt;"Accepted",J112&lt;&gt;"Not Needed",Settings!$F$15="Yes"),", "&amp;J$1,"")&amp;IF(AND(K112&lt;&gt;"Accepted",K112&lt;&gt;"Not Needed",Settings!$G$15="Yes"),", "&amp;K$1,"")&amp;IF(AND(L112&lt;&gt;"Accepted",L112&lt;&gt;"Not Needed",Settings!$H$15="Yes"),", "&amp;L$1,"")&amp;IF(AND(M112&lt;&gt;"Accepted",M112&lt;&gt;"Not Needed",Settings!$I$15="Yes"),", "&amp;M$1,"")&amp;IF(AND(N112&lt;&gt;"Accepted",N112&lt;&gt;"Not Needed",Settings!$J$15="Yes"),", "&amp;N$1,""),3,400))))</f>
        <v/>
      </c>
    </row>
    <row r="113" ht="15" customHeight="1" s="21">
      <c r="A113" s="31" t="inlineStr">
        <is>
          <t>2026-27</t>
        </is>
      </c>
      <c r="B113" s="31" t="inlineStr">
        <is>
          <t>Sherman ES</t>
        </is>
      </c>
      <c r="C113" s="31" t="inlineStr">
        <is>
          <t>EAS Elementary</t>
        </is>
      </c>
      <c r="D113" s="31" t="inlineStr">
        <is>
          <t>Not Yet Confirmed</t>
        </is>
      </c>
      <c r="E113" s="31" t="n"/>
      <c r="F113" s="31" t="n"/>
      <c r="G113" s="31" t="inlineStr">
        <is>
          <t>Not Received</t>
        </is>
      </c>
      <c r="H113" s="31" t="inlineStr">
        <is>
          <t>Not Received</t>
        </is>
      </c>
      <c r="I113" s="31" t="inlineStr">
        <is>
          <t>Not Received</t>
        </is>
      </c>
      <c r="J113" s="31" t="inlineStr">
        <is>
          <t>Not Received</t>
        </is>
      </c>
      <c r="K113" s="31" t="inlineStr">
        <is>
          <t>Not Received</t>
        </is>
      </c>
      <c r="L113" s="31" t="inlineStr">
        <is>
          <t>Not Received</t>
        </is>
      </c>
      <c r="M113" s="31" t="inlineStr">
        <is>
          <t>Not Received</t>
        </is>
      </c>
      <c r="N113" s="31" t="inlineStr">
        <is>
          <t>Not Received</t>
        </is>
      </c>
      <c r="O113" s="32">
        <f>IF($B113="","",COUNTIF(G113:N113,"Accepted")+COUNTIF(G113:N113,"Received")+COUNTIF(G113:N113,"Needs Correction"))</f>
        <v/>
      </c>
      <c r="P113" s="32">
        <f>IF($B113="","",SUMPRODUCT(((G113:N113="Accepted")+(G113:N113="Not Needed"))*(Settings!$C$11:$J$11="Yes")))</f>
        <v/>
      </c>
      <c r="Q113" s="32">
        <f>IF($B113="","",SUMPRODUCT(((G113:N113="Accepted")+(G113:N113="Not Needed"))*(Settings!$C$15:$J$15="Yes")))</f>
        <v/>
      </c>
      <c r="R113" s="33">
        <f>IF($B113="","",IF($D113="No","No PTO/PTA",IF($D113&lt;&gt;"Yes","Not Yet Confirmed",IF($Q113&gt;=Settings!$C$13,"Legalized",IF($P113&gt;=Settings!$C$12,"Registered",IF($O113&gt;0,"In Progress","Not Started"))))))</f>
        <v/>
      </c>
      <c r="S113" s="32">
        <f>IF($B113="","",COUNTIF(G113:N113,"Received"))</f>
        <v/>
      </c>
      <c r="T113" s="32">
        <f>IF($B113="","",COUNTIF(G113:N113,"Needs Correction"))</f>
        <v/>
      </c>
      <c r="U113" s="33">
        <f>IF($B113="","",IF($D113&lt;&gt;"Yes","",IF($Q113&gt;=Settings!$C$13,"None",MID(IF(AND(G113&lt;&gt;"Accepted",G113&lt;&gt;"Not Needed",Settings!$C$15="Yes"),", "&amp;G$1,"")&amp;IF(AND(H113&lt;&gt;"Accepted",H113&lt;&gt;"Not Needed",Settings!$D$15="Yes"),", "&amp;H$1,"")&amp;IF(AND(I113&lt;&gt;"Accepted",I113&lt;&gt;"Not Needed",Settings!$E$15="Yes"),", "&amp;I$1,"")&amp;IF(AND(J113&lt;&gt;"Accepted",J113&lt;&gt;"Not Needed",Settings!$F$15="Yes"),", "&amp;J$1,"")&amp;IF(AND(K113&lt;&gt;"Accepted",K113&lt;&gt;"Not Needed",Settings!$G$15="Yes"),", "&amp;K$1,"")&amp;IF(AND(L113&lt;&gt;"Accepted",L113&lt;&gt;"Not Needed",Settings!$H$15="Yes"),", "&amp;L$1,"")&amp;IF(AND(M113&lt;&gt;"Accepted",M113&lt;&gt;"Not Needed",Settings!$I$15="Yes"),", "&amp;M$1,"")&amp;IF(AND(N113&lt;&gt;"Accepted",N113&lt;&gt;"Not Needed",Settings!$J$15="Yes"),", "&amp;N$1,""),3,400))))</f>
        <v/>
      </c>
    </row>
    <row r="114" ht="15" customHeight="1" s="21">
      <c r="A114" s="31" t="inlineStr">
        <is>
          <t>2026-27</t>
        </is>
      </c>
      <c r="B114" s="31" t="inlineStr">
        <is>
          <t>Sinclair ES</t>
        </is>
      </c>
      <c r="C114" s="31" t="inlineStr">
        <is>
          <t>EAS Elementary</t>
        </is>
      </c>
      <c r="D114" s="31" t="inlineStr">
        <is>
          <t>Not Yet Confirmed</t>
        </is>
      </c>
      <c r="E114" s="31" t="n"/>
      <c r="F114" s="31" t="n"/>
      <c r="G114" s="31" t="inlineStr">
        <is>
          <t>Not Received</t>
        </is>
      </c>
      <c r="H114" s="31" t="inlineStr">
        <is>
          <t>Not Received</t>
        </is>
      </c>
      <c r="I114" s="31" t="inlineStr">
        <is>
          <t>Not Received</t>
        </is>
      </c>
      <c r="J114" s="31" t="inlineStr">
        <is>
          <t>Not Received</t>
        </is>
      </c>
      <c r="K114" s="31" t="inlineStr">
        <is>
          <t>Not Received</t>
        </is>
      </c>
      <c r="L114" s="31" t="inlineStr">
        <is>
          <t>Not Received</t>
        </is>
      </c>
      <c r="M114" s="31" t="inlineStr">
        <is>
          <t>Not Received</t>
        </is>
      </c>
      <c r="N114" s="31" t="inlineStr">
        <is>
          <t>Not Received</t>
        </is>
      </c>
      <c r="O114" s="32">
        <f>IF($B114="","",COUNTIF(G114:N114,"Accepted")+COUNTIF(G114:N114,"Received")+COUNTIF(G114:N114,"Needs Correction"))</f>
        <v/>
      </c>
      <c r="P114" s="32">
        <f>IF($B114="","",SUMPRODUCT(((G114:N114="Accepted")+(G114:N114="Not Needed"))*(Settings!$C$11:$J$11="Yes")))</f>
        <v/>
      </c>
      <c r="Q114" s="32">
        <f>IF($B114="","",SUMPRODUCT(((G114:N114="Accepted")+(G114:N114="Not Needed"))*(Settings!$C$15:$J$15="Yes")))</f>
        <v/>
      </c>
      <c r="R114" s="33">
        <f>IF($B114="","",IF($D114="No","No PTO/PTA",IF($D114&lt;&gt;"Yes","Not Yet Confirmed",IF($Q114&gt;=Settings!$C$13,"Legalized",IF($P114&gt;=Settings!$C$12,"Registered",IF($O114&gt;0,"In Progress","Not Started"))))))</f>
        <v/>
      </c>
      <c r="S114" s="32">
        <f>IF($B114="","",COUNTIF(G114:N114,"Received"))</f>
        <v/>
      </c>
      <c r="T114" s="32">
        <f>IF($B114="","",COUNTIF(G114:N114,"Needs Correction"))</f>
        <v/>
      </c>
      <c r="U114" s="33">
        <f>IF($B114="","",IF($D114&lt;&gt;"Yes","",IF($Q114&gt;=Settings!$C$13,"None",MID(IF(AND(G114&lt;&gt;"Accepted",G114&lt;&gt;"Not Needed",Settings!$C$15="Yes"),", "&amp;G$1,"")&amp;IF(AND(H114&lt;&gt;"Accepted",H114&lt;&gt;"Not Needed",Settings!$D$15="Yes"),", "&amp;H$1,"")&amp;IF(AND(I114&lt;&gt;"Accepted",I114&lt;&gt;"Not Needed",Settings!$E$15="Yes"),", "&amp;I$1,"")&amp;IF(AND(J114&lt;&gt;"Accepted",J114&lt;&gt;"Not Needed",Settings!$F$15="Yes"),", "&amp;J$1,"")&amp;IF(AND(K114&lt;&gt;"Accepted",K114&lt;&gt;"Not Needed",Settings!$G$15="Yes"),", "&amp;K$1,"")&amp;IF(AND(L114&lt;&gt;"Accepted",L114&lt;&gt;"Not Needed",Settings!$H$15="Yes"),", "&amp;L$1,"")&amp;IF(AND(M114&lt;&gt;"Accepted",M114&lt;&gt;"Not Needed",Settings!$I$15="Yes"),", "&amp;M$1,"")&amp;IF(AND(N114&lt;&gt;"Accepted",N114&lt;&gt;"Not Needed",Settings!$J$15="Yes"),", "&amp;N$1,""),3,400))))</f>
        <v/>
      </c>
    </row>
    <row r="115" ht="15" customHeight="1" s="21">
      <c r="A115" s="31" t="inlineStr">
        <is>
          <t>2026-27</t>
        </is>
      </c>
      <c r="B115" s="31" t="inlineStr">
        <is>
          <t>Sutton ES</t>
        </is>
      </c>
      <c r="C115" s="31" t="inlineStr">
        <is>
          <t>EAS Elementary</t>
        </is>
      </c>
      <c r="D115" s="31" t="inlineStr">
        <is>
          <t>Not Yet Confirmed</t>
        </is>
      </c>
      <c r="E115" s="31" t="n"/>
      <c r="F115" s="31" t="n"/>
      <c r="G115" s="31" t="inlineStr">
        <is>
          <t>Not Received</t>
        </is>
      </c>
      <c r="H115" s="31" t="inlineStr">
        <is>
          <t>Not Received</t>
        </is>
      </c>
      <c r="I115" s="31" t="inlineStr">
        <is>
          <t>Not Received</t>
        </is>
      </c>
      <c r="J115" s="31" t="inlineStr">
        <is>
          <t>Not Received</t>
        </is>
      </c>
      <c r="K115" s="31" t="inlineStr">
        <is>
          <t>Not Received</t>
        </is>
      </c>
      <c r="L115" s="31" t="inlineStr">
        <is>
          <t>Not Received</t>
        </is>
      </c>
      <c r="M115" s="31" t="inlineStr">
        <is>
          <t>Not Received</t>
        </is>
      </c>
      <c r="N115" s="31" t="inlineStr">
        <is>
          <t>Not Received</t>
        </is>
      </c>
      <c r="O115" s="32">
        <f>IF($B115="","",COUNTIF(G115:N115,"Accepted")+COUNTIF(G115:N115,"Received")+COUNTIF(G115:N115,"Needs Correction"))</f>
        <v/>
      </c>
      <c r="P115" s="32">
        <f>IF($B115="","",SUMPRODUCT(((G115:N115="Accepted")+(G115:N115="Not Needed"))*(Settings!$C$11:$J$11="Yes")))</f>
        <v/>
      </c>
      <c r="Q115" s="32">
        <f>IF($B115="","",SUMPRODUCT(((G115:N115="Accepted")+(G115:N115="Not Needed"))*(Settings!$C$15:$J$15="Yes")))</f>
        <v/>
      </c>
      <c r="R115" s="33">
        <f>IF($B115="","",IF($D115="No","No PTO/PTA",IF($D115&lt;&gt;"Yes","Not Yet Confirmed",IF($Q115&gt;=Settings!$C$13,"Legalized",IF($P115&gt;=Settings!$C$12,"Registered",IF($O115&gt;0,"In Progress","Not Started"))))))</f>
        <v/>
      </c>
      <c r="S115" s="32">
        <f>IF($B115="","",COUNTIF(G115:N115,"Received"))</f>
        <v/>
      </c>
      <c r="T115" s="32">
        <f>IF($B115="","",COUNTIF(G115:N115,"Needs Correction"))</f>
        <v/>
      </c>
      <c r="U115" s="33">
        <f>IF($B115="","",IF($D115&lt;&gt;"Yes","",IF($Q115&gt;=Settings!$C$13,"None",MID(IF(AND(G115&lt;&gt;"Accepted",G115&lt;&gt;"Not Needed",Settings!$C$15="Yes"),", "&amp;G$1,"")&amp;IF(AND(H115&lt;&gt;"Accepted",H115&lt;&gt;"Not Needed",Settings!$D$15="Yes"),", "&amp;H$1,"")&amp;IF(AND(I115&lt;&gt;"Accepted",I115&lt;&gt;"Not Needed",Settings!$E$15="Yes"),", "&amp;I$1,"")&amp;IF(AND(J115&lt;&gt;"Accepted",J115&lt;&gt;"Not Needed",Settings!$F$15="Yes"),", "&amp;J$1,"")&amp;IF(AND(K115&lt;&gt;"Accepted",K115&lt;&gt;"Not Needed",Settings!$G$15="Yes"),", "&amp;K$1,"")&amp;IF(AND(L115&lt;&gt;"Accepted",L115&lt;&gt;"Not Needed",Settings!$H$15="Yes"),", "&amp;L$1,"")&amp;IF(AND(M115&lt;&gt;"Accepted",M115&lt;&gt;"Not Needed",Settings!$I$15="Yes"),", "&amp;M$1,"")&amp;IF(AND(N115&lt;&gt;"Accepted",N115&lt;&gt;"Not Needed",Settings!$J$15="Yes"),", "&amp;N$1,""),3,400))))</f>
        <v/>
      </c>
    </row>
    <row r="116" ht="15" customHeight="1" s="21">
      <c r="A116" s="31" t="inlineStr">
        <is>
          <t>2026-27</t>
        </is>
      </c>
      <c r="B116" s="31" t="inlineStr">
        <is>
          <t>Tijerina ES</t>
        </is>
      </c>
      <c r="C116" s="31" t="inlineStr">
        <is>
          <t>EAS Elementary</t>
        </is>
      </c>
      <c r="D116" s="31" t="inlineStr">
        <is>
          <t>Yes</t>
        </is>
      </c>
      <c r="E116" s="31" t="inlineStr">
        <is>
          <t>PTA</t>
        </is>
      </c>
      <c r="F116" s="31" t="n"/>
      <c r="G116" s="31" t="inlineStr">
        <is>
          <t>Accepted</t>
        </is>
      </c>
      <c r="H116" s="31" t="inlineStr">
        <is>
          <t>Not Received</t>
        </is>
      </c>
      <c r="I116" s="31" t="inlineStr">
        <is>
          <t>Not Received</t>
        </is>
      </c>
      <c r="J116" s="31" t="inlineStr">
        <is>
          <t>Not Received</t>
        </is>
      </c>
      <c r="K116" s="31" t="inlineStr">
        <is>
          <t>Accepted</t>
        </is>
      </c>
      <c r="L116" s="31" t="inlineStr">
        <is>
          <t>Accepted</t>
        </is>
      </c>
      <c r="M116" s="31" t="inlineStr">
        <is>
          <t>Not Received</t>
        </is>
      </c>
      <c r="N116" s="31" t="inlineStr">
        <is>
          <t>Not Received</t>
        </is>
      </c>
      <c r="O116" s="32">
        <f>IF($B116="","",COUNTIF(G116:N116,"Accepted")+COUNTIF(G116:N116,"Received")+COUNTIF(G116:N116,"Needs Correction"))</f>
        <v/>
      </c>
      <c r="P116" s="32">
        <f>IF($B116="","",SUMPRODUCT(((G116:N116="Accepted")+(G116:N116="Not Needed"))*(Settings!$C$11:$J$11="Yes")))</f>
        <v/>
      </c>
      <c r="Q116" s="32">
        <f>IF($B116="","",SUMPRODUCT(((G116:N116="Accepted")+(G116:N116="Not Needed"))*(Settings!$C$15:$J$15="Yes")))</f>
        <v/>
      </c>
      <c r="R116" s="33">
        <f>IF($B116="","",IF($D116="No","No PTO/PTA",IF($D116&lt;&gt;"Yes","Not Yet Confirmed",IF($Q116&gt;=Settings!$C$13,"Legalized",IF($P116&gt;=Settings!$C$12,"Registered",IF($O116&gt;0,"In Progress","Not Started"))))))</f>
        <v/>
      </c>
      <c r="S116" s="32">
        <f>IF($B116="","",COUNTIF(G116:N116,"Received"))</f>
        <v/>
      </c>
      <c r="T116" s="32">
        <f>IF($B116="","",COUNTIF(G116:N116,"Needs Correction"))</f>
        <v/>
      </c>
      <c r="U116" s="33">
        <f>IF($B116="","",IF($D116&lt;&gt;"Yes","",IF($Q116&gt;=Settings!$C$13,"None",MID(IF(AND(G116&lt;&gt;"Accepted",G116&lt;&gt;"Not Needed",Settings!$C$15="Yes"),", "&amp;G$1,"")&amp;IF(AND(H116&lt;&gt;"Accepted",H116&lt;&gt;"Not Needed",Settings!$D$15="Yes"),", "&amp;H$1,"")&amp;IF(AND(I116&lt;&gt;"Accepted",I116&lt;&gt;"Not Needed",Settings!$E$15="Yes"),", "&amp;I$1,"")&amp;IF(AND(J116&lt;&gt;"Accepted",J116&lt;&gt;"Not Needed",Settings!$F$15="Yes"),", "&amp;J$1,"")&amp;IF(AND(K116&lt;&gt;"Accepted",K116&lt;&gt;"Not Needed",Settings!$G$15="Yes"),", "&amp;K$1,"")&amp;IF(AND(L116&lt;&gt;"Accepted",L116&lt;&gt;"Not Needed",Settings!$H$15="Yes"),", "&amp;L$1,"")&amp;IF(AND(M116&lt;&gt;"Accepted",M116&lt;&gt;"Not Needed",Settings!$I$15="Yes"),", "&amp;M$1,"")&amp;IF(AND(N116&lt;&gt;"Accepted",N116&lt;&gt;"Not Needed",Settings!$J$15="Yes"),", "&amp;N$1,""),3,400))))</f>
        <v/>
      </c>
    </row>
    <row r="117" ht="15" customHeight="1" s="21">
      <c r="A117" s="31" t="inlineStr">
        <is>
          <t>2026-27</t>
        </is>
      </c>
      <c r="B117" s="31" t="inlineStr">
        <is>
          <t>Travis ES</t>
        </is>
      </c>
      <c r="C117" s="31" t="inlineStr">
        <is>
          <t>EAS Elementary</t>
        </is>
      </c>
      <c r="D117" s="31" t="inlineStr">
        <is>
          <t>Yes</t>
        </is>
      </c>
      <c r="E117" s="31" t="inlineStr">
        <is>
          <t>PTA</t>
        </is>
      </c>
      <c r="F117" s="31" t="n"/>
      <c r="G117" s="31" t="inlineStr">
        <is>
          <t>Accepted</t>
        </is>
      </c>
      <c r="H117" s="31" t="inlineStr">
        <is>
          <t>Not Received</t>
        </is>
      </c>
      <c r="I117" s="31" t="inlineStr">
        <is>
          <t>Not Received</t>
        </is>
      </c>
      <c r="J117" s="31" t="inlineStr">
        <is>
          <t>Accepted</t>
        </is>
      </c>
      <c r="K117" s="31" t="inlineStr">
        <is>
          <t>Accepted</t>
        </is>
      </c>
      <c r="L117" s="31" t="inlineStr">
        <is>
          <t>Accepted</t>
        </is>
      </c>
      <c r="M117" s="31" t="inlineStr">
        <is>
          <t>Not Received</t>
        </is>
      </c>
      <c r="N117" s="31" t="inlineStr">
        <is>
          <t>Not Received</t>
        </is>
      </c>
      <c r="O117" s="32">
        <f>IF($B117="","",COUNTIF(G117:N117,"Accepted")+COUNTIF(G117:N117,"Received")+COUNTIF(G117:N117,"Needs Correction"))</f>
        <v/>
      </c>
      <c r="P117" s="32">
        <f>IF($B117="","",SUMPRODUCT(((G117:N117="Accepted")+(G117:N117="Not Needed"))*(Settings!$C$11:$J$11="Yes")))</f>
        <v/>
      </c>
      <c r="Q117" s="32">
        <f>IF($B117="","",SUMPRODUCT(((G117:N117="Accepted")+(G117:N117="Not Needed"))*(Settings!$C$15:$J$15="Yes")))</f>
        <v/>
      </c>
      <c r="R117" s="33">
        <f>IF($B117="","",IF($D117="No","No PTO/PTA",IF($D117&lt;&gt;"Yes","Not Yet Confirmed",IF($Q117&gt;=Settings!$C$13,"Legalized",IF($P117&gt;=Settings!$C$12,"Registered",IF($O117&gt;0,"In Progress","Not Started"))))))</f>
        <v/>
      </c>
      <c r="S117" s="32">
        <f>IF($B117="","",COUNTIF(G117:N117,"Received"))</f>
        <v/>
      </c>
      <c r="T117" s="32">
        <f>IF($B117="","",COUNTIF(G117:N117,"Needs Correction"))</f>
        <v/>
      </c>
      <c r="U117" s="33">
        <f>IF($B117="","",IF($D117&lt;&gt;"Yes","",IF($Q117&gt;=Settings!$C$13,"None",MID(IF(AND(G117&lt;&gt;"Accepted",G117&lt;&gt;"Not Needed",Settings!$C$15="Yes"),", "&amp;G$1,"")&amp;IF(AND(H117&lt;&gt;"Accepted",H117&lt;&gt;"Not Needed",Settings!$D$15="Yes"),", "&amp;H$1,"")&amp;IF(AND(I117&lt;&gt;"Accepted",I117&lt;&gt;"Not Needed",Settings!$E$15="Yes"),", "&amp;I$1,"")&amp;IF(AND(J117&lt;&gt;"Accepted",J117&lt;&gt;"Not Needed",Settings!$F$15="Yes"),", "&amp;J$1,"")&amp;IF(AND(K117&lt;&gt;"Accepted",K117&lt;&gt;"Not Needed",Settings!$G$15="Yes"),", "&amp;K$1,"")&amp;IF(AND(L117&lt;&gt;"Accepted",L117&lt;&gt;"Not Needed",Settings!$H$15="Yes"),", "&amp;L$1,"")&amp;IF(AND(M117&lt;&gt;"Accepted",M117&lt;&gt;"Not Needed",Settings!$I$15="Yes"),", "&amp;M$1,"")&amp;IF(AND(N117&lt;&gt;"Accepted",N117&lt;&gt;"Not Needed",Settings!$J$15="Yes"),", "&amp;N$1,""),3,400))))</f>
        <v/>
      </c>
    </row>
    <row r="118" ht="15" customHeight="1" s="21">
      <c r="A118" s="31" t="inlineStr">
        <is>
          <t>2026-27</t>
        </is>
      </c>
      <c r="B118" s="31" t="inlineStr">
        <is>
          <t>Twain ES</t>
        </is>
      </c>
      <c r="C118" s="31" t="inlineStr">
        <is>
          <t>EAS Elementary</t>
        </is>
      </c>
      <c r="D118" s="31" t="inlineStr">
        <is>
          <t>Not Yet Confirmed</t>
        </is>
      </c>
      <c r="E118" s="31" t="n"/>
      <c r="F118" s="31" t="n"/>
      <c r="G118" s="31" t="inlineStr">
        <is>
          <t>Not Received</t>
        </is>
      </c>
      <c r="H118" s="31" t="inlineStr">
        <is>
          <t>Not Received</t>
        </is>
      </c>
      <c r="I118" s="31" t="inlineStr">
        <is>
          <t>Not Received</t>
        </is>
      </c>
      <c r="J118" s="31" t="inlineStr">
        <is>
          <t>Not Received</t>
        </is>
      </c>
      <c r="K118" s="31" t="inlineStr">
        <is>
          <t>Not Received</t>
        </is>
      </c>
      <c r="L118" s="31" t="inlineStr">
        <is>
          <t>Not Received</t>
        </is>
      </c>
      <c r="M118" s="31" t="inlineStr">
        <is>
          <t>Not Received</t>
        </is>
      </c>
      <c r="N118" s="31" t="inlineStr">
        <is>
          <t>Not Received</t>
        </is>
      </c>
      <c r="O118" s="32">
        <f>IF($B118="","",COUNTIF(G118:N118,"Accepted")+COUNTIF(G118:N118,"Received")+COUNTIF(G118:N118,"Needs Correction"))</f>
        <v/>
      </c>
      <c r="P118" s="32">
        <f>IF($B118="","",SUMPRODUCT(((G118:N118="Accepted")+(G118:N118="Not Needed"))*(Settings!$C$11:$J$11="Yes")))</f>
        <v/>
      </c>
      <c r="Q118" s="32">
        <f>IF($B118="","",SUMPRODUCT(((G118:N118="Accepted")+(G118:N118="Not Needed"))*(Settings!$C$15:$J$15="Yes")))</f>
        <v/>
      </c>
      <c r="R118" s="33">
        <f>IF($B118="","",IF($D118="No","No PTO/PTA",IF($D118&lt;&gt;"Yes","Not Yet Confirmed",IF($Q118&gt;=Settings!$C$13,"Legalized",IF($P118&gt;=Settings!$C$12,"Registered",IF($O118&gt;0,"In Progress","Not Started"))))))</f>
        <v/>
      </c>
      <c r="S118" s="32">
        <f>IF($B118="","",COUNTIF(G118:N118,"Received"))</f>
        <v/>
      </c>
      <c r="T118" s="32">
        <f>IF($B118="","",COUNTIF(G118:N118,"Needs Correction"))</f>
        <v/>
      </c>
      <c r="U118" s="33">
        <f>IF($B118="","",IF($D118&lt;&gt;"Yes","",IF($Q118&gt;=Settings!$C$13,"None",MID(IF(AND(G118&lt;&gt;"Accepted",G118&lt;&gt;"Not Needed",Settings!$C$15="Yes"),", "&amp;G$1,"")&amp;IF(AND(H118&lt;&gt;"Accepted",H118&lt;&gt;"Not Needed",Settings!$D$15="Yes"),", "&amp;H$1,"")&amp;IF(AND(I118&lt;&gt;"Accepted",I118&lt;&gt;"Not Needed",Settings!$E$15="Yes"),", "&amp;I$1,"")&amp;IF(AND(J118&lt;&gt;"Accepted",J118&lt;&gt;"Not Needed",Settings!$F$15="Yes"),", "&amp;J$1,"")&amp;IF(AND(K118&lt;&gt;"Accepted",K118&lt;&gt;"Not Needed",Settings!$G$15="Yes"),", "&amp;K$1,"")&amp;IF(AND(L118&lt;&gt;"Accepted",L118&lt;&gt;"Not Needed",Settings!$H$15="Yes"),", "&amp;L$1,"")&amp;IF(AND(M118&lt;&gt;"Accepted",M118&lt;&gt;"Not Needed",Settings!$I$15="Yes"),", "&amp;M$1,"")&amp;IF(AND(N118&lt;&gt;"Accepted",N118&lt;&gt;"Not Needed",Settings!$J$15="Yes"),", "&amp;N$1,""),3,400))))</f>
        <v/>
      </c>
    </row>
    <row r="119" ht="15" customHeight="1" s="21">
      <c r="A119" s="31" t="inlineStr">
        <is>
          <t>2026-27</t>
        </is>
      </c>
      <c r="B119" s="31" t="inlineStr">
        <is>
          <t>West University ES</t>
        </is>
      </c>
      <c r="C119" s="31" t="inlineStr">
        <is>
          <t>EAS Elementary</t>
        </is>
      </c>
      <c r="D119" s="31" t="inlineStr">
        <is>
          <t>Not Yet Confirmed</t>
        </is>
      </c>
      <c r="E119" s="31" t="n"/>
      <c r="F119" s="31" t="n"/>
      <c r="G119" s="31" t="inlineStr">
        <is>
          <t>Not Received</t>
        </is>
      </c>
      <c r="H119" s="31" t="inlineStr">
        <is>
          <t>Not Received</t>
        </is>
      </c>
      <c r="I119" s="31" t="inlineStr">
        <is>
          <t>Not Received</t>
        </is>
      </c>
      <c r="J119" s="31" t="inlineStr">
        <is>
          <t>Not Received</t>
        </is>
      </c>
      <c r="K119" s="31" t="inlineStr">
        <is>
          <t>Not Received</t>
        </is>
      </c>
      <c r="L119" s="31" t="inlineStr">
        <is>
          <t>Not Received</t>
        </is>
      </c>
      <c r="M119" s="31" t="inlineStr">
        <is>
          <t>Not Received</t>
        </is>
      </c>
      <c r="N119" s="31" t="inlineStr">
        <is>
          <t>Not Received</t>
        </is>
      </c>
      <c r="O119" s="32">
        <f>IF($B119="","",COUNTIF(G119:N119,"Accepted")+COUNTIF(G119:N119,"Received")+COUNTIF(G119:N119,"Needs Correction"))</f>
        <v/>
      </c>
      <c r="P119" s="32">
        <f>IF($B119="","",SUMPRODUCT(((G119:N119="Accepted")+(G119:N119="Not Needed"))*(Settings!$C$11:$J$11="Yes")))</f>
        <v/>
      </c>
      <c r="Q119" s="32">
        <f>IF($B119="","",SUMPRODUCT(((G119:N119="Accepted")+(G119:N119="Not Needed"))*(Settings!$C$15:$J$15="Yes")))</f>
        <v/>
      </c>
      <c r="R119" s="33">
        <f>IF($B119="","",IF($D119="No","No PTO/PTA",IF($D119&lt;&gt;"Yes","Not Yet Confirmed",IF($Q119&gt;=Settings!$C$13,"Legalized",IF($P119&gt;=Settings!$C$12,"Registered",IF($O119&gt;0,"In Progress","Not Started"))))))</f>
        <v/>
      </c>
      <c r="S119" s="32">
        <f>IF($B119="","",COUNTIF(G119:N119,"Received"))</f>
        <v/>
      </c>
      <c r="T119" s="32">
        <f>IF($B119="","",COUNTIF(G119:N119,"Needs Correction"))</f>
        <v/>
      </c>
      <c r="U119" s="33">
        <f>IF($B119="","",IF($D119&lt;&gt;"Yes","",IF($Q119&gt;=Settings!$C$13,"None",MID(IF(AND(G119&lt;&gt;"Accepted",G119&lt;&gt;"Not Needed",Settings!$C$15="Yes"),", "&amp;G$1,"")&amp;IF(AND(H119&lt;&gt;"Accepted",H119&lt;&gt;"Not Needed",Settings!$D$15="Yes"),", "&amp;H$1,"")&amp;IF(AND(I119&lt;&gt;"Accepted",I119&lt;&gt;"Not Needed",Settings!$E$15="Yes"),", "&amp;I$1,"")&amp;IF(AND(J119&lt;&gt;"Accepted",J119&lt;&gt;"Not Needed",Settings!$F$15="Yes"),", "&amp;J$1,"")&amp;IF(AND(K119&lt;&gt;"Accepted",K119&lt;&gt;"Not Needed",Settings!$G$15="Yes"),", "&amp;K$1,"")&amp;IF(AND(L119&lt;&gt;"Accepted",L119&lt;&gt;"Not Needed",Settings!$H$15="Yes"),", "&amp;L$1,"")&amp;IF(AND(M119&lt;&gt;"Accepted",M119&lt;&gt;"Not Needed",Settings!$I$15="Yes"),", "&amp;M$1,"")&amp;IF(AND(N119&lt;&gt;"Accepted",N119&lt;&gt;"Not Needed",Settings!$J$15="Yes"),", "&amp;N$1,""),3,400))))</f>
        <v/>
      </c>
    </row>
    <row r="120" ht="15" customHeight="1" s="21">
      <c r="A120" s="31" t="inlineStr">
        <is>
          <t>2026-27</t>
        </is>
      </c>
      <c r="B120" s="31" t="inlineStr">
        <is>
          <t>Wharton K-8</t>
        </is>
      </c>
      <c r="C120" s="31" t="inlineStr">
        <is>
          <t>EAS Elementary</t>
        </is>
      </c>
      <c r="D120" s="31" t="inlineStr">
        <is>
          <t>Not Yet Confirmed</t>
        </is>
      </c>
      <c r="E120" s="31" t="n"/>
      <c r="F120" s="31" t="n"/>
      <c r="G120" s="31" t="inlineStr">
        <is>
          <t>Not Received</t>
        </is>
      </c>
      <c r="H120" s="31" t="inlineStr">
        <is>
          <t>Not Received</t>
        </is>
      </c>
      <c r="I120" s="31" t="inlineStr">
        <is>
          <t>Not Received</t>
        </is>
      </c>
      <c r="J120" s="31" t="inlineStr">
        <is>
          <t>Not Received</t>
        </is>
      </c>
      <c r="K120" s="31" t="inlineStr">
        <is>
          <t>Not Received</t>
        </is>
      </c>
      <c r="L120" s="31" t="inlineStr">
        <is>
          <t>Not Received</t>
        </is>
      </c>
      <c r="M120" s="31" t="inlineStr">
        <is>
          <t>Not Received</t>
        </is>
      </c>
      <c r="N120" s="31" t="inlineStr">
        <is>
          <t>Not Received</t>
        </is>
      </c>
      <c r="O120" s="32">
        <f>IF($B120="","",COUNTIF(G120:N120,"Accepted")+COUNTIF(G120:N120,"Received")+COUNTIF(G120:N120,"Needs Correction"))</f>
        <v/>
      </c>
      <c r="P120" s="32">
        <f>IF($B120="","",SUMPRODUCT(((G120:N120="Accepted")+(G120:N120="Not Needed"))*(Settings!$C$11:$J$11="Yes")))</f>
        <v/>
      </c>
      <c r="Q120" s="32">
        <f>IF($B120="","",SUMPRODUCT(((G120:N120="Accepted")+(G120:N120="Not Needed"))*(Settings!$C$15:$J$15="Yes")))</f>
        <v/>
      </c>
      <c r="R120" s="33">
        <f>IF($B120="","",IF($D120="No","No PTO/PTA",IF($D120&lt;&gt;"Yes","Not Yet Confirmed",IF($Q120&gt;=Settings!$C$13,"Legalized",IF($P120&gt;=Settings!$C$12,"Registered",IF($O120&gt;0,"In Progress","Not Started"))))))</f>
        <v/>
      </c>
      <c r="S120" s="32">
        <f>IF($B120="","",COUNTIF(G120:N120,"Received"))</f>
        <v/>
      </c>
      <c r="T120" s="32">
        <f>IF($B120="","",COUNTIF(G120:N120,"Needs Correction"))</f>
        <v/>
      </c>
      <c r="U120" s="33">
        <f>IF($B120="","",IF($D120&lt;&gt;"Yes","",IF($Q120&gt;=Settings!$C$13,"None",MID(IF(AND(G120&lt;&gt;"Accepted",G120&lt;&gt;"Not Needed",Settings!$C$15="Yes"),", "&amp;G$1,"")&amp;IF(AND(H120&lt;&gt;"Accepted",H120&lt;&gt;"Not Needed",Settings!$D$15="Yes"),", "&amp;H$1,"")&amp;IF(AND(I120&lt;&gt;"Accepted",I120&lt;&gt;"Not Needed",Settings!$E$15="Yes"),", "&amp;I$1,"")&amp;IF(AND(J120&lt;&gt;"Accepted",J120&lt;&gt;"Not Needed",Settings!$F$15="Yes"),", "&amp;J$1,"")&amp;IF(AND(K120&lt;&gt;"Accepted",K120&lt;&gt;"Not Needed",Settings!$G$15="Yes"),", "&amp;K$1,"")&amp;IF(AND(L120&lt;&gt;"Accepted",L120&lt;&gt;"Not Needed",Settings!$H$15="Yes"),", "&amp;L$1,"")&amp;IF(AND(M120&lt;&gt;"Accepted",M120&lt;&gt;"Not Needed",Settings!$I$15="Yes"),", "&amp;M$1,"")&amp;IF(AND(N120&lt;&gt;"Accepted",N120&lt;&gt;"Not Needed",Settings!$J$15="Yes"),", "&amp;N$1,""),3,400))))</f>
        <v/>
      </c>
    </row>
    <row r="121" ht="15" customHeight="1" s="21">
      <c r="A121" s="31" t="inlineStr">
        <is>
          <t>2026-27</t>
        </is>
      </c>
      <c r="B121" s="31" t="inlineStr">
        <is>
          <t>White M ES</t>
        </is>
      </c>
      <c r="C121" s="31" t="inlineStr">
        <is>
          <t>EAS Elementary</t>
        </is>
      </c>
      <c r="D121" s="31" t="inlineStr">
        <is>
          <t>Not Yet Confirmed</t>
        </is>
      </c>
      <c r="E121" s="31" t="n"/>
      <c r="F121" s="31" t="n"/>
      <c r="G121" s="31" t="inlineStr">
        <is>
          <t>Not Received</t>
        </is>
      </c>
      <c r="H121" s="31" t="inlineStr">
        <is>
          <t>Not Received</t>
        </is>
      </c>
      <c r="I121" s="31" t="inlineStr">
        <is>
          <t>Not Received</t>
        </is>
      </c>
      <c r="J121" s="31" t="inlineStr">
        <is>
          <t>Not Received</t>
        </is>
      </c>
      <c r="K121" s="31" t="inlineStr">
        <is>
          <t>Not Received</t>
        </is>
      </c>
      <c r="L121" s="31" t="inlineStr">
        <is>
          <t>Not Received</t>
        </is>
      </c>
      <c r="M121" s="31" t="inlineStr">
        <is>
          <t>Not Received</t>
        </is>
      </c>
      <c r="N121" s="31" t="inlineStr">
        <is>
          <t>Not Received</t>
        </is>
      </c>
      <c r="O121" s="32">
        <f>IF($B121="","",COUNTIF(G121:N121,"Accepted")+COUNTIF(G121:N121,"Received")+COUNTIF(G121:N121,"Needs Correction"))</f>
        <v/>
      </c>
      <c r="P121" s="32">
        <f>IF($B121="","",SUMPRODUCT(((G121:N121="Accepted")+(G121:N121="Not Needed"))*(Settings!$C$11:$J$11="Yes")))</f>
        <v/>
      </c>
      <c r="Q121" s="32">
        <f>IF($B121="","",SUMPRODUCT(((G121:N121="Accepted")+(G121:N121="Not Needed"))*(Settings!$C$15:$J$15="Yes")))</f>
        <v/>
      </c>
      <c r="R121" s="33">
        <f>IF($B121="","",IF($D121="No","No PTO/PTA",IF($D121&lt;&gt;"Yes","Not Yet Confirmed",IF($Q121&gt;=Settings!$C$13,"Legalized",IF($P121&gt;=Settings!$C$12,"Registered",IF($O121&gt;0,"In Progress","Not Started"))))))</f>
        <v/>
      </c>
      <c r="S121" s="32">
        <f>IF($B121="","",COUNTIF(G121:N121,"Received"))</f>
        <v/>
      </c>
      <c r="T121" s="32">
        <f>IF($B121="","",COUNTIF(G121:N121,"Needs Correction"))</f>
        <v/>
      </c>
      <c r="U121" s="33">
        <f>IF($B121="","",IF($D121&lt;&gt;"Yes","",IF($Q121&gt;=Settings!$C$13,"None",MID(IF(AND(G121&lt;&gt;"Accepted",G121&lt;&gt;"Not Needed",Settings!$C$15="Yes"),", "&amp;G$1,"")&amp;IF(AND(H121&lt;&gt;"Accepted",H121&lt;&gt;"Not Needed",Settings!$D$15="Yes"),", "&amp;H$1,"")&amp;IF(AND(I121&lt;&gt;"Accepted",I121&lt;&gt;"Not Needed",Settings!$E$15="Yes"),", "&amp;I$1,"")&amp;IF(AND(J121&lt;&gt;"Accepted",J121&lt;&gt;"Not Needed",Settings!$F$15="Yes"),", "&amp;J$1,"")&amp;IF(AND(K121&lt;&gt;"Accepted",K121&lt;&gt;"Not Needed",Settings!$G$15="Yes"),", "&amp;K$1,"")&amp;IF(AND(L121&lt;&gt;"Accepted",L121&lt;&gt;"Not Needed",Settings!$H$15="Yes"),", "&amp;L$1,"")&amp;IF(AND(M121&lt;&gt;"Accepted",M121&lt;&gt;"Not Needed",Settings!$I$15="Yes"),", "&amp;M$1,"")&amp;IF(AND(N121&lt;&gt;"Accepted",N121&lt;&gt;"Not Needed",Settings!$J$15="Yes"),", "&amp;N$1,""),3,400))))</f>
        <v/>
      </c>
    </row>
    <row r="122" ht="15" customHeight="1" s="21">
      <c r="A122" s="31" t="inlineStr">
        <is>
          <t>2026-27</t>
        </is>
      </c>
      <c r="B122" s="31" t="inlineStr">
        <is>
          <t>Baylor College MS</t>
        </is>
      </c>
      <c r="C122" s="31" t="inlineStr">
        <is>
          <t>EAS Secondary</t>
        </is>
      </c>
      <c r="D122" s="31" t="inlineStr">
        <is>
          <t>Not Yet Confirmed</t>
        </is>
      </c>
      <c r="E122" s="31" t="n"/>
      <c r="F122" s="31" t="n"/>
      <c r="G122" s="31" t="inlineStr">
        <is>
          <t>Not Received</t>
        </is>
      </c>
      <c r="H122" s="31" t="inlineStr">
        <is>
          <t>Not Received</t>
        </is>
      </c>
      <c r="I122" s="31" t="inlineStr">
        <is>
          <t>Not Received</t>
        </is>
      </c>
      <c r="J122" s="31" t="inlineStr">
        <is>
          <t>Not Received</t>
        </is>
      </c>
      <c r="K122" s="31" t="inlineStr">
        <is>
          <t>Not Received</t>
        </is>
      </c>
      <c r="L122" s="31" t="inlineStr">
        <is>
          <t>Not Received</t>
        </is>
      </c>
      <c r="M122" s="31" t="inlineStr">
        <is>
          <t>Not Received</t>
        </is>
      </c>
      <c r="N122" s="31" t="inlineStr">
        <is>
          <t>Not Received</t>
        </is>
      </c>
      <c r="O122" s="32">
        <f>IF($B122="","",COUNTIF(G122:N122,"Accepted")+COUNTIF(G122:N122,"Received")+COUNTIF(G122:N122,"Needs Correction"))</f>
        <v/>
      </c>
      <c r="P122" s="32">
        <f>IF($B122="","",SUMPRODUCT(((G122:N122="Accepted")+(G122:N122="Not Needed"))*(Settings!$C$11:$J$11="Yes")))</f>
        <v/>
      </c>
      <c r="Q122" s="32">
        <f>IF($B122="","",SUMPRODUCT(((G122:N122="Accepted")+(G122:N122="Not Needed"))*(Settings!$C$15:$J$15="Yes")))</f>
        <v/>
      </c>
      <c r="R122" s="33">
        <f>IF($B122="","",IF($D122="No","No PTO/PTA",IF($D122&lt;&gt;"Yes","Not Yet Confirmed",IF($Q122&gt;=Settings!$C$13,"Legalized",IF($P122&gt;=Settings!$C$12,"Registered",IF($O122&gt;0,"In Progress","Not Started"))))))</f>
        <v/>
      </c>
      <c r="S122" s="32">
        <f>IF($B122="","",COUNTIF(G122:N122,"Received"))</f>
        <v/>
      </c>
      <c r="T122" s="32">
        <f>IF($B122="","",COUNTIF(G122:N122,"Needs Correction"))</f>
        <v/>
      </c>
      <c r="U122" s="33">
        <f>IF($B122="","",IF($D122&lt;&gt;"Yes","",IF($Q122&gt;=Settings!$C$13,"None",MID(IF(AND(G122&lt;&gt;"Accepted",G122&lt;&gt;"Not Needed",Settings!$C$15="Yes"),", "&amp;G$1,"")&amp;IF(AND(H122&lt;&gt;"Accepted",H122&lt;&gt;"Not Needed",Settings!$D$15="Yes"),", "&amp;H$1,"")&amp;IF(AND(I122&lt;&gt;"Accepted",I122&lt;&gt;"Not Needed",Settings!$E$15="Yes"),", "&amp;I$1,"")&amp;IF(AND(J122&lt;&gt;"Accepted",J122&lt;&gt;"Not Needed",Settings!$F$15="Yes"),", "&amp;J$1,"")&amp;IF(AND(K122&lt;&gt;"Accepted",K122&lt;&gt;"Not Needed",Settings!$G$15="Yes"),", "&amp;K$1,"")&amp;IF(AND(L122&lt;&gt;"Accepted",L122&lt;&gt;"Not Needed",Settings!$H$15="Yes"),", "&amp;L$1,"")&amp;IF(AND(M122&lt;&gt;"Accepted",M122&lt;&gt;"Not Needed",Settings!$I$15="Yes"),", "&amp;M$1,"")&amp;IF(AND(N122&lt;&gt;"Accepted",N122&lt;&gt;"Not Needed",Settings!$J$15="Yes"),", "&amp;N$1,""),3,400))))</f>
        <v/>
      </c>
    </row>
    <row r="123" ht="15" customHeight="1" s="21">
      <c r="A123" s="31" t="inlineStr">
        <is>
          <t>2026-27</t>
        </is>
      </c>
      <c r="B123" s="31" t="inlineStr">
        <is>
          <t>BCM Biotech Acad at Rusk</t>
        </is>
      </c>
      <c r="C123" s="31" t="inlineStr">
        <is>
          <t>EAS Secondary</t>
        </is>
      </c>
      <c r="D123" s="31" t="inlineStr">
        <is>
          <t>Not Yet Confirmed</t>
        </is>
      </c>
      <c r="E123" s="31" t="n"/>
      <c r="F123" s="31" t="n"/>
      <c r="G123" s="31" t="inlineStr">
        <is>
          <t>Not Received</t>
        </is>
      </c>
      <c r="H123" s="31" t="inlineStr">
        <is>
          <t>Not Received</t>
        </is>
      </c>
      <c r="I123" s="31" t="inlineStr">
        <is>
          <t>Not Received</t>
        </is>
      </c>
      <c r="J123" s="31" t="inlineStr">
        <is>
          <t>Not Received</t>
        </is>
      </c>
      <c r="K123" s="31" t="inlineStr">
        <is>
          <t>Not Received</t>
        </is>
      </c>
      <c r="L123" s="31" t="inlineStr">
        <is>
          <t>Not Received</t>
        </is>
      </c>
      <c r="M123" s="31" t="inlineStr">
        <is>
          <t>Not Received</t>
        </is>
      </c>
      <c r="N123" s="31" t="inlineStr">
        <is>
          <t>Not Received</t>
        </is>
      </c>
      <c r="O123" s="32">
        <f>IF($B123="","",COUNTIF(G123:N123,"Accepted")+COUNTIF(G123:N123,"Received")+COUNTIF(G123:N123,"Needs Correction"))</f>
        <v/>
      </c>
      <c r="P123" s="32">
        <f>IF($B123="","",SUMPRODUCT(((G123:N123="Accepted")+(G123:N123="Not Needed"))*(Settings!$C$11:$J$11="Yes")))</f>
        <v/>
      </c>
      <c r="Q123" s="32">
        <f>IF($B123="","",SUMPRODUCT(((G123:N123="Accepted")+(G123:N123="Not Needed"))*(Settings!$C$15:$J$15="Yes")))</f>
        <v/>
      </c>
      <c r="R123" s="33">
        <f>IF($B123="","",IF($D123="No","No PTO/PTA",IF($D123&lt;&gt;"Yes","Not Yet Confirmed",IF($Q123&gt;=Settings!$C$13,"Legalized",IF($P123&gt;=Settings!$C$12,"Registered",IF($O123&gt;0,"In Progress","Not Started"))))))</f>
        <v/>
      </c>
      <c r="S123" s="32">
        <f>IF($B123="","",COUNTIF(G123:N123,"Received"))</f>
        <v/>
      </c>
      <c r="T123" s="32">
        <f>IF($B123="","",COUNTIF(G123:N123,"Needs Correction"))</f>
        <v/>
      </c>
      <c r="U123" s="33">
        <f>IF($B123="","",IF($D123&lt;&gt;"Yes","",IF($Q123&gt;=Settings!$C$13,"None",MID(IF(AND(G123&lt;&gt;"Accepted",G123&lt;&gt;"Not Needed",Settings!$C$15="Yes"),", "&amp;G$1,"")&amp;IF(AND(H123&lt;&gt;"Accepted",H123&lt;&gt;"Not Needed",Settings!$D$15="Yes"),", "&amp;H$1,"")&amp;IF(AND(I123&lt;&gt;"Accepted",I123&lt;&gt;"Not Needed",Settings!$E$15="Yes"),", "&amp;I$1,"")&amp;IF(AND(J123&lt;&gt;"Accepted",J123&lt;&gt;"Not Needed",Settings!$F$15="Yes"),", "&amp;J$1,"")&amp;IF(AND(K123&lt;&gt;"Accepted",K123&lt;&gt;"Not Needed",Settings!$G$15="Yes"),", "&amp;K$1,"")&amp;IF(AND(L123&lt;&gt;"Accepted",L123&lt;&gt;"Not Needed",Settings!$H$15="Yes"),", "&amp;L$1,"")&amp;IF(AND(M123&lt;&gt;"Accepted",M123&lt;&gt;"Not Needed",Settings!$I$15="Yes"),", "&amp;M$1,"")&amp;IF(AND(N123&lt;&gt;"Accepted",N123&lt;&gt;"Not Needed",Settings!$J$15="Yes"),", "&amp;N$1,""),3,400))))</f>
        <v/>
      </c>
    </row>
    <row r="124" ht="15" customHeight="1" s="21">
      <c r="A124" s="31" t="inlineStr">
        <is>
          <t>2026-27</t>
        </is>
      </c>
      <c r="B124" s="31" t="inlineStr">
        <is>
          <t>Bellaire HS</t>
        </is>
      </c>
      <c r="C124" s="31" t="inlineStr">
        <is>
          <t>EAS Secondary</t>
        </is>
      </c>
      <c r="D124" s="31" t="inlineStr">
        <is>
          <t>Not Yet Confirmed</t>
        </is>
      </c>
      <c r="E124" s="31" t="n"/>
      <c r="F124" s="31" t="n"/>
      <c r="G124" s="31" t="inlineStr">
        <is>
          <t>Not Received</t>
        </is>
      </c>
      <c r="H124" s="31" t="inlineStr">
        <is>
          <t>Not Received</t>
        </is>
      </c>
      <c r="I124" s="31" t="inlineStr">
        <is>
          <t>Not Received</t>
        </is>
      </c>
      <c r="J124" s="31" t="inlineStr">
        <is>
          <t>Not Received</t>
        </is>
      </c>
      <c r="K124" s="31" t="inlineStr">
        <is>
          <t>Not Received</t>
        </is>
      </c>
      <c r="L124" s="31" t="inlineStr">
        <is>
          <t>Not Received</t>
        </is>
      </c>
      <c r="M124" s="31" t="inlineStr">
        <is>
          <t>Not Received</t>
        </is>
      </c>
      <c r="N124" s="31" t="inlineStr">
        <is>
          <t>Not Received</t>
        </is>
      </c>
      <c r="O124" s="32">
        <f>IF($B124="","",COUNTIF(G124:N124,"Accepted")+COUNTIF(G124:N124,"Received")+COUNTIF(G124:N124,"Needs Correction"))</f>
        <v/>
      </c>
      <c r="P124" s="32">
        <f>IF($B124="","",SUMPRODUCT(((G124:N124="Accepted")+(G124:N124="Not Needed"))*(Settings!$C$11:$J$11="Yes")))</f>
        <v/>
      </c>
      <c r="Q124" s="32">
        <f>IF($B124="","",SUMPRODUCT(((G124:N124="Accepted")+(G124:N124="Not Needed"))*(Settings!$C$15:$J$15="Yes")))</f>
        <v/>
      </c>
      <c r="R124" s="33">
        <f>IF($B124="","",IF($D124="No","No PTO/PTA",IF($D124&lt;&gt;"Yes","Not Yet Confirmed",IF($Q124&gt;=Settings!$C$13,"Legalized",IF($P124&gt;=Settings!$C$12,"Registered",IF($O124&gt;0,"In Progress","Not Started"))))))</f>
        <v/>
      </c>
      <c r="S124" s="32">
        <f>IF($B124="","",COUNTIF(G124:N124,"Received"))</f>
        <v/>
      </c>
      <c r="T124" s="32">
        <f>IF($B124="","",COUNTIF(G124:N124,"Needs Correction"))</f>
        <v/>
      </c>
      <c r="U124" s="33">
        <f>IF($B124="","",IF($D124&lt;&gt;"Yes","",IF($Q124&gt;=Settings!$C$13,"None",MID(IF(AND(G124&lt;&gt;"Accepted",G124&lt;&gt;"Not Needed",Settings!$C$15="Yes"),", "&amp;G$1,"")&amp;IF(AND(H124&lt;&gt;"Accepted",H124&lt;&gt;"Not Needed",Settings!$D$15="Yes"),", "&amp;H$1,"")&amp;IF(AND(I124&lt;&gt;"Accepted",I124&lt;&gt;"Not Needed",Settings!$E$15="Yes"),", "&amp;I$1,"")&amp;IF(AND(J124&lt;&gt;"Accepted",J124&lt;&gt;"Not Needed",Settings!$F$15="Yes"),", "&amp;J$1,"")&amp;IF(AND(K124&lt;&gt;"Accepted",K124&lt;&gt;"Not Needed",Settings!$G$15="Yes"),", "&amp;K$1,"")&amp;IF(AND(L124&lt;&gt;"Accepted",L124&lt;&gt;"Not Needed",Settings!$H$15="Yes"),", "&amp;L$1,"")&amp;IF(AND(M124&lt;&gt;"Accepted",M124&lt;&gt;"Not Needed",Settings!$I$15="Yes"),", "&amp;M$1,"")&amp;IF(AND(N124&lt;&gt;"Accepted",N124&lt;&gt;"Not Needed",Settings!$J$15="Yes"),", "&amp;N$1,""),3,400))))</f>
        <v/>
      </c>
    </row>
    <row r="125" ht="15" customHeight="1" s="21">
      <c r="A125" s="31" t="inlineStr">
        <is>
          <t>2026-27</t>
        </is>
      </c>
      <c r="B125" s="31" t="inlineStr">
        <is>
          <t>Black MS</t>
        </is>
      </c>
      <c r="C125" s="31" t="inlineStr">
        <is>
          <t>EAS Secondary</t>
        </is>
      </c>
      <c r="D125" s="31" t="inlineStr">
        <is>
          <t>Not Yet Confirmed</t>
        </is>
      </c>
      <c r="E125" s="31" t="n"/>
      <c r="F125" s="31" t="n"/>
      <c r="G125" s="31" t="inlineStr">
        <is>
          <t>Not Received</t>
        </is>
      </c>
      <c r="H125" s="31" t="inlineStr">
        <is>
          <t>Not Received</t>
        </is>
      </c>
      <c r="I125" s="31" t="inlineStr">
        <is>
          <t>Not Received</t>
        </is>
      </c>
      <c r="J125" s="31" t="inlineStr">
        <is>
          <t>Not Received</t>
        </is>
      </c>
      <c r="K125" s="31" t="inlineStr">
        <is>
          <t>Not Received</t>
        </is>
      </c>
      <c r="L125" s="31" t="inlineStr">
        <is>
          <t>Not Received</t>
        </is>
      </c>
      <c r="M125" s="31" t="inlineStr">
        <is>
          <t>Not Received</t>
        </is>
      </c>
      <c r="N125" s="31" t="inlineStr">
        <is>
          <t>Not Received</t>
        </is>
      </c>
      <c r="O125" s="32">
        <f>IF($B125="","",COUNTIF(G125:N125,"Accepted")+COUNTIF(G125:N125,"Received")+COUNTIF(G125:N125,"Needs Correction"))</f>
        <v/>
      </c>
      <c r="P125" s="32">
        <f>IF($B125="","",SUMPRODUCT(((G125:N125="Accepted")+(G125:N125="Not Needed"))*(Settings!$C$11:$J$11="Yes")))</f>
        <v/>
      </c>
      <c r="Q125" s="32">
        <f>IF($B125="","",SUMPRODUCT(((G125:N125="Accepted")+(G125:N125="Not Needed"))*(Settings!$C$15:$J$15="Yes")))</f>
        <v/>
      </c>
      <c r="R125" s="33">
        <f>IF($B125="","",IF($D125="No","No PTO/PTA",IF($D125&lt;&gt;"Yes","Not Yet Confirmed",IF($Q125&gt;=Settings!$C$13,"Legalized",IF($P125&gt;=Settings!$C$12,"Registered",IF($O125&gt;0,"In Progress","Not Started"))))))</f>
        <v/>
      </c>
      <c r="S125" s="32">
        <f>IF($B125="","",COUNTIF(G125:N125,"Received"))</f>
        <v/>
      </c>
      <c r="T125" s="32">
        <f>IF($B125="","",COUNTIF(G125:N125,"Needs Correction"))</f>
        <v/>
      </c>
      <c r="U125" s="33">
        <f>IF($B125="","",IF($D125&lt;&gt;"Yes","",IF($Q125&gt;=Settings!$C$13,"None",MID(IF(AND(G125&lt;&gt;"Accepted",G125&lt;&gt;"Not Needed",Settings!$C$15="Yes"),", "&amp;G$1,"")&amp;IF(AND(H125&lt;&gt;"Accepted",H125&lt;&gt;"Not Needed",Settings!$D$15="Yes"),", "&amp;H$1,"")&amp;IF(AND(I125&lt;&gt;"Accepted",I125&lt;&gt;"Not Needed",Settings!$E$15="Yes"),", "&amp;I$1,"")&amp;IF(AND(J125&lt;&gt;"Accepted",J125&lt;&gt;"Not Needed",Settings!$F$15="Yes"),", "&amp;J$1,"")&amp;IF(AND(K125&lt;&gt;"Accepted",K125&lt;&gt;"Not Needed",Settings!$G$15="Yes"),", "&amp;K$1,"")&amp;IF(AND(L125&lt;&gt;"Accepted",L125&lt;&gt;"Not Needed",Settings!$H$15="Yes"),", "&amp;L$1,"")&amp;IF(AND(M125&lt;&gt;"Accepted",M125&lt;&gt;"Not Needed",Settings!$I$15="Yes"),", "&amp;M$1,"")&amp;IF(AND(N125&lt;&gt;"Accepted",N125&lt;&gt;"Not Needed",Settings!$J$15="Yes"),", "&amp;N$1,""),3,400))))</f>
        <v/>
      </c>
    </row>
    <row r="126" ht="15" customHeight="1" s="21">
      <c r="A126" s="31" t="inlineStr">
        <is>
          <t>2026-27</t>
        </is>
      </c>
      <c r="B126" s="31" t="inlineStr">
        <is>
          <t>Burbank MS</t>
        </is>
      </c>
      <c r="C126" s="31" t="inlineStr">
        <is>
          <t>EAS Secondary</t>
        </is>
      </c>
      <c r="D126" s="31" t="inlineStr">
        <is>
          <t>Not Yet Confirmed</t>
        </is>
      </c>
      <c r="E126" s="31" t="n"/>
      <c r="F126" s="31" t="n"/>
      <c r="G126" s="31" t="inlineStr">
        <is>
          <t>Not Received</t>
        </is>
      </c>
      <c r="H126" s="31" t="inlineStr">
        <is>
          <t>Not Received</t>
        </is>
      </c>
      <c r="I126" s="31" t="inlineStr">
        <is>
          <t>Not Received</t>
        </is>
      </c>
      <c r="J126" s="31" t="inlineStr">
        <is>
          <t>Not Received</t>
        </is>
      </c>
      <c r="K126" s="31" t="inlineStr">
        <is>
          <t>Not Received</t>
        </is>
      </c>
      <c r="L126" s="31" t="inlineStr">
        <is>
          <t>Not Received</t>
        </is>
      </c>
      <c r="M126" s="31" t="inlineStr">
        <is>
          <t>Not Received</t>
        </is>
      </c>
      <c r="N126" s="31" t="inlineStr">
        <is>
          <t>Not Received</t>
        </is>
      </c>
      <c r="O126" s="32">
        <f>IF($B126="","",COUNTIF(G126:N126,"Accepted")+COUNTIF(G126:N126,"Received")+COUNTIF(G126:N126,"Needs Correction"))</f>
        <v/>
      </c>
      <c r="P126" s="32">
        <f>IF($B126="","",SUMPRODUCT(((G126:N126="Accepted")+(G126:N126="Not Needed"))*(Settings!$C$11:$J$11="Yes")))</f>
        <v/>
      </c>
      <c r="Q126" s="32">
        <f>IF($B126="","",SUMPRODUCT(((G126:N126="Accepted")+(G126:N126="Not Needed"))*(Settings!$C$15:$J$15="Yes")))</f>
        <v/>
      </c>
      <c r="R126" s="33">
        <f>IF($B126="","",IF($D126="No","No PTO/PTA",IF($D126&lt;&gt;"Yes","Not Yet Confirmed",IF($Q126&gt;=Settings!$C$13,"Legalized",IF($P126&gt;=Settings!$C$12,"Registered",IF($O126&gt;0,"In Progress","Not Started"))))))</f>
        <v/>
      </c>
      <c r="S126" s="32">
        <f>IF($B126="","",COUNTIF(G126:N126,"Received"))</f>
        <v/>
      </c>
      <c r="T126" s="32">
        <f>IF($B126="","",COUNTIF(G126:N126,"Needs Correction"))</f>
        <v/>
      </c>
      <c r="U126" s="33">
        <f>IF($B126="","",IF($D126&lt;&gt;"Yes","",IF($Q126&gt;=Settings!$C$13,"None",MID(IF(AND(G126&lt;&gt;"Accepted",G126&lt;&gt;"Not Needed",Settings!$C$15="Yes"),", "&amp;G$1,"")&amp;IF(AND(H126&lt;&gt;"Accepted",H126&lt;&gt;"Not Needed",Settings!$D$15="Yes"),", "&amp;H$1,"")&amp;IF(AND(I126&lt;&gt;"Accepted",I126&lt;&gt;"Not Needed",Settings!$E$15="Yes"),", "&amp;I$1,"")&amp;IF(AND(J126&lt;&gt;"Accepted",J126&lt;&gt;"Not Needed",Settings!$F$15="Yes"),", "&amp;J$1,"")&amp;IF(AND(K126&lt;&gt;"Accepted",K126&lt;&gt;"Not Needed",Settings!$G$15="Yes"),", "&amp;K$1,"")&amp;IF(AND(L126&lt;&gt;"Accepted",L126&lt;&gt;"Not Needed",Settings!$H$15="Yes"),", "&amp;L$1,"")&amp;IF(AND(M126&lt;&gt;"Accepted",M126&lt;&gt;"Not Needed",Settings!$I$15="Yes"),", "&amp;M$1,"")&amp;IF(AND(N126&lt;&gt;"Accepted",N126&lt;&gt;"Not Needed",Settings!$J$15="Yes"),", "&amp;N$1,""),3,400))))</f>
        <v/>
      </c>
    </row>
    <row r="127" ht="15" customHeight="1" s="21">
      <c r="A127" s="31" t="inlineStr">
        <is>
          <t>2026-27</t>
        </is>
      </c>
      <c r="B127" s="31" t="inlineStr">
        <is>
          <t>Carnegie HS</t>
        </is>
      </c>
      <c r="C127" s="31" t="inlineStr">
        <is>
          <t>EAS Secondary</t>
        </is>
      </c>
      <c r="D127" s="31" t="inlineStr">
        <is>
          <t>Not Yet Confirmed</t>
        </is>
      </c>
      <c r="E127" s="31" t="n"/>
      <c r="F127" s="31" t="n"/>
      <c r="G127" s="31" t="inlineStr">
        <is>
          <t>Not Received</t>
        </is>
      </c>
      <c r="H127" s="31" t="inlineStr">
        <is>
          <t>Not Received</t>
        </is>
      </c>
      <c r="I127" s="31" t="inlineStr">
        <is>
          <t>Not Received</t>
        </is>
      </c>
      <c r="J127" s="31" t="inlineStr">
        <is>
          <t>Not Received</t>
        </is>
      </c>
      <c r="K127" s="31" t="inlineStr">
        <is>
          <t>Not Received</t>
        </is>
      </c>
      <c r="L127" s="31" t="inlineStr">
        <is>
          <t>Not Received</t>
        </is>
      </c>
      <c r="M127" s="31" t="inlineStr">
        <is>
          <t>Not Received</t>
        </is>
      </c>
      <c r="N127" s="31" t="inlineStr">
        <is>
          <t>Not Received</t>
        </is>
      </c>
      <c r="O127" s="32">
        <f>IF($B127="","",COUNTIF(G127:N127,"Accepted")+COUNTIF(G127:N127,"Received")+COUNTIF(G127:N127,"Needs Correction"))</f>
        <v/>
      </c>
      <c r="P127" s="32">
        <f>IF($B127="","",SUMPRODUCT(((G127:N127="Accepted")+(G127:N127="Not Needed"))*(Settings!$C$11:$J$11="Yes")))</f>
        <v/>
      </c>
      <c r="Q127" s="32">
        <f>IF($B127="","",SUMPRODUCT(((G127:N127="Accepted")+(G127:N127="Not Needed"))*(Settings!$C$15:$J$15="Yes")))</f>
        <v/>
      </c>
      <c r="R127" s="33">
        <f>IF($B127="","",IF($D127="No","No PTO/PTA",IF($D127&lt;&gt;"Yes","Not Yet Confirmed",IF($Q127&gt;=Settings!$C$13,"Legalized",IF($P127&gt;=Settings!$C$12,"Registered",IF($O127&gt;0,"In Progress","Not Started"))))))</f>
        <v/>
      </c>
      <c r="S127" s="32">
        <f>IF($B127="","",COUNTIF(G127:N127,"Received"))</f>
        <v/>
      </c>
      <c r="T127" s="32">
        <f>IF($B127="","",COUNTIF(G127:N127,"Needs Correction"))</f>
        <v/>
      </c>
      <c r="U127" s="33">
        <f>IF($B127="","",IF($D127&lt;&gt;"Yes","",IF($Q127&gt;=Settings!$C$13,"None",MID(IF(AND(G127&lt;&gt;"Accepted",G127&lt;&gt;"Not Needed",Settings!$C$15="Yes"),", "&amp;G$1,"")&amp;IF(AND(H127&lt;&gt;"Accepted",H127&lt;&gt;"Not Needed",Settings!$D$15="Yes"),", "&amp;H$1,"")&amp;IF(AND(I127&lt;&gt;"Accepted",I127&lt;&gt;"Not Needed",Settings!$E$15="Yes"),", "&amp;I$1,"")&amp;IF(AND(J127&lt;&gt;"Accepted",J127&lt;&gt;"Not Needed",Settings!$F$15="Yes"),", "&amp;J$1,"")&amp;IF(AND(K127&lt;&gt;"Accepted",K127&lt;&gt;"Not Needed",Settings!$G$15="Yes"),", "&amp;K$1,"")&amp;IF(AND(L127&lt;&gt;"Accepted",L127&lt;&gt;"Not Needed",Settings!$H$15="Yes"),", "&amp;L$1,"")&amp;IF(AND(M127&lt;&gt;"Accepted",M127&lt;&gt;"Not Needed",Settings!$I$15="Yes"),", "&amp;M$1,"")&amp;IF(AND(N127&lt;&gt;"Accepted",N127&lt;&gt;"Not Needed",Settings!$J$15="Yes"),", "&amp;N$1,""),3,400))))</f>
        <v/>
      </c>
    </row>
    <row r="128" ht="15" customHeight="1" s="21">
      <c r="A128" s="31" t="inlineStr">
        <is>
          <t>2026-27</t>
        </is>
      </c>
      <c r="B128" s="31" t="inlineStr">
        <is>
          <t>DeBakey HS</t>
        </is>
      </c>
      <c r="C128" s="31" t="inlineStr">
        <is>
          <t>EAS Secondary</t>
        </is>
      </c>
      <c r="D128" s="31" t="inlineStr">
        <is>
          <t>Not Yet Confirmed</t>
        </is>
      </c>
      <c r="E128" s="31" t="n"/>
      <c r="F128" s="31" t="n"/>
      <c r="G128" s="31" t="inlineStr">
        <is>
          <t>Not Received</t>
        </is>
      </c>
      <c r="H128" s="31" t="inlineStr">
        <is>
          <t>Not Received</t>
        </is>
      </c>
      <c r="I128" s="31" t="inlineStr">
        <is>
          <t>Not Received</t>
        </is>
      </c>
      <c r="J128" s="31" t="inlineStr">
        <is>
          <t>Not Received</t>
        </is>
      </c>
      <c r="K128" s="31" t="inlineStr">
        <is>
          <t>Not Received</t>
        </is>
      </c>
      <c r="L128" s="31" t="inlineStr">
        <is>
          <t>Not Received</t>
        </is>
      </c>
      <c r="M128" s="31" t="inlineStr">
        <is>
          <t>Not Received</t>
        </is>
      </c>
      <c r="N128" s="31" t="inlineStr">
        <is>
          <t>Not Received</t>
        </is>
      </c>
      <c r="O128" s="32">
        <f>IF($B128="","",COUNTIF(G128:N128,"Accepted")+COUNTIF(G128:N128,"Received")+COUNTIF(G128:N128,"Needs Correction"))</f>
        <v/>
      </c>
      <c r="P128" s="32">
        <f>IF($B128="","",SUMPRODUCT(((G128:N128="Accepted")+(G128:N128="Not Needed"))*(Settings!$C$11:$J$11="Yes")))</f>
        <v/>
      </c>
      <c r="Q128" s="32">
        <f>IF($B128="","",SUMPRODUCT(((G128:N128="Accepted")+(G128:N128="Not Needed"))*(Settings!$C$15:$J$15="Yes")))</f>
        <v/>
      </c>
      <c r="R128" s="33">
        <f>IF($B128="","",IF($D128="No","No PTO/PTA",IF($D128&lt;&gt;"Yes","Not Yet Confirmed",IF($Q128&gt;=Settings!$C$13,"Legalized",IF($P128&gt;=Settings!$C$12,"Registered",IF($O128&gt;0,"In Progress","Not Started"))))))</f>
        <v/>
      </c>
      <c r="S128" s="32">
        <f>IF($B128="","",COUNTIF(G128:N128,"Received"))</f>
        <v/>
      </c>
      <c r="T128" s="32">
        <f>IF($B128="","",COUNTIF(G128:N128,"Needs Correction"))</f>
        <v/>
      </c>
      <c r="U128" s="33">
        <f>IF($B128="","",IF($D128&lt;&gt;"Yes","",IF($Q128&gt;=Settings!$C$13,"None",MID(IF(AND(G128&lt;&gt;"Accepted",G128&lt;&gt;"Not Needed",Settings!$C$15="Yes"),", "&amp;G$1,"")&amp;IF(AND(H128&lt;&gt;"Accepted",H128&lt;&gt;"Not Needed",Settings!$D$15="Yes"),", "&amp;H$1,"")&amp;IF(AND(I128&lt;&gt;"Accepted",I128&lt;&gt;"Not Needed",Settings!$E$15="Yes"),", "&amp;I$1,"")&amp;IF(AND(J128&lt;&gt;"Accepted",J128&lt;&gt;"Not Needed",Settings!$F$15="Yes"),", "&amp;J$1,"")&amp;IF(AND(K128&lt;&gt;"Accepted",K128&lt;&gt;"Not Needed",Settings!$G$15="Yes"),", "&amp;K$1,"")&amp;IF(AND(L128&lt;&gt;"Accepted",L128&lt;&gt;"Not Needed",Settings!$H$15="Yes"),", "&amp;L$1,"")&amp;IF(AND(M128&lt;&gt;"Accepted",M128&lt;&gt;"Not Needed",Settings!$I$15="Yes"),", "&amp;M$1,"")&amp;IF(AND(N128&lt;&gt;"Accepted",N128&lt;&gt;"Not Needed",Settings!$J$15="Yes"),", "&amp;N$1,""),3,400))))</f>
        <v/>
      </c>
    </row>
    <row r="129" ht="15" customHeight="1" s="21">
      <c r="A129" s="31" t="inlineStr">
        <is>
          <t>2026-27</t>
        </is>
      </c>
      <c r="B129" s="31" t="inlineStr">
        <is>
          <t>East EC HS</t>
        </is>
      </c>
      <c r="C129" s="31" t="inlineStr">
        <is>
          <t>EAS Secondary</t>
        </is>
      </c>
      <c r="D129" s="31" t="inlineStr">
        <is>
          <t>No</t>
        </is>
      </c>
      <c r="E129" s="31" t="n"/>
      <c r="F129" s="31" t="n"/>
      <c r="G129" s="31" t="inlineStr">
        <is>
          <t>Not Received</t>
        </is>
      </c>
      <c r="H129" s="31" t="inlineStr">
        <is>
          <t>Not Received</t>
        </is>
      </c>
      <c r="I129" s="31" t="inlineStr">
        <is>
          <t>Not Received</t>
        </is>
      </c>
      <c r="J129" s="31" t="inlineStr">
        <is>
          <t>Not Received</t>
        </is>
      </c>
      <c r="K129" s="31" t="inlineStr">
        <is>
          <t>Not Received</t>
        </is>
      </c>
      <c r="L129" s="31" t="inlineStr">
        <is>
          <t>Not Received</t>
        </is>
      </c>
      <c r="M129" s="31" t="inlineStr">
        <is>
          <t>Not Received</t>
        </is>
      </c>
      <c r="N129" s="31" t="inlineStr">
        <is>
          <t>Not Received</t>
        </is>
      </c>
      <c r="O129" s="32">
        <f>IF($B129="","",COUNTIF(G129:N129,"Accepted")+COUNTIF(G129:N129,"Received")+COUNTIF(G129:N129,"Needs Correction"))</f>
        <v/>
      </c>
      <c r="P129" s="32">
        <f>IF($B129="","",SUMPRODUCT(((G129:N129="Accepted")+(G129:N129="Not Needed"))*(Settings!$C$11:$J$11="Yes")))</f>
        <v/>
      </c>
      <c r="Q129" s="32">
        <f>IF($B129="","",SUMPRODUCT(((G129:N129="Accepted")+(G129:N129="Not Needed"))*(Settings!$C$15:$J$15="Yes")))</f>
        <v/>
      </c>
      <c r="R129" s="33">
        <f>IF($B129="","",IF($D129="No","No PTO/PTA",IF($D129&lt;&gt;"Yes","Not Yet Confirmed",IF($Q129&gt;=Settings!$C$13,"Legalized",IF($P129&gt;=Settings!$C$12,"Registered",IF($O129&gt;0,"In Progress","Not Started"))))))</f>
        <v/>
      </c>
      <c r="S129" s="32">
        <f>IF($B129="","",COUNTIF(G129:N129,"Received"))</f>
        <v/>
      </c>
      <c r="T129" s="32">
        <f>IF($B129="","",COUNTIF(G129:N129,"Needs Correction"))</f>
        <v/>
      </c>
      <c r="U129" s="33">
        <f>IF($B129="","",IF($D129&lt;&gt;"Yes","",IF($Q129&gt;=Settings!$C$13,"None",MID(IF(AND(G129&lt;&gt;"Accepted",G129&lt;&gt;"Not Needed",Settings!$C$15="Yes"),", "&amp;G$1,"")&amp;IF(AND(H129&lt;&gt;"Accepted",H129&lt;&gt;"Not Needed",Settings!$D$15="Yes"),", "&amp;H$1,"")&amp;IF(AND(I129&lt;&gt;"Accepted",I129&lt;&gt;"Not Needed",Settings!$E$15="Yes"),", "&amp;I$1,"")&amp;IF(AND(J129&lt;&gt;"Accepted",J129&lt;&gt;"Not Needed",Settings!$F$15="Yes"),", "&amp;J$1,"")&amp;IF(AND(K129&lt;&gt;"Accepted",K129&lt;&gt;"Not Needed",Settings!$G$15="Yes"),", "&amp;K$1,"")&amp;IF(AND(L129&lt;&gt;"Accepted",L129&lt;&gt;"Not Needed",Settings!$H$15="Yes"),", "&amp;L$1,"")&amp;IF(AND(M129&lt;&gt;"Accepted",M129&lt;&gt;"Not Needed",Settings!$I$15="Yes"),", "&amp;M$1,"")&amp;IF(AND(N129&lt;&gt;"Accepted",N129&lt;&gt;"Not Needed",Settings!$J$15="Yes"),", "&amp;N$1,""),3,400))))</f>
        <v/>
      </c>
    </row>
    <row r="130" ht="15" customHeight="1" s="21">
      <c r="A130" s="31" t="inlineStr">
        <is>
          <t>2026-27</t>
        </is>
      </c>
      <c r="B130" s="31" t="inlineStr">
        <is>
          <t>Eastwood Acad HS</t>
        </is>
      </c>
      <c r="C130" s="31" t="inlineStr">
        <is>
          <t>EAS Secondary</t>
        </is>
      </c>
      <c r="D130" s="31" t="inlineStr">
        <is>
          <t>Not Yet Confirmed</t>
        </is>
      </c>
      <c r="E130" s="31" t="n"/>
      <c r="F130" s="31" t="n"/>
      <c r="G130" s="31" t="inlineStr">
        <is>
          <t>Not Received</t>
        </is>
      </c>
      <c r="H130" s="31" t="inlineStr">
        <is>
          <t>Not Received</t>
        </is>
      </c>
      <c r="I130" s="31" t="inlineStr">
        <is>
          <t>Not Received</t>
        </is>
      </c>
      <c r="J130" s="31" t="inlineStr">
        <is>
          <t>Not Received</t>
        </is>
      </c>
      <c r="K130" s="31" t="inlineStr">
        <is>
          <t>Not Received</t>
        </is>
      </c>
      <c r="L130" s="31" t="inlineStr">
        <is>
          <t>Not Received</t>
        </is>
      </c>
      <c r="M130" s="31" t="inlineStr">
        <is>
          <t>Not Received</t>
        </is>
      </c>
      <c r="N130" s="31" t="inlineStr">
        <is>
          <t>Not Received</t>
        </is>
      </c>
      <c r="O130" s="32">
        <f>IF($B130="","",COUNTIF(G130:N130,"Accepted")+COUNTIF(G130:N130,"Received")+COUNTIF(G130:N130,"Needs Correction"))</f>
        <v/>
      </c>
      <c r="P130" s="32">
        <f>IF($B130="","",SUMPRODUCT(((G130:N130="Accepted")+(G130:N130="Not Needed"))*(Settings!$C$11:$J$11="Yes")))</f>
        <v/>
      </c>
      <c r="Q130" s="32">
        <f>IF($B130="","",SUMPRODUCT(((G130:N130="Accepted")+(G130:N130="Not Needed"))*(Settings!$C$15:$J$15="Yes")))</f>
        <v/>
      </c>
      <c r="R130" s="33">
        <f>IF($B130="","",IF($D130="No","No PTO/PTA",IF($D130&lt;&gt;"Yes","Not Yet Confirmed",IF($Q130&gt;=Settings!$C$13,"Legalized",IF($P130&gt;=Settings!$C$12,"Registered",IF($O130&gt;0,"In Progress","Not Started"))))))</f>
        <v/>
      </c>
      <c r="S130" s="32">
        <f>IF($B130="","",COUNTIF(G130:N130,"Received"))</f>
        <v/>
      </c>
      <c r="T130" s="32">
        <f>IF($B130="","",COUNTIF(G130:N130,"Needs Correction"))</f>
        <v/>
      </c>
      <c r="U130" s="33">
        <f>IF($B130="","",IF($D130&lt;&gt;"Yes","",IF($Q130&gt;=Settings!$C$13,"None",MID(IF(AND(G130&lt;&gt;"Accepted",G130&lt;&gt;"Not Needed",Settings!$C$15="Yes"),", "&amp;G$1,"")&amp;IF(AND(H130&lt;&gt;"Accepted",H130&lt;&gt;"Not Needed",Settings!$D$15="Yes"),", "&amp;H$1,"")&amp;IF(AND(I130&lt;&gt;"Accepted",I130&lt;&gt;"Not Needed",Settings!$E$15="Yes"),", "&amp;I$1,"")&amp;IF(AND(J130&lt;&gt;"Accepted",J130&lt;&gt;"Not Needed",Settings!$F$15="Yes"),", "&amp;J$1,"")&amp;IF(AND(K130&lt;&gt;"Accepted",K130&lt;&gt;"Not Needed",Settings!$G$15="Yes"),", "&amp;K$1,"")&amp;IF(AND(L130&lt;&gt;"Accepted",L130&lt;&gt;"Not Needed",Settings!$H$15="Yes"),", "&amp;L$1,"")&amp;IF(AND(M130&lt;&gt;"Accepted",M130&lt;&gt;"Not Needed",Settings!$I$15="Yes"),", "&amp;M$1,"")&amp;IF(AND(N130&lt;&gt;"Accepted",N130&lt;&gt;"Not Needed",Settings!$J$15="Yes"),", "&amp;N$1,""),3,400))))</f>
        <v/>
      </c>
    </row>
    <row r="131" ht="15" customHeight="1" s="21">
      <c r="A131" s="31" t="inlineStr">
        <is>
          <t>2026-27</t>
        </is>
      </c>
      <c r="B131" s="31" t="inlineStr">
        <is>
          <t>Hamilton MS</t>
        </is>
      </c>
      <c r="C131" s="31" t="inlineStr">
        <is>
          <t>EAS Secondary</t>
        </is>
      </c>
      <c r="D131" s="31" t="inlineStr">
        <is>
          <t>Yes</t>
        </is>
      </c>
      <c r="E131" s="31" t="inlineStr">
        <is>
          <t>PTA</t>
        </is>
      </c>
      <c r="F131" s="31" t="n"/>
      <c r="G131" s="31" t="inlineStr">
        <is>
          <t>Accepted</t>
        </is>
      </c>
      <c r="H131" s="31" t="inlineStr">
        <is>
          <t>Not Received</t>
        </is>
      </c>
      <c r="I131" s="31" t="inlineStr">
        <is>
          <t>Not Received</t>
        </is>
      </c>
      <c r="J131" s="31" t="inlineStr">
        <is>
          <t>Accepted</t>
        </is>
      </c>
      <c r="K131" s="31" t="inlineStr">
        <is>
          <t>Accepted</t>
        </is>
      </c>
      <c r="L131" s="31" t="inlineStr">
        <is>
          <t>Accepted</t>
        </is>
      </c>
      <c r="M131" s="31" t="inlineStr">
        <is>
          <t>Not Received</t>
        </is>
      </c>
      <c r="N131" s="31" t="inlineStr">
        <is>
          <t>Not Received</t>
        </is>
      </c>
      <c r="O131" s="32">
        <f>IF($B131="","",COUNTIF(G131:N131,"Accepted")+COUNTIF(G131:N131,"Received")+COUNTIF(G131:N131,"Needs Correction"))</f>
        <v/>
      </c>
      <c r="P131" s="32">
        <f>IF($B131="","",SUMPRODUCT(((G131:N131="Accepted")+(G131:N131="Not Needed"))*(Settings!$C$11:$J$11="Yes")))</f>
        <v/>
      </c>
      <c r="Q131" s="32">
        <f>IF($B131="","",SUMPRODUCT(((G131:N131="Accepted")+(G131:N131="Not Needed"))*(Settings!$C$15:$J$15="Yes")))</f>
        <v/>
      </c>
      <c r="R131" s="33">
        <f>IF($B131="","",IF($D131="No","No PTO/PTA",IF($D131&lt;&gt;"Yes","Not Yet Confirmed",IF($Q131&gt;=Settings!$C$13,"Legalized",IF($P131&gt;=Settings!$C$12,"Registered",IF($O131&gt;0,"In Progress","Not Started"))))))</f>
        <v/>
      </c>
      <c r="S131" s="32">
        <f>IF($B131="","",COUNTIF(G131:N131,"Received"))</f>
        <v/>
      </c>
      <c r="T131" s="32">
        <f>IF($B131="","",COUNTIF(G131:N131,"Needs Correction"))</f>
        <v/>
      </c>
      <c r="U131" s="33">
        <f>IF($B131="","",IF($D131&lt;&gt;"Yes","",IF($Q131&gt;=Settings!$C$13,"None",MID(IF(AND(G131&lt;&gt;"Accepted",G131&lt;&gt;"Not Needed",Settings!$C$15="Yes"),", "&amp;G$1,"")&amp;IF(AND(H131&lt;&gt;"Accepted",H131&lt;&gt;"Not Needed",Settings!$D$15="Yes"),", "&amp;H$1,"")&amp;IF(AND(I131&lt;&gt;"Accepted",I131&lt;&gt;"Not Needed",Settings!$E$15="Yes"),", "&amp;I$1,"")&amp;IF(AND(J131&lt;&gt;"Accepted",J131&lt;&gt;"Not Needed",Settings!$F$15="Yes"),", "&amp;J$1,"")&amp;IF(AND(K131&lt;&gt;"Accepted",K131&lt;&gt;"Not Needed",Settings!$G$15="Yes"),", "&amp;K$1,"")&amp;IF(AND(L131&lt;&gt;"Accepted",L131&lt;&gt;"Not Needed",Settings!$H$15="Yes"),", "&amp;L$1,"")&amp;IF(AND(M131&lt;&gt;"Accepted",M131&lt;&gt;"Not Needed",Settings!$I$15="Yes"),", "&amp;M$1,"")&amp;IF(AND(N131&lt;&gt;"Accepted",N131&lt;&gt;"Not Needed",Settings!$J$15="Yes"),", "&amp;N$1,""),3,400))))</f>
        <v/>
      </c>
    </row>
    <row r="132" ht="15" customHeight="1" s="21">
      <c r="A132" s="31" t="inlineStr">
        <is>
          <t>2026-27</t>
        </is>
      </c>
      <c r="B132" s="31" t="inlineStr">
        <is>
          <t>Heights HS</t>
        </is>
      </c>
      <c r="C132" s="31" t="inlineStr">
        <is>
          <t>EAS Secondary</t>
        </is>
      </c>
      <c r="D132" s="31" t="inlineStr">
        <is>
          <t>Not Yet Confirmed</t>
        </is>
      </c>
      <c r="E132" s="31" t="n"/>
      <c r="F132" s="31" t="n"/>
      <c r="G132" s="31" t="inlineStr">
        <is>
          <t>Not Received</t>
        </is>
      </c>
      <c r="H132" s="31" t="inlineStr">
        <is>
          <t>Not Received</t>
        </is>
      </c>
      <c r="I132" s="31" t="inlineStr">
        <is>
          <t>Not Received</t>
        </is>
      </c>
      <c r="J132" s="31" t="inlineStr">
        <is>
          <t>Not Received</t>
        </is>
      </c>
      <c r="K132" s="31" t="inlineStr">
        <is>
          <t>Not Received</t>
        </is>
      </c>
      <c r="L132" s="31" t="inlineStr">
        <is>
          <t>Not Received</t>
        </is>
      </c>
      <c r="M132" s="31" t="inlineStr">
        <is>
          <t>Not Received</t>
        </is>
      </c>
      <c r="N132" s="31" t="inlineStr">
        <is>
          <t>Not Received</t>
        </is>
      </c>
      <c r="O132" s="32">
        <f>IF($B132="","",COUNTIF(G132:N132,"Accepted")+COUNTIF(G132:N132,"Received")+COUNTIF(G132:N132,"Needs Correction"))</f>
        <v/>
      </c>
      <c r="P132" s="32">
        <f>IF($B132="","",SUMPRODUCT(((G132:N132="Accepted")+(G132:N132="Not Needed"))*(Settings!$C$11:$J$11="Yes")))</f>
        <v/>
      </c>
      <c r="Q132" s="32">
        <f>IF($B132="","",SUMPRODUCT(((G132:N132="Accepted")+(G132:N132="Not Needed"))*(Settings!$C$15:$J$15="Yes")))</f>
        <v/>
      </c>
      <c r="R132" s="33">
        <f>IF($B132="","",IF($D132="No","No PTO/PTA",IF($D132&lt;&gt;"Yes","Not Yet Confirmed",IF($Q132&gt;=Settings!$C$13,"Legalized",IF($P132&gt;=Settings!$C$12,"Registered",IF($O132&gt;0,"In Progress","Not Started"))))))</f>
        <v/>
      </c>
      <c r="S132" s="32">
        <f>IF($B132="","",COUNTIF(G132:N132,"Received"))</f>
        <v/>
      </c>
      <c r="T132" s="32">
        <f>IF($B132="","",COUNTIF(G132:N132,"Needs Correction"))</f>
        <v/>
      </c>
      <c r="U132" s="33">
        <f>IF($B132="","",IF($D132&lt;&gt;"Yes","",IF($Q132&gt;=Settings!$C$13,"None",MID(IF(AND(G132&lt;&gt;"Accepted",G132&lt;&gt;"Not Needed",Settings!$C$15="Yes"),", "&amp;G$1,"")&amp;IF(AND(H132&lt;&gt;"Accepted",H132&lt;&gt;"Not Needed",Settings!$D$15="Yes"),", "&amp;H$1,"")&amp;IF(AND(I132&lt;&gt;"Accepted",I132&lt;&gt;"Not Needed",Settings!$E$15="Yes"),", "&amp;I$1,"")&amp;IF(AND(J132&lt;&gt;"Accepted",J132&lt;&gt;"Not Needed",Settings!$F$15="Yes"),", "&amp;J$1,"")&amp;IF(AND(K132&lt;&gt;"Accepted",K132&lt;&gt;"Not Needed",Settings!$G$15="Yes"),", "&amp;K$1,"")&amp;IF(AND(L132&lt;&gt;"Accepted",L132&lt;&gt;"Not Needed",Settings!$H$15="Yes"),", "&amp;L$1,"")&amp;IF(AND(M132&lt;&gt;"Accepted",M132&lt;&gt;"Not Needed",Settings!$I$15="Yes"),", "&amp;M$1,"")&amp;IF(AND(N132&lt;&gt;"Accepted",N132&lt;&gt;"Not Needed",Settings!$J$15="Yes"),", "&amp;N$1,""),3,400))))</f>
        <v/>
      </c>
    </row>
    <row r="133" ht="15" customHeight="1" s="21">
      <c r="A133" s="31" t="inlineStr">
        <is>
          <t>2026-27</t>
        </is>
      </c>
      <c r="B133" s="31" t="inlineStr">
        <is>
          <t>High School Ahead Acad MS</t>
        </is>
      </c>
      <c r="C133" s="31" t="inlineStr">
        <is>
          <t>EAS Secondary</t>
        </is>
      </c>
      <c r="D133" s="31" t="inlineStr">
        <is>
          <t>No</t>
        </is>
      </c>
      <c r="E133" s="31" t="n"/>
      <c r="F133" s="31" t="n"/>
      <c r="G133" s="31" t="inlineStr">
        <is>
          <t>Not Received</t>
        </is>
      </c>
      <c r="H133" s="31" t="inlineStr">
        <is>
          <t>Not Received</t>
        </is>
      </c>
      <c r="I133" s="31" t="inlineStr">
        <is>
          <t>Not Received</t>
        </is>
      </c>
      <c r="J133" s="31" t="inlineStr">
        <is>
          <t>Not Received</t>
        </is>
      </c>
      <c r="K133" s="31" t="inlineStr">
        <is>
          <t>Not Received</t>
        </is>
      </c>
      <c r="L133" s="31" t="inlineStr">
        <is>
          <t>Not Received</t>
        </is>
      </c>
      <c r="M133" s="31" t="inlineStr">
        <is>
          <t>Not Received</t>
        </is>
      </c>
      <c r="N133" s="31" t="inlineStr">
        <is>
          <t>Not Received</t>
        </is>
      </c>
      <c r="O133" s="32">
        <f>IF($B133="","",COUNTIF(G133:N133,"Accepted")+COUNTIF(G133:N133,"Received")+COUNTIF(G133:N133,"Needs Correction"))</f>
        <v/>
      </c>
      <c r="P133" s="32">
        <f>IF($B133="","",SUMPRODUCT(((G133:N133="Accepted")+(G133:N133="Not Needed"))*(Settings!$C$11:$J$11="Yes")))</f>
        <v/>
      </c>
      <c r="Q133" s="32">
        <f>IF($B133="","",SUMPRODUCT(((G133:N133="Accepted")+(G133:N133="Not Needed"))*(Settings!$C$15:$J$15="Yes")))</f>
        <v/>
      </c>
      <c r="R133" s="33">
        <f>IF($B133="","",IF($D133="No","No PTO/PTA",IF($D133&lt;&gt;"Yes","Not Yet Confirmed",IF($Q133&gt;=Settings!$C$13,"Legalized",IF($P133&gt;=Settings!$C$12,"Registered",IF($O133&gt;0,"In Progress","Not Started"))))))</f>
        <v/>
      </c>
      <c r="S133" s="32">
        <f>IF($B133="","",COUNTIF(G133:N133,"Received"))</f>
        <v/>
      </c>
      <c r="T133" s="32">
        <f>IF($B133="","",COUNTIF(G133:N133,"Needs Correction"))</f>
        <v/>
      </c>
      <c r="U133" s="33">
        <f>IF($B133="","",IF($D133&lt;&gt;"Yes","",IF($Q133&gt;=Settings!$C$13,"None",MID(IF(AND(G133&lt;&gt;"Accepted",G133&lt;&gt;"Not Needed",Settings!$C$15="Yes"),", "&amp;G$1,"")&amp;IF(AND(H133&lt;&gt;"Accepted",H133&lt;&gt;"Not Needed",Settings!$D$15="Yes"),", "&amp;H$1,"")&amp;IF(AND(I133&lt;&gt;"Accepted",I133&lt;&gt;"Not Needed",Settings!$E$15="Yes"),", "&amp;I$1,"")&amp;IF(AND(J133&lt;&gt;"Accepted",J133&lt;&gt;"Not Needed",Settings!$F$15="Yes"),", "&amp;J$1,"")&amp;IF(AND(K133&lt;&gt;"Accepted",K133&lt;&gt;"Not Needed",Settings!$G$15="Yes"),", "&amp;K$1,"")&amp;IF(AND(L133&lt;&gt;"Accepted",L133&lt;&gt;"Not Needed",Settings!$H$15="Yes"),", "&amp;L$1,"")&amp;IF(AND(M133&lt;&gt;"Accepted",M133&lt;&gt;"Not Needed",Settings!$I$15="Yes"),", "&amp;M$1,"")&amp;IF(AND(N133&lt;&gt;"Accepted",N133&lt;&gt;"Not Needed",Settings!$J$15="Yes"),", "&amp;N$1,""),3,400))))</f>
        <v/>
      </c>
    </row>
    <row r="134" ht="15" customHeight="1" s="21">
      <c r="A134" s="31" t="inlineStr">
        <is>
          <t>2026-27</t>
        </is>
      </c>
      <c r="B134" s="31" t="inlineStr">
        <is>
          <t>Hogg MS</t>
        </is>
      </c>
      <c r="C134" s="31" t="inlineStr">
        <is>
          <t>EAS Secondary</t>
        </is>
      </c>
      <c r="D134" s="31" t="inlineStr">
        <is>
          <t>Yes</t>
        </is>
      </c>
      <c r="E134" s="31" t="inlineStr">
        <is>
          <t>PTA</t>
        </is>
      </c>
      <c r="F134" s="31" t="n"/>
      <c r="G134" s="31" t="inlineStr">
        <is>
          <t>Accepted</t>
        </is>
      </c>
      <c r="H134" s="31" t="inlineStr">
        <is>
          <t>Not Received</t>
        </is>
      </c>
      <c r="I134" s="31" t="inlineStr">
        <is>
          <t>Not Received</t>
        </is>
      </c>
      <c r="J134" s="31" t="inlineStr">
        <is>
          <t>Accepted</t>
        </is>
      </c>
      <c r="K134" s="31" t="inlineStr">
        <is>
          <t>Accepted</t>
        </is>
      </c>
      <c r="L134" s="31" t="inlineStr">
        <is>
          <t>Accepted</t>
        </is>
      </c>
      <c r="M134" s="31" t="inlineStr">
        <is>
          <t>Not Received</t>
        </is>
      </c>
      <c r="N134" s="31" t="inlineStr">
        <is>
          <t>Not Received</t>
        </is>
      </c>
      <c r="O134" s="32">
        <f>IF($B134="","",COUNTIF(G134:N134,"Accepted")+COUNTIF(G134:N134,"Received")+COUNTIF(G134:N134,"Needs Correction"))</f>
        <v/>
      </c>
      <c r="P134" s="32">
        <f>IF($B134="","",SUMPRODUCT(((G134:N134="Accepted")+(G134:N134="Not Needed"))*(Settings!$C$11:$J$11="Yes")))</f>
        <v/>
      </c>
      <c r="Q134" s="32">
        <f>IF($B134="","",SUMPRODUCT(((G134:N134="Accepted")+(G134:N134="Not Needed"))*(Settings!$C$15:$J$15="Yes")))</f>
        <v/>
      </c>
      <c r="R134" s="33">
        <f>IF($B134="","",IF($D134="No","No PTO/PTA",IF($D134&lt;&gt;"Yes","Not Yet Confirmed",IF($Q134&gt;=Settings!$C$13,"Legalized",IF($P134&gt;=Settings!$C$12,"Registered",IF($O134&gt;0,"In Progress","Not Started"))))))</f>
        <v/>
      </c>
      <c r="S134" s="32">
        <f>IF($B134="","",COUNTIF(G134:N134,"Received"))</f>
        <v/>
      </c>
      <c r="T134" s="32">
        <f>IF($B134="","",COUNTIF(G134:N134,"Needs Correction"))</f>
        <v/>
      </c>
      <c r="U134" s="33">
        <f>IF($B134="","",IF($D134&lt;&gt;"Yes","",IF($Q134&gt;=Settings!$C$13,"None",MID(IF(AND(G134&lt;&gt;"Accepted",G134&lt;&gt;"Not Needed",Settings!$C$15="Yes"),", "&amp;G$1,"")&amp;IF(AND(H134&lt;&gt;"Accepted",H134&lt;&gt;"Not Needed",Settings!$D$15="Yes"),", "&amp;H$1,"")&amp;IF(AND(I134&lt;&gt;"Accepted",I134&lt;&gt;"Not Needed",Settings!$E$15="Yes"),", "&amp;I$1,"")&amp;IF(AND(J134&lt;&gt;"Accepted",J134&lt;&gt;"Not Needed",Settings!$F$15="Yes"),", "&amp;J$1,"")&amp;IF(AND(K134&lt;&gt;"Accepted",K134&lt;&gt;"Not Needed",Settings!$G$15="Yes"),", "&amp;K$1,"")&amp;IF(AND(L134&lt;&gt;"Accepted",L134&lt;&gt;"Not Needed",Settings!$H$15="Yes"),", "&amp;L$1,"")&amp;IF(AND(M134&lt;&gt;"Accepted",M134&lt;&gt;"Not Needed",Settings!$I$15="Yes"),", "&amp;M$1,"")&amp;IF(AND(N134&lt;&gt;"Accepted",N134&lt;&gt;"Not Needed",Settings!$J$15="Yes"),", "&amp;N$1,""),3,400))))</f>
        <v/>
      </c>
    </row>
    <row r="135" ht="15" customHeight="1" s="21">
      <c r="A135" s="31" t="inlineStr">
        <is>
          <t>2026-27</t>
        </is>
      </c>
      <c r="B135" s="31" t="inlineStr">
        <is>
          <t>Lamar HS</t>
        </is>
      </c>
      <c r="C135" s="31" t="inlineStr">
        <is>
          <t>EAS Secondary</t>
        </is>
      </c>
      <c r="D135" s="31" t="inlineStr">
        <is>
          <t>Not Yet Confirmed</t>
        </is>
      </c>
      <c r="E135" s="31" t="n"/>
      <c r="F135" s="31" t="n"/>
      <c r="G135" s="31" t="inlineStr">
        <is>
          <t>Not Received</t>
        </is>
      </c>
      <c r="H135" s="31" t="inlineStr">
        <is>
          <t>Not Received</t>
        </is>
      </c>
      <c r="I135" s="31" t="inlineStr">
        <is>
          <t>Not Received</t>
        </is>
      </c>
      <c r="J135" s="31" t="inlineStr">
        <is>
          <t>Not Received</t>
        </is>
      </c>
      <c r="K135" s="31" t="inlineStr">
        <is>
          <t>Not Received</t>
        </is>
      </c>
      <c r="L135" s="31" t="inlineStr">
        <is>
          <t>Not Received</t>
        </is>
      </c>
      <c r="M135" s="31" t="inlineStr">
        <is>
          <t>Not Received</t>
        </is>
      </c>
      <c r="N135" s="31" t="inlineStr">
        <is>
          <t>Not Received</t>
        </is>
      </c>
      <c r="O135" s="32">
        <f>IF($B135="","",COUNTIF(G135:N135,"Accepted")+COUNTIF(G135:N135,"Received")+COUNTIF(G135:N135,"Needs Correction"))</f>
        <v/>
      </c>
      <c r="P135" s="32">
        <f>IF($B135="","",SUMPRODUCT(((G135:N135="Accepted")+(G135:N135="Not Needed"))*(Settings!$C$11:$J$11="Yes")))</f>
        <v/>
      </c>
      <c r="Q135" s="32">
        <f>IF($B135="","",SUMPRODUCT(((G135:N135="Accepted")+(G135:N135="Not Needed"))*(Settings!$C$15:$J$15="Yes")))</f>
        <v/>
      </c>
      <c r="R135" s="33">
        <f>IF($B135="","",IF($D135="No","No PTO/PTA",IF($D135&lt;&gt;"Yes","Not Yet Confirmed",IF($Q135&gt;=Settings!$C$13,"Legalized",IF($P135&gt;=Settings!$C$12,"Registered",IF($O135&gt;0,"In Progress","Not Started"))))))</f>
        <v/>
      </c>
      <c r="S135" s="32">
        <f>IF($B135="","",COUNTIF(G135:N135,"Received"))</f>
        <v/>
      </c>
      <c r="T135" s="32">
        <f>IF($B135="","",COUNTIF(G135:N135,"Needs Correction"))</f>
        <v/>
      </c>
      <c r="U135" s="33">
        <f>IF($B135="","",IF($D135&lt;&gt;"Yes","",IF($Q135&gt;=Settings!$C$13,"None",MID(IF(AND(G135&lt;&gt;"Accepted",G135&lt;&gt;"Not Needed",Settings!$C$15="Yes"),", "&amp;G$1,"")&amp;IF(AND(H135&lt;&gt;"Accepted",H135&lt;&gt;"Not Needed",Settings!$D$15="Yes"),", "&amp;H$1,"")&amp;IF(AND(I135&lt;&gt;"Accepted",I135&lt;&gt;"Not Needed",Settings!$E$15="Yes"),", "&amp;I$1,"")&amp;IF(AND(J135&lt;&gt;"Accepted",J135&lt;&gt;"Not Needed",Settings!$F$15="Yes"),", "&amp;J$1,"")&amp;IF(AND(K135&lt;&gt;"Accepted",K135&lt;&gt;"Not Needed",Settings!$G$15="Yes"),", "&amp;K$1,"")&amp;IF(AND(L135&lt;&gt;"Accepted",L135&lt;&gt;"Not Needed",Settings!$H$15="Yes"),", "&amp;L$1,"")&amp;IF(AND(M135&lt;&gt;"Accepted",M135&lt;&gt;"Not Needed",Settings!$I$15="Yes"),", "&amp;M$1,"")&amp;IF(AND(N135&lt;&gt;"Accepted",N135&lt;&gt;"Not Needed",Settings!$J$15="Yes"),", "&amp;N$1,""),3,400))))</f>
        <v/>
      </c>
    </row>
    <row r="136" ht="15" customHeight="1" s="21">
      <c r="A136" s="31" t="inlineStr">
        <is>
          <t>2026-27</t>
        </is>
      </c>
      <c r="B136" s="31" t="inlineStr">
        <is>
          <t>Lanier MS</t>
        </is>
      </c>
      <c r="C136" s="31" t="inlineStr">
        <is>
          <t>EAS Secondary</t>
        </is>
      </c>
      <c r="D136" s="31" t="inlineStr">
        <is>
          <t>Not Yet Confirmed</t>
        </is>
      </c>
      <c r="E136" s="31" t="n"/>
      <c r="F136" s="31" t="n"/>
      <c r="G136" s="31" t="inlineStr">
        <is>
          <t>Not Received</t>
        </is>
      </c>
      <c r="H136" s="31" t="inlineStr">
        <is>
          <t>Not Received</t>
        </is>
      </c>
      <c r="I136" s="31" t="inlineStr">
        <is>
          <t>Not Received</t>
        </is>
      </c>
      <c r="J136" s="31" t="inlineStr">
        <is>
          <t>Not Received</t>
        </is>
      </c>
      <c r="K136" s="31" t="inlineStr">
        <is>
          <t>Not Received</t>
        </is>
      </c>
      <c r="L136" s="31" t="inlineStr">
        <is>
          <t>Not Received</t>
        </is>
      </c>
      <c r="M136" s="31" t="inlineStr">
        <is>
          <t>Not Received</t>
        </is>
      </c>
      <c r="N136" s="31" t="inlineStr">
        <is>
          <t>Not Received</t>
        </is>
      </c>
      <c r="O136" s="32">
        <f>IF($B136="","",COUNTIF(G136:N136,"Accepted")+COUNTIF(G136:N136,"Received")+COUNTIF(G136:N136,"Needs Correction"))</f>
        <v/>
      </c>
      <c r="P136" s="32">
        <f>IF($B136="","",SUMPRODUCT(((G136:N136="Accepted")+(G136:N136="Not Needed"))*(Settings!$C$11:$J$11="Yes")))</f>
        <v/>
      </c>
      <c r="Q136" s="32">
        <f>IF($B136="","",SUMPRODUCT(((G136:N136="Accepted")+(G136:N136="Not Needed"))*(Settings!$C$15:$J$15="Yes")))</f>
        <v/>
      </c>
      <c r="R136" s="33">
        <f>IF($B136="","",IF($D136="No","No PTO/PTA",IF($D136&lt;&gt;"Yes","Not Yet Confirmed",IF($Q136&gt;=Settings!$C$13,"Legalized",IF($P136&gt;=Settings!$C$12,"Registered",IF($O136&gt;0,"In Progress","Not Started"))))))</f>
        <v/>
      </c>
      <c r="S136" s="32">
        <f>IF($B136="","",COUNTIF(G136:N136,"Received"))</f>
        <v/>
      </c>
      <c r="T136" s="32">
        <f>IF($B136="","",COUNTIF(G136:N136,"Needs Correction"))</f>
        <v/>
      </c>
      <c r="U136" s="33">
        <f>IF($B136="","",IF($D136&lt;&gt;"Yes","",IF($Q136&gt;=Settings!$C$13,"None",MID(IF(AND(G136&lt;&gt;"Accepted",G136&lt;&gt;"Not Needed",Settings!$C$15="Yes"),", "&amp;G$1,"")&amp;IF(AND(H136&lt;&gt;"Accepted",H136&lt;&gt;"Not Needed",Settings!$D$15="Yes"),", "&amp;H$1,"")&amp;IF(AND(I136&lt;&gt;"Accepted",I136&lt;&gt;"Not Needed",Settings!$E$15="Yes"),", "&amp;I$1,"")&amp;IF(AND(J136&lt;&gt;"Accepted",J136&lt;&gt;"Not Needed",Settings!$F$15="Yes"),", "&amp;J$1,"")&amp;IF(AND(K136&lt;&gt;"Accepted",K136&lt;&gt;"Not Needed",Settings!$G$15="Yes"),", "&amp;K$1,"")&amp;IF(AND(L136&lt;&gt;"Accepted",L136&lt;&gt;"Not Needed",Settings!$H$15="Yes"),", "&amp;L$1,"")&amp;IF(AND(M136&lt;&gt;"Accepted",M136&lt;&gt;"Not Needed",Settings!$I$15="Yes"),", "&amp;M$1,"")&amp;IF(AND(N136&lt;&gt;"Accepted",N136&lt;&gt;"Not Needed",Settings!$J$15="Yes"),", "&amp;N$1,""),3,400))))</f>
        <v/>
      </c>
    </row>
    <row r="137" ht="15" customHeight="1" s="21">
      <c r="A137" s="31" t="inlineStr">
        <is>
          <t>2026-27</t>
        </is>
      </c>
      <c r="B137" s="31" t="inlineStr">
        <is>
          <t>Leland YMCPA</t>
        </is>
      </c>
      <c r="C137" s="31" t="inlineStr">
        <is>
          <t>EAS Secondary</t>
        </is>
      </c>
      <c r="D137" s="31" t="inlineStr">
        <is>
          <t>Not Yet Confirmed</t>
        </is>
      </c>
      <c r="E137" s="31" t="n"/>
      <c r="F137" s="31" t="n"/>
      <c r="G137" s="31" t="inlineStr">
        <is>
          <t>Not Received</t>
        </is>
      </c>
      <c r="H137" s="31" t="inlineStr">
        <is>
          <t>Not Received</t>
        </is>
      </c>
      <c r="I137" s="31" t="inlineStr">
        <is>
          <t>Not Received</t>
        </is>
      </c>
      <c r="J137" s="31" t="inlineStr">
        <is>
          <t>Not Received</t>
        </is>
      </c>
      <c r="K137" s="31" t="inlineStr">
        <is>
          <t>Not Received</t>
        </is>
      </c>
      <c r="L137" s="31" t="inlineStr">
        <is>
          <t>Not Received</t>
        </is>
      </c>
      <c r="M137" s="31" t="inlineStr">
        <is>
          <t>Not Received</t>
        </is>
      </c>
      <c r="N137" s="31" t="inlineStr">
        <is>
          <t>Not Received</t>
        </is>
      </c>
      <c r="O137" s="32">
        <f>IF($B137="","",COUNTIF(G137:N137,"Accepted")+COUNTIF(G137:N137,"Received")+COUNTIF(G137:N137,"Needs Correction"))</f>
        <v/>
      </c>
      <c r="P137" s="32">
        <f>IF($B137="","",SUMPRODUCT(((G137:N137="Accepted")+(G137:N137="Not Needed"))*(Settings!$C$11:$J$11="Yes")))</f>
        <v/>
      </c>
      <c r="Q137" s="32">
        <f>IF($B137="","",SUMPRODUCT(((G137:N137="Accepted")+(G137:N137="Not Needed"))*(Settings!$C$15:$J$15="Yes")))</f>
        <v/>
      </c>
      <c r="R137" s="33">
        <f>IF($B137="","",IF($D137="No","No PTO/PTA",IF($D137&lt;&gt;"Yes","Not Yet Confirmed",IF($Q137&gt;=Settings!$C$13,"Legalized",IF($P137&gt;=Settings!$C$12,"Registered",IF($O137&gt;0,"In Progress","Not Started"))))))</f>
        <v/>
      </c>
      <c r="S137" s="32">
        <f>IF($B137="","",COUNTIF(G137:N137,"Received"))</f>
        <v/>
      </c>
      <c r="T137" s="32">
        <f>IF($B137="","",COUNTIF(G137:N137,"Needs Correction"))</f>
        <v/>
      </c>
      <c r="U137" s="33">
        <f>IF($B137="","",IF($D137&lt;&gt;"Yes","",IF($Q137&gt;=Settings!$C$13,"None",MID(IF(AND(G137&lt;&gt;"Accepted",G137&lt;&gt;"Not Needed",Settings!$C$15="Yes"),", "&amp;G$1,"")&amp;IF(AND(H137&lt;&gt;"Accepted",H137&lt;&gt;"Not Needed",Settings!$D$15="Yes"),", "&amp;H$1,"")&amp;IF(AND(I137&lt;&gt;"Accepted",I137&lt;&gt;"Not Needed",Settings!$E$15="Yes"),", "&amp;I$1,"")&amp;IF(AND(J137&lt;&gt;"Accepted",J137&lt;&gt;"Not Needed",Settings!$F$15="Yes"),", "&amp;J$1,"")&amp;IF(AND(K137&lt;&gt;"Accepted",K137&lt;&gt;"Not Needed",Settings!$G$15="Yes"),", "&amp;K$1,"")&amp;IF(AND(L137&lt;&gt;"Accepted",L137&lt;&gt;"Not Needed",Settings!$H$15="Yes"),", "&amp;L$1,"")&amp;IF(AND(M137&lt;&gt;"Accepted",M137&lt;&gt;"Not Needed",Settings!$I$15="Yes"),", "&amp;M$1,"")&amp;IF(AND(N137&lt;&gt;"Accepted",N137&lt;&gt;"Not Needed",Settings!$J$15="Yes"),", "&amp;N$1,""),3,400))))</f>
        <v/>
      </c>
    </row>
    <row r="138" ht="15" customHeight="1" s="21">
      <c r="A138" s="31" t="inlineStr">
        <is>
          <t>2026-27</t>
        </is>
      </c>
      <c r="B138" s="31" t="inlineStr">
        <is>
          <t>Liberty HS</t>
        </is>
      </c>
      <c r="C138" s="31" t="inlineStr">
        <is>
          <t>EAS Secondary</t>
        </is>
      </c>
      <c r="D138" s="31" t="inlineStr">
        <is>
          <t>No</t>
        </is>
      </c>
      <c r="E138" s="31" t="n"/>
      <c r="F138" s="31" t="n"/>
      <c r="G138" s="31" t="inlineStr">
        <is>
          <t>Not Received</t>
        </is>
      </c>
      <c r="H138" s="31" t="inlineStr">
        <is>
          <t>Not Received</t>
        </is>
      </c>
      <c r="I138" s="31" t="inlineStr">
        <is>
          <t>Not Received</t>
        </is>
      </c>
      <c r="J138" s="31" t="inlineStr">
        <is>
          <t>Not Received</t>
        </is>
      </c>
      <c r="K138" s="31" t="inlineStr">
        <is>
          <t>Not Received</t>
        </is>
      </c>
      <c r="L138" s="31" t="inlineStr">
        <is>
          <t>Not Received</t>
        </is>
      </c>
      <c r="M138" s="31" t="inlineStr">
        <is>
          <t>Not Received</t>
        </is>
      </c>
      <c r="N138" s="31" t="inlineStr">
        <is>
          <t>Not Received</t>
        </is>
      </c>
      <c r="O138" s="32">
        <f>IF($B138="","",COUNTIF(G138:N138,"Accepted")+COUNTIF(G138:N138,"Received")+COUNTIF(G138:N138,"Needs Correction"))</f>
        <v/>
      </c>
      <c r="P138" s="32">
        <f>IF($B138="","",SUMPRODUCT(((G138:N138="Accepted")+(G138:N138="Not Needed"))*(Settings!$C$11:$J$11="Yes")))</f>
        <v/>
      </c>
      <c r="Q138" s="32">
        <f>IF($B138="","",SUMPRODUCT(((G138:N138="Accepted")+(G138:N138="Not Needed"))*(Settings!$C$15:$J$15="Yes")))</f>
        <v/>
      </c>
      <c r="R138" s="33">
        <f>IF($B138="","",IF($D138="No","No PTO/PTA",IF($D138&lt;&gt;"Yes","Not Yet Confirmed",IF($Q138&gt;=Settings!$C$13,"Legalized",IF($P138&gt;=Settings!$C$12,"Registered",IF($O138&gt;0,"In Progress","Not Started"))))))</f>
        <v/>
      </c>
      <c r="S138" s="32">
        <f>IF($B138="","",COUNTIF(G138:N138,"Received"))</f>
        <v/>
      </c>
      <c r="T138" s="32">
        <f>IF($B138="","",COUNTIF(G138:N138,"Needs Correction"))</f>
        <v/>
      </c>
      <c r="U138" s="33">
        <f>IF($B138="","",IF($D138&lt;&gt;"Yes","",IF($Q138&gt;=Settings!$C$13,"None",MID(IF(AND(G138&lt;&gt;"Accepted",G138&lt;&gt;"Not Needed",Settings!$C$15="Yes"),", "&amp;G$1,"")&amp;IF(AND(H138&lt;&gt;"Accepted",H138&lt;&gt;"Not Needed",Settings!$D$15="Yes"),", "&amp;H$1,"")&amp;IF(AND(I138&lt;&gt;"Accepted",I138&lt;&gt;"Not Needed",Settings!$E$15="Yes"),", "&amp;I$1,"")&amp;IF(AND(J138&lt;&gt;"Accepted",J138&lt;&gt;"Not Needed",Settings!$F$15="Yes"),", "&amp;J$1,"")&amp;IF(AND(K138&lt;&gt;"Accepted",K138&lt;&gt;"Not Needed",Settings!$G$15="Yes"),", "&amp;K$1,"")&amp;IF(AND(L138&lt;&gt;"Accepted",L138&lt;&gt;"Not Needed",Settings!$H$15="Yes"),", "&amp;L$1,"")&amp;IF(AND(M138&lt;&gt;"Accepted",M138&lt;&gt;"Not Needed",Settings!$I$15="Yes"),", "&amp;M$1,"")&amp;IF(AND(N138&lt;&gt;"Accepted",N138&lt;&gt;"Not Needed",Settings!$J$15="Yes"),", "&amp;N$1,""),3,400))))</f>
        <v/>
      </c>
    </row>
    <row r="139" ht="15" customHeight="1" s="21">
      <c r="A139" s="31" t="inlineStr">
        <is>
          <t>2026-27</t>
        </is>
      </c>
      <c r="B139" s="31" t="inlineStr">
        <is>
          <t>Meyerland MS</t>
        </is>
      </c>
      <c r="C139" s="31" t="inlineStr">
        <is>
          <t>EAS Secondary</t>
        </is>
      </c>
      <c r="D139" s="31" t="inlineStr">
        <is>
          <t>Not Yet Confirmed</t>
        </is>
      </c>
      <c r="E139" s="31" t="n"/>
      <c r="F139" s="31" t="n"/>
      <c r="G139" s="31" t="inlineStr">
        <is>
          <t>Not Received</t>
        </is>
      </c>
      <c r="H139" s="31" t="inlineStr">
        <is>
          <t>Not Received</t>
        </is>
      </c>
      <c r="I139" s="31" t="inlineStr">
        <is>
          <t>Not Received</t>
        </is>
      </c>
      <c r="J139" s="31" t="inlineStr">
        <is>
          <t>Not Received</t>
        </is>
      </c>
      <c r="K139" s="31" t="inlineStr">
        <is>
          <t>Not Received</t>
        </is>
      </c>
      <c r="L139" s="31" t="inlineStr">
        <is>
          <t>Not Received</t>
        </is>
      </c>
      <c r="M139" s="31" t="inlineStr">
        <is>
          <t>Not Received</t>
        </is>
      </c>
      <c r="N139" s="31" t="inlineStr">
        <is>
          <t>Not Received</t>
        </is>
      </c>
      <c r="O139" s="32">
        <f>IF($B139="","",COUNTIF(G139:N139,"Accepted")+COUNTIF(G139:N139,"Received")+COUNTIF(G139:N139,"Needs Correction"))</f>
        <v/>
      </c>
      <c r="P139" s="32">
        <f>IF($B139="","",SUMPRODUCT(((G139:N139="Accepted")+(G139:N139="Not Needed"))*(Settings!$C$11:$J$11="Yes")))</f>
        <v/>
      </c>
      <c r="Q139" s="32">
        <f>IF($B139="","",SUMPRODUCT(((G139:N139="Accepted")+(G139:N139="Not Needed"))*(Settings!$C$15:$J$15="Yes")))</f>
        <v/>
      </c>
      <c r="R139" s="33">
        <f>IF($B139="","",IF($D139="No","No PTO/PTA",IF($D139&lt;&gt;"Yes","Not Yet Confirmed",IF($Q139&gt;=Settings!$C$13,"Legalized",IF($P139&gt;=Settings!$C$12,"Registered",IF($O139&gt;0,"In Progress","Not Started"))))))</f>
        <v/>
      </c>
      <c r="S139" s="32">
        <f>IF($B139="","",COUNTIF(G139:N139,"Received"))</f>
        <v/>
      </c>
      <c r="T139" s="32">
        <f>IF($B139="","",COUNTIF(G139:N139,"Needs Correction"))</f>
        <v/>
      </c>
      <c r="U139" s="33">
        <f>IF($B139="","",IF($D139&lt;&gt;"Yes","",IF($Q139&gt;=Settings!$C$13,"None",MID(IF(AND(G139&lt;&gt;"Accepted",G139&lt;&gt;"Not Needed",Settings!$C$15="Yes"),", "&amp;G$1,"")&amp;IF(AND(H139&lt;&gt;"Accepted",H139&lt;&gt;"Not Needed",Settings!$D$15="Yes"),", "&amp;H$1,"")&amp;IF(AND(I139&lt;&gt;"Accepted",I139&lt;&gt;"Not Needed",Settings!$E$15="Yes"),", "&amp;I$1,"")&amp;IF(AND(J139&lt;&gt;"Accepted",J139&lt;&gt;"Not Needed",Settings!$F$15="Yes"),", "&amp;J$1,"")&amp;IF(AND(K139&lt;&gt;"Accepted",K139&lt;&gt;"Not Needed",Settings!$G$15="Yes"),", "&amp;K$1,"")&amp;IF(AND(L139&lt;&gt;"Accepted",L139&lt;&gt;"Not Needed",Settings!$H$15="Yes"),", "&amp;L$1,"")&amp;IF(AND(M139&lt;&gt;"Accepted",M139&lt;&gt;"Not Needed",Settings!$I$15="Yes"),", "&amp;M$1,"")&amp;IF(AND(N139&lt;&gt;"Accepted",N139&lt;&gt;"Not Needed",Settings!$J$15="Yes"),", "&amp;N$1,""),3,400))))</f>
        <v/>
      </c>
    </row>
    <row r="140" ht="15" customHeight="1" s="21">
      <c r="A140" s="31" t="inlineStr">
        <is>
          <t>2026-27</t>
        </is>
      </c>
      <c r="B140" s="31" t="inlineStr">
        <is>
          <t>Milby HS</t>
        </is>
      </c>
      <c r="C140" s="31" t="inlineStr">
        <is>
          <t>EAS Secondary</t>
        </is>
      </c>
      <c r="D140" s="31" t="inlineStr">
        <is>
          <t>Not Yet Confirmed</t>
        </is>
      </c>
      <c r="E140" s="31" t="n"/>
      <c r="F140" s="31" t="n"/>
      <c r="G140" s="31" t="inlineStr">
        <is>
          <t>Not Received</t>
        </is>
      </c>
      <c r="H140" s="31" t="inlineStr">
        <is>
          <t>Not Received</t>
        </is>
      </c>
      <c r="I140" s="31" t="inlineStr">
        <is>
          <t>Not Received</t>
        </is>
      </c>
      <c r="J140" s="31" t="inlineStr">
        <is>
          <t>Not Received</t>
        </is>
      </c>
      <c r="K140" s="31" t="inlineStr">
        <is>
          <t>Not Received</t>
        </is>
      </c>
      <c r="L140" s="31" t="inlineStr">
        <is>
          <t>Not Received</t>
        </is>
      </c>
      <c r="M140" s="31" t="inlineStr">
        <is>
          <t>Not Received</t>
        </is>
      </c>
      <c r="N140" s="31" t="inlineStr">
        <is>
          <t>Not Received</t>
        </is>
      </c>
      <c r="O140" s="32">
        <f>IF($B140="","",COUNTIF(G140:N140,"Accepted")+COUNTIF(G140:N140,"Received")+COUNTIF(G140:N140,"Needs Correction"))</f>
        <v/>
      </c>
      <c r="P140" s="32">
        <f>IF($B140="","",SUMPRODUCT(((G140:N140="Accepted")+(G140:N140="Not Needed"))*(Settings!$C$11:$J$11="Yes")))</f>
        <v/>
      </c>
      <c r="Q140" s="32">
        <f>IF($B140="","",SUMPRODUCT(((G140:N140="Accepted")+(G140:N140="Not Needed"))*(Settings!$C$15:$J$15="Yes")))</f>
        <v/>
      </c>
      <c r="R140" s="33">
        <f>IF($B140="","",IF($D140="No","No PTO/PTA",IF($D140&lt;&gt;"Yes","Not Yet Confirmed",IF($Q140&gt;=Settings!$C$13,"Legalized",IF($P140&gt;=Settings!$C$12,"Registered",IF($O140&gt;0,"In Progress","Not Started"))))))</f>
        <v/>
      </c>
      <c r="S140" s="32">
        <f>IF($B140="","",COUNTIF(G140:N140,"Received"))</f>
        <v/>
      </c>
      <c r="T140" s="32">
        <f>IF($B140="","",COUNTIF(G140:N140,"Needs Correction"))</f>
        <v/>
      </c>
      <c r="U140" s="33">
        <f>IF($B140="","",IF($D140&lt;&gt;"Yes","",IF($Q140&gt;=Settings!$C$13,"None",MID(IF(AND(G140&lt;&gt;"Accepted",G140&lt;&gt;"Not Needed",Settings!$C$15="Yes"),", "&amp;G$1,"")&amp;IF(AND(H140&lt;&gt;"Accepted",H140&lt;&gt;"Not Needed",Settings!$D$15="Yes"),", "&amp;H$1,"")&amp;IF(AND(I140&lt;&gt;"Accepted",I140&lt;&gt;"Not Needed",Settings!$E$15="Yes"),", "&amp;I$1,"")&amp;IF(AND(J140&lt;&gt;"Accepted",J140&lt;&gt;"Not Needed",Settings!$F$15="Yes"),", "&amp;J$1,"")&amp;IF(AND(K140&lt;&gt;"Accepted",K140&lt;&gt;"Not Needed",Settings!$G$15="Yes"),", "&amp;K$1,"")&amp;IF(AND(L140&lt;&gt;"Accepted",L140&lt;&gt;"Not Needed",Settings!$H$15="Yes"),", "&amp;L$1,"")&amp;IF(AND(M140&lt;&gt;"Accepted",M140&lt;&gt;"Not Needed",Settings!$I$15="Yes"),", "&amp;M$1,"")&amp;IF(AND(N140&lt;&gt;"Accepted",N140&lt;&gt;"Not Needed",Settings!$J$15="Yes"),", "&amp;N$1,""),3,400))))</f>
        <v/>
      </c>
    </row>
    <row r="141" ht="15" customHeight="1" s="21">
      <c r="A141" s="31" t="inlineStr">
        <is>
          <t>2026-27</t>
        </is>
      </c>
      <c r="B141" s="31" t="inlineStr">
        <is>
          <t>Pershing MS</t>
        </is>
      </c>
      <c r="C141" s="31" t="inlineStr">
        <is>
          <t>EAS Secondary</t>
        </is>
      </c>
      <c r="D141" s="31" t="inlineStr">
        <is>
          <t>Not Yet Confirmed</t>
        </is>
      </c>
      <c r="E141" s="31" t="n"/>
      <c r="F141" s="31" t="n"/>
      <c r="G141" s="31" t="inlineStr">
        <is>
          <t>Not Received</t>
        </is>
      </c>
      <c r="H141" s="31" t="inlineStr">
        <is>
          <t>Not Received</t>
        </is>
      </c>
      <c r="I141" s="31" t="inlineStr">
        <is>
          <t>Not Received</t>
        </is>
      </c>
      <c r="J141" s="31" t="inlineStr">
        <is>
          <t>Not Received</t>
        </is>
      </c>
      <c r="K141" s="31" t="inlineStr">
        <is>
          <t>Not Received</t>
        </is>
      </c>
      <c r="L141" s="31" t="inlineStr">
        <is>
          <t>Not Received</t>
        </is>
      </c>
      <c r="M141" s="31" t="inlineStr">
        <is>
          <t>Not Received</t>
        </is>
      </c>
      <c r="N141" s="31" t="inlineStr">
        <is>
          <t>Not Received</t>
        </is>
      </c>
      <c r="O141" s="32">
        <f>IF($B141="","",COUNTIF(G141:N141,"Accepted")+COUNTIF(G141:N141,"Received")+COUNTIF(G141:N141,"Needs Correction"))</f>
        <v/>
      </c>
      <c r="P141" s="32">
        <f>IF($B141="","",SUMPRODUCT(((G141:N141="Accepted")+(G141:N141="Not Needed"))*(Settings!$C$11:$J$11="Yes")))</f>
        <v/>
      </c>
      <c r="Q141" s="32">
        <f>IF($B141="","",SUMPRODUCT(((G141:N141="Accepted")+(G141:N141="Not Needed"))*(Settings!$C$15:$J$15="Yes")))</f>
        <v/>
      </c>
      <c r="R141" s="33">
        <f>IF($B141="","",IF($D141="No","No PTO/PTA",IF($D141&lt;&gt;"Yes","Not Yet Confirmed",IF($Q141&gt;=Settings!$C$13,"Legalized",IF($P141&gt;=Settings!$C$12,"Registered",IF($O141&gt;0,"In Progress","Not Started"))))))</f>
        <v/>
      </c>
      <c r="S141" s="32">
        <f>IF($B141="","",COUNTIF(G141:N141,"Received"))</f>
        <v/>
      </c>
      <c r="T141" s="32">
        <f>IF($B141="","",COUNTIF(G141:N141,"Needs Correction"))</f>
        <v/>
      </c>
      <c r="U141" s="33">
        <f>IF($B141="","",IF($D141&lt;&gt;"Yes","",IF($Q141&gt;=Settings!$C$13,"None",MID(IF(AND(G141&lt;&gt;"Accepted",G141&lt;&gt;"Not Needed",Settings!$C$15="Yes"),", "&amp;G$1,"")&amp;IF(AND(H141&lt;&gt;"Accepted",H141&lt;&gt;"Not Needed",Settings!$D$15="Yes"),", "&amp;H$1,"")&amp;IF(AND(I141&lt;&gt;"Accepted",I141&lt;&gt;"Not Needed",Settings!$E$15="Yes"),", "&amp;I$1,"")&amp;IF(AND(J141&lt;&gt;"Accepted",J141&lt;&gt;"Not Needed",Settings!$F$15="Yes"),", "&amp;J$1,"")&amp;IF(AND(K141&lt;&gt;"Accepted",K141&lt;&gt;"Not Needed",Settings!$G$15="Yes"),", "&amp;K$1,"")&amp;IF(AND(L141&lt;&gt;"Accepted",L141&lt;&gt;"Not Needed",Settings!$H$15="Yes"),", "&amp;L$1,"")&amp;IF(AND(M141&lt;&gt;"Accepted",M141&lt;&gt;"Not Needed",Settings!$I$15="Yes"),", "&amp;M$1,"")&amp;IF(AND(N141&lt;&gt;"Accepted",N141&lt;&gt;"Not Needed",Settings!$J$15="Yes"),", "&amp;N$1,""),3,400))))</f>
        <v/>
      </c>
    </row>
    <row r="142" ht="15" customHeight="1" s="21">
      <c r="A142" s="31" t="inlineStr">
        <is>
          <t>2026-27</t>
        </is>
      </c>
      <c r="B142" s="31" t="inlineStr">
        <is>
          <t>Pin Oak MS</t>
        </is>
      </c>
      <c r="C142" s="31" t="inlineStr">
        <is>
          <t>EAS Secondary</t>
        </is>
      </c>
      <c r="D142" s="31" t="inlineStr">
        <is>
          <t>Not Yet Confirmed</t>
        </is>
      </c>
      <c r="E142" s="31" t="n"/>
      <c r="F142" s="31" t="n"/>
      <c r="G142" s="31" t="inlineStr">
        <is>
          <t>Not Received</t>
        </is>
      </c>
      <c r="H142" s="31" t="inlineStr">
        <is>
          <t>Not Received</t>
        </is>
      </c>
      <c r="I142" s="31" t="inlineStr">
        <is>
          <t>Not Received</t>
        </is>
      </c>
      <c r="J142" s="31" t="inlineStr">
        <is>
          <t>Not Received</t>
        </is>
      </c>
      <c r="K142" s="31" t="inlineStr">
        <is>
          <t>Not Received</t>
        </is>
      </c>
      <c r="L142" s="31" t="inlineStr">
        <is>
          <t>Not Received</t>
        </is>
      </c>
      <c r="M142" s="31" t="inlineStr">
        <is>
          <t>Not Received</t>
        </is>
      </c>
      <c r="N142" s="31" t="inlineStr">
        <is>
          <t>Not Received</t>
        </is>
      </c>
      <c r="O142" s="32">
        <f>IF($B142="","",COUNTIF(G142:N142,"Accepted")+COUNTIF(G142:N142,"Received")+COUNTIF(G142:N142,"Needs Correction"))</f>
        <v/>
      </c>
      <c r="P142" s="32">
        <f>IF($B142="","",SUMPRODUCT(((G142:N142="Accepted")+(G142:N142="Not Needed"))*(Settings!$C$11:$J$11="Yes")))</f>
        <v/>
      </c>
      <c r="Q142" s="32">
        <f>IF($B142="","",SUMPRODUCT(((G142:N142="Accepted")+(G142:N142="Not Needed"))*(Settings!$C$15:$J$15="Yes")))</f>
        <v/>
      </c>
      <c r="R142" s="33">
        <f>IF($B142="","",IF($D142="No","No PTO/PTA",IF($D142&lt;&gt;"Yes","Not Yet Confirmed",IF($Q142&gt;=Settings!$C$13,"Legalized",IF($P142&gt;=Settings!$C$12,"Registered",IF($O142&gt;0,"In Progress","Not Started"))))))</f>
        <v/>
      </c>
      <c r="S142" s="32">
        <f>IF($B142="","",COUNTIF(G142:N142,"Received"))</f>
        <v/>
      </c>
      <c r="T142" s="32">
        <f>IF($B142="","",COUNTIF(G142:N142,"Needs Correction"))</f>
        <v/>
      </c>
      <c r="U142" s="33">
        <f>IF($B142="","",IF($D142&lt;&gt;"Yes","",IF($Q142&gt;=Settings!$C$13,"None",MID(IF(AND(G142&lt;&gt;"Accepted",G142&lt;&gt;"Not Needed",Settings!$C$15="Yes"),", "&amp;G$1,"")&amp;IF(AND(H142&lt;&gt;"Accepted",H142&lt;&gt;"Not Needed",Settings!$D$15="Yes"),", "&amp;H$1,"")&amp;IF(AND(I142&lt;&gt;"Accepted",I142&lt;&gt;"Not Needed",Settings!$E$15="Yes"),", "&amp;I$1,"")&amp;IF(AND(J142&lt;&gt;"Accepted",J142&lt;&gt;"Not Needed",Settings!$F$15="Yes"),", "&amp;J$1,"")&amp;IF(AND(K142&lt;&gt;"Accepted",K142&lt;&gt;"Not Needed",Settings!$G$15="Yes"),", "&amp;K$1,"")&amp;IF(AND(L142&lt;&gt;"Accepted",L142&lt;&gt;"Not Needed",Settings!$H$15="Yes"),", "&amp;L$1,"")&amp;IF(AND(M142&lt;&gt;"Accepted",M142&lt;&gt;"Not Needed",Settings!$I$15="Yes"),", "&amp;M$1,"")&amp;IF(AND(N142&lt;&gt;"Accepted",N142&lt;&gt;"Not Needed",Settings!$J$15="Yes"),", "&amp;N$1,""),3,400))))</f>
        <v/>
      </c>
    </row>
    <row r="143" ht="15" customHeight="1" s="21">
      <c r="A143" s="31" t="inlineStr">
        <is>
          <t>2026-27</t>
        </is>
      </c>
      <c r="B143" s="31" t="inlineStr">
        <is>
          <t>South EC HS</t>
        </is>
      </c>
      <c r="C143" s="31" t="inlineStr">
        <is>
          <t>EAS Secondary</t>
        </is>
      </c>
      <c r="D143" s="31" t="inlineStr">
        <is>
          <t>Yes</t>
        </is>
      </c>
      <c r="E143" s="31" t="inlineStr">
        <is>
          <t>PTA</t>
        </is>
      </c>
      <c r="F143" s="31" t="n"/>
      <c r="G143" s="31" t="inlineStr">
        <is>
          <t>Accepted</t>
        </is>
      </c>
      <c r="H143" s="31" t="inlineStr">
        <is>
          <t>Not Received</t>
        </is>
      </c>
      <c r="I143" s="31" t="inlineStr">
        <is>
          <t>Not Received</t>
        </is>
      </c>
      <c r="J143" s="31" t="inlineStr">
        <is>
          <t>Not Received</t>
        </is>
      </c>
      <c r="K143" s="31" t="inlineStr">
        <is>
          <t>Accepted</t>
        </is>
      </c>
      <c r="L143" s="31" t="inlineStr">
        <is>
          <t>Accepted</t>
        </is>
      </c>
      <c r="M143" s="31" t="inlineStr">
        <is>
          <t>Not Received</t>
        </is>
      </c>
      <c r="N143" s="31" t="inlineStr">
        <is>
          <t>Not Received</t>
        </is>
      </c>
      <c r="O143" s="32">
        <f>IF($B143="","",COUNTIF(G143:N143,"Accepted")+COUNTIF(G143:N143,"Received")+COUNTIF(G143:N143,"Needs Correction"))</f>
        <v/>
      </c>
      <c r="P143" s="32">
        <f>IF($B143="","",SUMPRODUCT(((G143:N143="Accepted")+(G143:N143="Not Needed"))*(Settings!$C$11:$J$11="Yes")))</f>
        <v/>
      </c>
      <c r="Q143" s="32">
        <f>IF($B143="","",SUMPRODUCT(((G143:N143="Accepted")+(G143:N143="Not Needed"))*(Settings!$C$15:$J$15="Yes")))</f>
        <v/>
      </c>
      <c r="R143" s="33">
        <f>IF($B143="","",IF($D143="No","No PTO/PTA",IF($D143&lt;&gt;"Yes","Not Yet Confirmed",IF($Q143&gt;=Settings!$C$13,"Legalized",IF($P143&gt;=Settings!$C$12,"Registered",IF($O143&gt;0,"In Progress","Not Started"))))))</f>
        <v/>
      </c>
      <c r="S143" s="32">
        <f>IF($B143="","",COUNTIF(G143:N143,"Received"))</f>
        <v/>
      </c>
      <c r="T143" s="32">
        <f>IF($B143="","",COUNTIF(G143:N143,"Needs Correction"))</f>
        <v/>
      </c>
      <c r="U143" s="33">
        <f>IF($B143="","",IF($D143&lt;&gt;"Yes","",IF($Q143&gt;=Settings!$C$13,"None",MID(IF(AND(G143&lt;&gt;"Accepted",G143&lt;&gt;"Not Needed",Settings!$C$15="Yes"),", "&amp;G$1,"")&amp;IF(AND(H143&lt;&gt;"Accepted",H143&lt;&gt;"Not Needed",Settings!$D$15="Yes"),", "&amp;H$1,"")&amp;IF(AND(I143&lt;&gt;"Accepted",I143&lt;&gt;"Not Needed",Settings!$E$15="Yes"),", "&amp;I$1,"")&amp;IF(AND(J143&lt;&gt;"Accepted",J143&lt;&gt;"Not Needed",Settings!$F$15="Yes"),", "&amp;J$1,"")&amp;IF(AND(K143&lt;&gt;"Accepted",K143&lt;&gt;"Not Needed",Settings!$G$15="Yes"),", "&amp;K$1,"")&amp;IF(AND(L143&lt;&gt;"Accepted",L143&lt;&gt;"Not Needed",Settings!$H$15="Yes"),", "&amp;L$1,"")&amp;IF(AND(M143&lt;&gt;"Accepted",M143&lt;&gt;"Not Needed",Settings!$I$15="Yes"),", "&amp;M$1,"")&amp;IF(AND(N143&lt;&gt;"Accepted",N143&lt;&gt;"Not Needed",Settings!$J$15="Yes"),", "&amp;N$1,""),3,400))))</f>
        <v/>
      </c>
    </row>
    <row r="144" ht="15" customHeight="1" s="21">
      <c r="A144" s="31" t="inlineStr">
        <is>
          <t>2026-27</t>
        </is>
      </c>
      <c r="B144" s="31" t="inlineStr">
        <is>
          <t>Stevenson MS</t>
        </is>
      </c>
      <c r="C144" s="31" t="inlineStr">
        <is>
          <t>EAS Secondary</t>
        </is>
      </c>
      <c r="D144" s="31" t="inlineStr">
        <is>
          <t>Not Yet Confirmed</t>
        </is>
      </c>
      <c r="E144" s="31" t="n"/>
      <c r="F144" s="31" t="n"/>
      <c r="G144" s="31" t="inlineStr">
        <is>
          <t>Not Received</t>
        </is>
      </c>
      <c r="H144" s="31" t="inlineStr">
        <is>
          <t>Not Received</t>
        </is>
      </c>
      <c r="I144" s="31" t="inlineStr">
        <is>
          <t>Not Received</t>
        </is>
      </c>
      <c r="J144" s="31" t="inlineStr">
        <is>
          <t>Not Received</t>
        </is>
      </c>
      <c r="K144" s="31" t="inlineStr">
        <is>
          <t>Not Received</t>
        </is>
      </c>
      <c r="L144" s="31" t="inlineStr">
        <is>
          <t>Not Received</t>
        </is>
      </c>
      <c r="M144" s="31" t="inlineStr">
        <is>
          <t>Not Received</t>
        </is>
      </c>
      <c r="N144" s="31" t="inlineStr">
        <is>
          <t>Not Received</t>
        </is>
      </c>
      <c r="O144" s="32">
        <f>IF($B144="","",COUNTIF(G144:N144,"Accepted")+COUNTIF(G144:N144,"Received")+COUNTIF(G144:N144,"Needs Correction"))</f>
        <v/>
      </c>
      <c r="P144" s="32">
        <f>IF($B144="","",SUMPRODUCT(((G144:N144="Accepted")+(G144:N144="Not Needed"))*(Settings!$C$11:$J$11="Yes")))</f>
        <v/>
      </c>
      <c r="Q144" s="32">
        <f>IF($B144="","",SUMPRODUCT(((G144:N144="Accepted")+(G144:N144="Not Needed"))*(Settings!$C$15:$J$15="Yes")))</f>
        <v/>
      </c>
      <c r="R144" s="33">
        <f>IF($B144="","",IF($D144="No","No PTO/PTA",IF($D144&lt;&gt;"Yes","Not Yet Confirmed",IF($Q144&gt;=Settings!$C$13,"Legalized",IF($P144&gt;=Settings!$C$12,"Registered",IF($O144&gt;0,"In Progress","Not Started"))))))</f>
        <v/>
      </c>
      <c r="S144" s="32">
        <f>IF($B144="","",COUNTIF(G144:N144,"Received"))</f>
        <v/>
      </c>
      <c r="T144" s="32">
        <f>IF($B144="","",COUNTIF(G144:N144,"Needs Correction"))</f>
        <v/>
      </c>
      <c r="U144" s="33">
        <f>IF($B144="","",IF($D144&lt;&gt;"Yes","",IF($Q144&gt;=Settings!$C$13,"None",MID(IF(AND(G144&lt;&gt;"Accepted",G144&lt;&gt;"Not Needed",Settings!$C$15="Yes"),", "&amp;G$1,"")&amp;IF(AND(H144&lt;&gt;"Accepted",H144&lt;&gt;"Not Needed",Settings!$D$15="Yes"),", "&amp;H$1,"")&amp;IF(AND(I144&lt;&gt;"Accepted",I144&lt;&gt;"Not Needed",Settings!$E$15="Yes"),", "&amp;I$1,"")&amp;IF(AND(J144&lt;&gt;"Accepted",J144&lt;&gt;"Not Needed",Settings!$F$15="Yes"),", "&amp;J$1,"")&amp;IF(AND(K144&lt;&gt;"Accepted",K144&lt;&gt;"Not Needed",Settings!$G$15="Yes"),", "&amp;K$1,"")&amp;IF(AND(L144&lt;&gt;"Accepted",L144&lt;&gt;"Not Needed",Settings!$H$15="Yes"),", "&amp;L$1,"")&amp;IF(AND(M144&lt;&gt;"Accepted",M144&lt;&gt;"Not Needed",Settings!$I$15="Yes"),", "&amp;M$1,"")&amp;IF(AND(N144&lt;&gt;"Accepted",N144&lt;&gt;"Not Needed",Settings!$J$15="Yes"),", "&amp;N$1,""),3,400))))</f>
        <v/>
      </c>
    </row>
    <row r="145" ht="15" customHeight="1" s="21">
      <c r="A145" s="31" t="inlineStr">
        <is>
          <t>2026-27</t>
        </is>
      </c>
      <c r="B145" s="31" t="inlineStr">
        <is>
          <t>Tanglewood MS</t>
        </is>
      </c>
      <c r="C145" s="31" t="inlineStr">
        <is>
          <t>EAS Secondary</t>
        </is>
      </c>
      <c r="D145" s="31" t="inlineStr">
        <is>
          <t>Not Yet Confirmed</t>
        </is>
      </c>
      <c r="E145" s="31" t="n"/>
      <c r="F145" s="31" t="n"/>
      <c r="G145" s="31" t="inlineStr">
        <is>
          <t>Not Received</t>
        </is>
      </c>
      <c r="H145" s="31" t="inlineStr">
        <is>
          <t>Not Received</t>
        </is>
      </c>
      <c r="I145" s="31" t="inlineStr">
        <is>
          <t>Not Received</t>
        </is>
      </c>
      <c r="J145" s="31" t="inlineStr">
        <is>
          <t>Not Received</t>
        </is>
      </c>
      <c r="K145" s="31" t="inlineStr">
        <is>
          <t>Not Received</t>
        </is>
      </c>
      <c r="L145" s="31" t="inlineStr">
        <is>
          <t>Not Received</t>
        </is>
      </c>
      <c r="M145" s="31" t="inlineStr">
        <is>
          <t>Not Received</t>
        </is>
      </c>
      <c r="N145" s="31" t="inlineStr">
        <is>
          <t>Not Received</t>
        </is>
      </c>
      <c r="O145" s="32">
        <f>IF($B145="","",COUNTIF(G145:N145,"Accepted")+COUNTIF(G145:N145,"Received")+COUNTIF(G145:N145,"Needs Correction"))</f>
        <v/>
      </c>
      <c r="P145" s="32">
        <f>IF($B145="","",SUMPRODUCT(((G145:N145="Accepted")+(G145:N145="Not Needed"))*(Settings!$C$11:$J$11="Yes")))</f>
        <v/>
      </c>
      <c r="Q145" s="32">
        <f>IF($B145="","",SUMPRODUCT(((G145:N145="Accepted")+(G145:N145="Not Needed"))*(Settings!$C$15:$J$15="Yes")))</f>
        <v/>
      </c>
      <c r="R145" s="33">
        <f>IF($B145="","",IF($D145="No","No PTO/PTA",IF($D145&lt;&gt;"Yes","Not Yet Confirmed",IF($Q145&gt;=Settings!$C$13,"Legalized",IF($P145&gt;=Settings!$C$12,"Registered",IF($O145&gt;0,"In Progress","Not Started"))))))</f>
        <v/>
      </c>
      <c r="S145" s="32">
        <f>IF($B145="","",COUNTIF(G145:N145,"Received"))</f>
        <v/>
      </c>
      <c r="T145" s="32">
        <f>IF($B145="","",COUNTIF(G145:N145,"Needs Correction"))</f>
        <v/>
      </c>
      <c r="U145" s="33">
        <f>IF($B145="","",IF($D145&lt;&gt;"Yes","",IF($Q145&gt;=Settings!$C$13,"None",MID(IF(AND(G145&lt;&gt;"Accepted",G145&lt;&gt;"Not Needed",Settings!$C$15="Yes"),", "&amp;G$1,"")&amp;IF(AND(H145&lt;&gt;"Accepted",H145&lt;&gt;"Not Needed",Settings!$D$15="Yes"),", "&amp;H$1,"")&amp;IF(AND(I145&lt;&gt;"Accepted",I145&lt;&gt;"Not Needed",Settings!$E$15="Yes"),", "&amp;I$1,"")&amp;IF(AND(J145&lt;&gt;"Accepted",J145&lt;&gt;"Not Needed",Settings!$F$15="Yes"),", "&amp;J$1,"")&amp;IF(AND(K145&lt;&gt;"Accepted",K145&lt;&gt;"Not Needed",Settings!$G$15="Yes"),", "&amp;K$1,"")&amp;IF(AND(L145&lt;&gt;"Accepted",L145&lt;&gt;"Not Needed",Settings!$H$15="Yes"),", "&amp;L$1,"")&amp;IF(AND(M145&lt;&gt;"Accepted",M145&lt;&gt;"Not Needed",Settings!$I$15="Yes"),", "&amp;M$1,"")&amp;IF(AND(N145&lt;&gt;"Accepted",N145&lt;&gt;"Not Needed",Settings!$J$15="Yes"),", "&amp;N$1,""),3,400))))</f>
        <v/>
      </c>
    </row>
    <row r="146" ht="15" customHeight="1" s="21">
      <c r="A146" s="31" t="inlineStr">
        <is>
          <t>2026-27</t>
        </is>
      </c>
      <c r="B146" s="31" t="inlineStr">
        <is>
          <t>Waltrip HS</t>
        </is>
      </c>
      <c r="C146" s="31" t="inlineStr">
        <is>
          <t>EAS Secondary</t>
        </is>
      </c>
      <c r="D146" s="31" t="inlineStr">
        <is>
          <t>Not Yet Confirmed</t>
        </is>
      </c>
      <c r="E146" s="31" t="n"/>
      <c r="F146" s="31" t="n"/>
      <c r="G146" s="31" t="inlineStr">
        <is>
          <t>Not Received</t>
        </is>
      </c>
      <c r="H146" s="31" t="inlineStr">
        <is>
          <t>Not Received</t>
        </is>
      </c>
      <c r="I146" s="31" t="inlineStr">
        <is>
          <t>Not Received</t>
        </is>
      </c>
      <c r="J146" s="31" t="inlineStr">
        <is>
          <t>Not Received</t>
        </is>
      </c>
      <c r="K146" s="31" t="inlineStr">
        <is>
          <t>Not Received</t>
        </is>
      </c>
      <c r="L146" s="31" t="inlineStr">
        <is>
          <t>Not Received</t>
        </is>
      </c>
      <c r="M146" s="31" t="inlineStr">
        <is>
          <t>Not Received</t>
        </is>
      </c>
      <c r="N146" s="31" t="inlineStr">
        <is>
          <t>Not Received</t>
        </is>
      </c>
      <c r="O146" s="32">
        <f>IF($B146="","",COUNTIF(G146:N146,"Accepted")+COUNTIF(G146:N146,"Received")+COUNTIF(G146:N146,"Needs Correction"))</f>
        <v/>
      </c>
      <c r="P146" s="32">
        <f>IF($B146="","",SUMPRODUCT(((G146:N146="Accepted")+(G146:N146="Not Needed"))*(Settings!$C$11:$J$11="Yes")))</f>
        <v/>
      </c>
      <c r="Q146" s="32">
        <f>IF($B146="","",SUMPRODUCT(((G146:N146="Accepted")+(G146:N146="Not Needed"))*(Settings!$C$15:$J$15="Yes")))</f>
        <v/>
      </c>
      <c r="R146" s="33">
        <f>IF($B146="","",IF($D146="No","No PTO/PTA",IF($D146&lt;&gt;"Yes","Not Yet Confirmed",IF($Q146&gt;=Settings!$C$13,"Legalized",IF($P146&gt;=Settings!$C$12,"Registered",IF($O146&gt;0,"In Progress","Not Started"))))))</f>
        <v/>
      </c>
      <c r="S146" s="32">
        <f>IF($B146="","",COUNTIF(G146:N146,"Received"))</f>
        <v/>
      </c>
      <c r="T146" s="32">
        <f>IF($B146="","",COUNTIF(G146:N146,"Needs Correction"))</f>
        <v/>
      </c>
      <c r="U146" s="33">
        <f>IF($B146="","",IF($D146&lt;&gt;"Yes","",IF($Q146&gt;=Settings!$C$13,"None",MID(IF(AND(G146&lt;&gt;"Accepted",G146&lt;&gt;"Not Needed",Settings!$C$15="Yes"),", "&amp;G$1,"")&amp;IF(AND(H146&lt;&gt;"Accepted",H146&lt;&gt;"Not Needed",Settings!$D$15="Yes"),", "&amp;H$1,"")&amp;IF(AND(I146&lt;&gt;"Accepted",I146&lt;&gt;"Not Needed",Settings!$E$15="Yes"),", "&amp;I$1,"")&amp;IF(AND(J146&lt;&gt;"Accepted",J146&lt;&gt;"Not Needed",Settings!$F$15="Yes"),", "&amp;J$1,"")&amp;IF(AND(K146&lt;&gt;"Accepted",K146&lt;&gt;"Not Needed",Settings!$G$15="Yes"),", "&amp;K$1,"")&amp;IF(AND(L146&lt;&gt;"Accepted",L146&lt;&gt;"Not Needed",Settings!$H$15="Yes"),", "&amp;L$1,"")&amp;IF(AND(M146&lt;&gt;"Accepted",M146&lt;&gt;"Not Needed",Settings!$I$15="Yes"),", "&amp;M$1,"")&amp;IF(AND(N146&lt;&gt;"Accepted",N146&lt;&gt;"Not Needed",Settings!$J$15="Yes"),", "&amp;N$1,""),3,400))))</f>
        <v/>
      </c>
    </row>
    <row r="147" ht="15" customHeight="1" s="21">
      <c r="A147" s="31" t="inlineStr">
        <is>
          <t>2026-27</t>
        </is>
      </c>
      <c r="B147" s="31" t="inlineStr">
        <is>
          <t>West Briar MS</t>
        </is>
      </c>
      <c r="C147" s="31" t="inlineStr">
        <is>
          <t>EAS Secondary</t>
        </is>
      </c>
      <c r="D147" s="31" t="inlineStr">
        <is>
          <t>Not Yet Confirmed</t>
        </is>
      </c>
      <c r="E147" s="31" t="n"/>
      <c r="F147" s="31" t="n"/>
      <c r="G147" s="31" t="inlineStr">
        <is>
          <t>Not Received</t>
        </is>
      </c>
      <c r="H147" s="31" t="inlineStr">
        <is>
          <t>Not Received</t>
        </is>
      </c>
      <c r="I147" s="31" t="inlineStr">
        <is>
          <t>Not Received</t>
        </is>
      </c>
      <c r="J147" s="31" t="inlineStr">
        <is>
          <t>Not Received</t>
        </is>
      </c>
      <c r="K147" s="31" t="inlineStr">
        <is>
          <t>Not Received</t>
        </is>
      </c>
      <c r="L147" s="31" t="inlineStr">
        <is>
          <t>Not Received</t>
        </is>
      </c>
      <c r="M147" s="31" t="inlineStr">
        <is>
          <t>Not Received</t>
        </is>
      </c>
      <c r="N147" s="31" t="inlineStr">
        <is>
          <t>Not Received</t>
        </is>
      </c>
      <c r="O147" s="32">
        <f>IF($B147="","",COUNTIF(G147:N147,"Accepted")+COUNTIF(G147:N147,"Received")+COUNTIF(G147:N147,"Needs Correction"))</f>
        <v/>
      </c>
      <c r="P147" s="32">
        <f>IF($B147="","",SUMPRODUCT(((G147:N147="Accepted")+(G147:N147="Not Needed"))*(Settings!$C$11:$J$11="Yes")))</f>
        <v/>
      </c>
      <c r="Q147" s="32">
        <f>IF($B147="","",SUMPRODUCT(((G147:N147="Accepted")+(G147:N147="Not Needed"))*(Settings!$C$15:$J$15="Yes")))</f>
        <v/>
      </c>
      <c r="R147" s="33">
        <f>IF($B147="","",IF($D147="No","No PTO/PTA",IF($D147&lt;&gt;"Yes","Not Yet Confirmed",IF($Q147&gt;=Settings!$C$13,"Legalized",IF($P147&gt;=Settings!$C$12,"Registered",IF($O147&gt;0,"In Progress","Not Started"))))))</f>
        <v/>
      </c>
      <c r="S147" s="32">
        <f>IF($B147="","",COUNTIF(G147:N147,"Received"))</f>
        <v/>
      </c>
      <c r="T147" s="32">
        <f>IF($B147="","",COUNTIF(G147:N147,"Needs Correction"))</f>
        <v/>
      </c>
      <c r="U147" s="33">
        <f>IF($B147="","",IF($D147&lt;&gt;"Yes","",IF($Q147&gt;=Settings!$C$13,"None",MID(IF(AND(G147&lt;&gt;"Accepted",G147&lt;&gt;"Not Needed",Settings!$C$15="Yes"),", "&amp;G$1,"")&amp;IF(AND(H147&lt;&gt;"Accepted",H147&lt;&gt;"Not Needed",Settings!$D$15="Yes"),", "&amp;H$1,"")&amp;IF(AND(I147&lt;&gt;"Accepted",I147&lt;&gt;"Not Needed",Settings!$E$15="Yes"),", "&amp;I$1,"")&amp;IF(AND(J147&lt;&gt;"Accepted",J147&lt;&gt;"Not Needed",Settings!$F$15="Yes"),", "&amp;J$1,"")&amp;IF(AND(K147&lt;&gt;"Accepted",K147&lt;&gt;"Not Needed",Settings!$G$15="Yes"),", "&amp;K$1,"")&amp;IF(AND(L147&lt;&gt;"Accepted",L147&lt;&gt;"Not Needed",Settings!$H$15="Yes"),", "&amp;L$1,"")&amp;IF(AND(M147&lt;&gt;"Accepted",M147&lt;&gt;"Not Needed",Settings!$I$15="Yes"),", "&amp;M$1,"")&amp;IF(AND(N147&lt;&gt;"Accepted",N147&lt;&gt;"Not Needed",Settings!$J$15="Yes"),", "&amp;N$1,""),3,400))))</f>
        <v/>
      </c>
    </row>
    <row r="148" ht="15" customHeight="1" s="21">
      <c r="A148" s="31" t="inlineStr">
        <is>
          <t>2026-27</t>
        </is>
      </c>
      <c r="B148" s="31" t="inlineStr">
        <is>
          <t>Westside HS</t>
        </is>
      </c>
      <c r="C148" s="31" t="inlineStr">
        <is>
          <t>EAS Secondary</t>
        </is>
      </c>
      <c r="D148" s="31" t="inlineStr">
        <is>
          <t>Not Yet Confirmed</t>
        </is>
      </c>
      <c r="E148" s="31" t="n"/>
      <c r="F148" s="31" t="n"/>
      <c r="G148" s="31" t="inlineStr">
        <is>
          <t>Not Received</t>
        </is>
      </c>
      <c r="H148" s="31" t="inlineStr">
        <is>
          <t>Not Received</t>
        </is>
      </c>
      <c r="I148" s="31" t="inlineStr">
        <is>
          <t>Not Received</t>
        </is>
      </c>
      <c r="J148" s="31" t="inlineStr">
        <is>
          <t>Not Received</t>
        </is>
      </c>
      <c r="K148" s="31" t="inlineStr">
        <is>
          <t>Not Received</t>
        </is>
      </c>
      <c r="L148" s="31" t="inlineStr">
        <is>
          <t>Not Received</t>
        </is>
      </c>
      <c r="M148" s="31" t="inlineStr">
        <is>
          <t>Not Received</t>
        </is>
      </c>
      <c r="N148" s="31" t="inlineStr">
        <is>
          <t>Not Received</t>
        </is>
      </c>
      <c r="O148" s="32">
        <f>IF($B148="","",COUNTIF(G148:N148,"Accepted")+COUNTIF(G148:N148,"Received")+COUNTIF(G148:N148,"Needs Correction"))</f>
        <v/>
      </c>
      <c r="P148" s="32">
        <f>IF($B148="","",SUMPRODUCT(((G148:N148="Accepted")+(G148:N148="Not Needed"))*(Settings!$C$11:$J$11="Yes")))</f>
        <v/>
      </c>
      <c r="Q148" s="32">
        <f>IF($B148="","",SUMPRODUCT(((G148:N148="Accepted")+(G148:N148="Not Needed"))*(Settings!$C$15:$J$15="Yes")))</f>
        <v/>
      </c>
      <c r="R148" s="33">
        <f>IF($B148="","",IF($D148="No","No PTO/PTA",IF($D148&lt;&gt;"Yes","Not Yet Confirmed",IF($Q148&gt;=Settings!$C$13,"Legalized",IF($P148&gt;=Settings!$C$12,"Registered",IF($O148&gt;0,"In Progress","Not Started"))))))</f>
        <v/>
      </c>
      <c r="S148" s="32">
        <f>IF($B148="","",COUNTIF(G148:N148,"Received"))</f>
        <v/>
      </c>
      <c r="T148" s="32">
        <f>IF($B148="","",COUNTIF(G148:N148,"Needs Correction"))</f>
        <v/>
      </c>
      <c r="U148" s="33">
        <f>IF($B148="","",IF($D148&lt;&gt;"Yes","",IF($Q148&gt;=Settings!$C$13,"None",MID(IF(AND(G148&lt;&gt;"Accepted",G148&lt;&gt;"Not Needed",Settings!$C$15="Yes"),", "&amp;G$1,"")&amp;IF(AND(H148&lt;&gt;"Accepted",H148&lt;&gt;"Not Needed",Settings!$D$15="Yes"),", "&amp;H$1,"")&amp;IF(AND(I148&lt;&gt;"Accepted",I148&lt;&gt;"Not Needed",Settings!$E$15="Yes"),", "&amp;I$1,"")&amp;IF(AND(J148&lt;&gt;"Accepted",J148&lt;&gt;"Not Needed",Settings!$F$15="Yes"),", "&amp;J$1,"")&amp;IF(AND(K148&lt;&gt;"Accepted",K148&lt;&gt;"Not Needed",Settings!$G$15="Yes"),", "&amp;K$1,"")&amp;IF(AND(L148&lt;&gt;"Accepted",L148&lt;&gt;"Not Needed",Settings!$H$15="Yes"),", "&amp;L$1,"")&amp;IF(AND(M148&lt;&gt;"Accepted",M148&lt;&gt;"Not Needed",Settings!$I$15="Yes"),", "&amp;M$1,"")&amp;IF(AND(N148&lt;&gt;"Accepted",N148&lt;&gt;"Not Needed",Settings!$J$15="Yes"),", "&amp;N$1,""),3,400))))</f>
        <v/>
      </c>
    </row>
    <row r="149" ht="15" customHeight="1" s="21">
      <c r="A149" s="31" t="inlineStr">
        <is>
          <t>2026-27</t>
        </is>
      </c>
      <c r="B149" s="31" t="inlineStr">
        <is>
          <t>YWCPA</t>
        </is>
      </c>
      <c r="C149" s="31" t="inlineStr">
        <is>
          <t>EAS Secondary</t>
        </is>
      </c>
      <c r="D149" s="31" t="inlineStr">
        <is>
          <t>Not Yet Confirmed</t>
        </is>
      </c>
      <c r="E149" s="31" t="n"/>
      <c r="F149" s="31" t="n"/>
      <c r="G149" s="31" t="inlineStr">
        <is>
          <t>Not Received</t>
        </is>
      </c>
      <c r="H149" s="31" t="inlineStr">
        <is>
          <t>Not Received</t>
        </is>
      </c>
      <c r="I149" s="31" t="inlineStr">
        <is>
          <t>Not Received</t>
        </is>
      </c>
      <c r="J149" s="31" t="inlineStr">
        <is>
          <t>Not Received</t>
        </is>
      </c>
      <c r="K149" s="31" t="inlineStr">
        <is>
          <t>Not Received</t>
        </is>
      </c>
      <c r="L149" s="31" t="inlineStr">
        <is>
          <t>Not Received</t>
        </is>
      </c>
      <c r="M149" s="31" t="inlineStr">
        <is>
          <t>Not Received</t>
        </is>
      </c>
      <c r="N149" s="31" t="inlineStr">
        <is>
          <t>Not Received</t>
        </is>
      </c>
      <c r="O149" s="32">
        <f>IF($B149="","",COUNTIF(G149:N149,"Accepted")+COUNTIF(G149:N149,"Received")+COUNTIF(G149:N149,"Needs Correction"))</f>
        <v/>
      </c>
      <c r="P149" s="32">
        <f>IF($B149="","",SUMPRODUCT(((G149:N149="Accepted")+(G149:N149="Not Needed"))*(Settings!$C$11:$J$11="Yes")))</f>
        <v/>
      </c>
      <c r="Q149" s="32">
        <f>IF($B149="","",SUMPRODUCT(((G149:N149="Accepted")+(G149:N149="Not Needed"))*(Settings!$C$15:$J$15="Yes")))</f>
        <v/>
      </c>
      <c r="R149" s="33">
        <f>IF($B149="","",IF($D149="No","No PTO/PTA",IF($D149&lt;&gt;"Yes","Not Yet Confirmed",IF($Q149&gt;=Settings!$C$13,"Legalized",IF($P149&gt;=Settings!$C$12,"Registered",IF($O149&gt;0,"In Progress","Not Started"))))))</f>
        <v/>
      </c>
      <c r="S149" s="32">
        <f>IF($B149="","",COUNTIF(G149:N149,"Received"))</f>
        <v/>
      </c>
      <c r="T149" s="32">
        <f>IF($B149="","",COUNTIF(G149:N149,"Needs Correction"))</f>
        <v/>
      </c>
      <c r="U149" s="33">
        <f>IF($B149="","",IF($D149&lt;&gt;"Yes","",IF($Q149&gt;=Settings!$C$13,"None",MID(IF(AND(G149&lt;&gt;"Accepted",G149&lt;&gt;"Not Needed",Settings!$C$15="Yes"),", "&amp;G$1,"")&amp;IF(AND(H149&lt;&gt;"Accepted",H149&lt;&gt;"Not Needed",Settings!$D$15="Yes"),", "&amp;H$1,"")&amp;IF(AND(I149&lt;&gt;"Accepted",I149&lt;&gt;"Not Needed",Settings!$E$15="Yes"),", "&amp;I$1,"")&amp;IF(AND(J149&lt;&gt;"Accepted",J149&lt;&gt;"Not Needed",Settings!$F$15="Yes"),", "&amp;J$1,"")&amp;IF(AND(K149&lt;&gt;"Accepted",K149&lt;&gt;"Not Needed",Settings!$G$15="Yes"),", "&amp;K$1,"")&amp;IF(AND(L149&lt;&gt;"Accepted",L149&lt;&gt;"Not Needed",Settings!$H$15="Yes"),", "&amp;L$1,"")&amp;IF(AND(M149&lt;&gt;"Accepted",M149&lt;&gt;"Not Needed",Settings!$I$15="Yes"),", "&amp;M$1,"")&amp;IF(AND(N149&lt;&gt;"Accepted",N149&lt;&gt;"Not Needed",Settings!$J$15="Yes"),", "&amp;N$1,""),3,400))))</f>
        <v/>
      </c>
    </row>
    <row r="150" ht="15" customHeight="1" s="21">
      <c r="A150" s="31" t="inlineStr">
        <is>
          <t>2026-27</t>
        </is>
      </c>
      <c r="B150" s="31" t="inlineStr">
        <is>
          <t>Kinder HSPVA</t>
        </is>
      </c>
      <c r="C150" s="31" t="inlineStr">
        <is>
          <t>1882</t>
        </is>
      </c>
      <c r="D150" s="31" t="inlineStr">
        <is>
          <t>Not Yet Confirmed</t>
        </is>
      </c>
      <c r="E150" s="31" t="n"/>
      <c r="F150" s="31" t="n"/>
      <c r="G150" s="31" t="inlineStr">
        <is>
          <t>Not Received</t>
        </is>
      </c>
      <c r="H150" s="31" t="inlineStr">
        <is>
          <t>Not Received</t>
        </is>
      </c>
      <c r="I150" s="31" t="inlineStr">
        <is>
          <t>Not Received</t>
        </is>
      </c>
      <c r="J150" s="31" t="inlineStr">
        <is>
          <t>Not Received</t>
        </is>
      </c>
      <c r="K150" s="31" t="inlineStr">
        <is>
          <t>Not Received</t>
        </is>
      </c>
      <c r="L150" s="31" t="inlineStr">
        <is>
          <t>Not Received</t>
        </is>
      </c>
      <c r="M150" s="31" t="inlineStr">
        <is>
          <t>Not Received</t>
        </is>
      </c>
      <c r="N150" s="31" t="inlineStr">
        <is>
          <t>Not Received</t>
        </is>
      </c>
      <c r="O150" s="32">
        <f>IF($B150="","",COUNTIF(G150:N150,"Accepted")+COUNTIF(G150:N150,"Received")+COUNTIF(G150:N150,"Needs Correction"))</f>
        <v/>
      </c>
      <c r="P150" s="32">
        <f>IF($B150="","",SUMPRODUCT(((G150:N150="Accepted")+(G150:N150="Not Needed"))*(Settings!$C$11:$J$11="Yes")))</f>
        <v/>
      </c>
      <c r="Q150" s="32">
        <f>IF($B150="","",SUMPRODUCT(((G150:N150="Accepted")+(G150:N150="Not Needed"))*(Settings!$C$15:$J$15="Yes")))</f>
        <v/>
      </c>
      <c r="R150" s="33">
        <f>IF($B150="","",IF($D150="No","No PTO/PTA",IF($D150&lt;&gt;"Yes","Not Yet Confirmed",IF($Q150&gt;=Settings!$C$13,"Legalized",IF($P150&gt;=Settings!$C$12,"Registered",IF($O150&gt;0,"In Progress","Not Started"))))))</f>
        <v/>
      </c>
      <c r="S150" s="32">
        <f>IF($B150="","",COUNTIF(G150:N150,"Received"))</f>
        <v/>
      </c>
      <c r="T150" s="32">
        <f>IF($B150="","",COUNTIF(G150:N150,"Needs Correction"))</f>
        <v/>
      </c>
      <c r="U150" s="33">
        <f>IF($B150="","",IF($D150&lt;&gt;"Yes","",IF($Q150&gt;=Settings!$C$13,"None",MID(IF(AND(G150&lt;&gt;"Accepted",G150&lt;&gt;"Not Needed",Settings!$C$15="Yes"),", "&amp;G$1,"")&amp;IF(AND(H150&lt;&gt;"Accepted",H150&lt;&gt;"Not Needed",Settings!$D$15="Yes"),", "&amp;H$1,"")&amp;IF(AND(I150&lt;&gt;"Accepted",I150&lt;&gt;"Not Needed",Settings!$E$15="Yes"),", "&amp;I$1,"")&amp;IF(AND(J150&lt;&gt;"Accepted",J150&lt;&gt;"Not Needed",Settings!$F$15="Yes"),", "&amp;J$1,"")&amp;IF(AND(K150&lt;&gt;"Accepted",K150&lt;&gt;"Not Needed",Settings!$G$15="Yes"),", "&amp;K$1,"")&amp;IF(AND(L150&lt;&gt;"Accepted",L150&lt;&gt;"Not Needed",Settings!$H$15="Yes"),", "&amp;L$1,"")&amp;IF(AND(M150&lt;&gt;"Accepted",M150&lt;&gt;"Not Needed",Settings!$I$15="Yes"),", "&amp;M$1,"")&amp;IF(AND(N150&lt;&gt;"Accepted",N150&lt;&gt;"Not Needed",Settings!$J$15="Yes"),", "&amp;N$1,""),3,400))))</f>
        <v/>
      </c>
    </row>
    <row r="151" ht="15" customHeight="1" s="21">
      <c r="A151" s="31" t="inlineStr">
        <is>
          <t>2026-27</t>
        </is>
      </c>
      <c r="B151" s="31" t="inlineStr">
        <is>
          <t>Challenge EC HS</t>
        </is>
      </c>
      <c r="C151" s="31" t="inlineStr">
        <is>
          <t>1882</t>
        </is>
      </c>
      <c r="D151" s="31" t="inlineStr">
        <is>
          <t>Not Yet Confirmed</t>
        </is>
      </c>
      <c r="E151" s="31" t="n"/>
      <c r="F151" s="31" t="n"/>
      <c r="G151" s="31" t="inlineStr">
        <is>
          <t>Not Received</t>
        </is>
      </c>
      <c r="H151" s="31" t="inlineStr">
        <is>
          <t>Not Received</t>
        </is>
      </c>
      <c r="I151" s="31" t="inlineStr">
        <is>
          <t>Not Received</t>
        </is>
      </c>
      <c r="J151" s="31" t="inlineStr">
        <is>
          <t>Not Received</t>
        </is>
      </c>
      <c r="K151" s="31" t="inlineStr">
        <is>
          <t>Not Received</t>
        </is>
      </c>
      <c r="L151" s="31" t="inlineStr">
        <is>
          <t>Not Received</t>
        </is>
      </c>
      <c r="M151" s="31" t="inlineStr">
        <is>
          <t>Not Received</t>
        </is>
      </c>
      <c r="N151" s="31" t="inlineStr">
        <is>
          <t>Not Received</t>
        </is>
      </c>
      <c r="O151" s="32">
        <f>IF($B151="","",COUNTIF(G151:N151,"Accepted")+COUNTIF(G151:N151,"Received")+COUNTIF(G151:N151,"Needs Correction"))</f>
        <v/>
      </c>
      <c r="P151" s="32">
        <f>IF($B151="","",SUMPRODUCT(((G151:N151="Accepted")+(G151:N151="Not Needed"))*(Settings!$C$11:$J$11="Yes")))</f>
        <v/>
      </c>
      <c r="Q151" s="32">
        <f>IF($B151="","",SUMPRODUCT(((G151:N151="Accepted")+(G151:N151="Not Needed"))*(Settings!$C$15:$J$15="Yes")))</f>
        <v/>
      </c>
      <c r="R151" s="33">
        <f>IF($B151="","",IF($D151="No","No PTO/PTA",IF($D151&lt;&gt;"Yes","Not Yet Confirmed",IF($Q151&gt;=Settings!$C$13,"Legalized",IF($P151&gt;=Settings!$C$12,"Registered",IF($O151&gt;0,"In Progress","Not Started"))))))</f>
        <v/>
      </c>
      <c r="S151" s="32">
        <f>IF($B151="","",COUNTIF(G151:N151,"Received"))</f>
        <v/>
      </c>
      <c r="T151" s="32">
        <f>IF($B151="","",COUNTIF(G151:N151,"Needs Correction"))</f>
        <v/>
      </c>
      <c r="U151" s="33">
        <f>IF($B151="","",IF($D151&lt;&gt;"Yes","",IF($Q151&gt;=Settings!$C$13,"None",MID(IF(AND(G151&lt;&gt;"Accepted",G151&lt;&gt;"Not Needed",Settings!$C$15="Yes"),", "&amp;G$1,"")&amp;IF(AND(H151&lt;&gt;"Accepted",H151&lt;&gt;"Not Needed",Settings!$D$15="Yes"),", "&amp;H$1,"")&amp;IF(AND(I151&lt;&gt;"Accepted",I151&lt;&gt;"Not Needed",Settings!$E$15="Yes"),", "&amp;I$1,"")&amp;IF(AND(J151&lt;&gt;"Accepted",J151&lt;&gt;"Not Needed",Settings!$F$15="Yes"),", "&amp;J$1,"")&amp;IF(AND(K151&lt;&gt;"Accepted",K151&lt;&gt;"Not Needed",Settings!$G$15="Yes"),", "&amp;K$1,"")&amp;IF(AND(L151&lt;&gt;"Accepted",L151&lt;&gt;"Not Needed",Settings!$H$15="Yes"),", "&amp;L$1,"")&amp;IF(AND(M151&lt;&gt;"Accepted",M151&lt;&gt;"Not Needed",Settings!$I$15="Yes"),", "&amp;M$1,"")&amp;IF(AND(N151&lt;&gt;"Accepted",N151&lt;&gt;"Not Needed",Settings!$J$15="Yes"),", "&amp;N$1,""),3,400))))</f>
        <v/>
      </c>
    </row>
    <row r="152" ht="15" customHeight="1" s="21">
      <c r="A152" s="31" t="inlineStr">
        <is>
          <t>2026-27</t>
        </is>
      </c>
      <c r="B152" s="31" t="inlineStr">
        <is>
          <t>Energy Inst HS</t>
        </is>
      </c>
      <c r="C152" s="31" t="inlineStr">
        <is>
          <t>1882</t>
        </is>
      </c>
      <c r="D152" s="31" t="inlineStr">
        <is>
          <t>Not Yet Confirmed</t>
        </is>
      </c>
      <c r="E152" s="31" t="n"/>
      <c r="F152" s="31" t="n"/>
      <c r="G152" s="31" t="inlineStr">
        <is>
          <t>Not Received</t>
        </is>
      </c>
      <c r="H152" s="31" t="inlineStr">
        <is>
          <t>Not Received</t>
        </is>
      </c>
      <c r="I152" s="31" t="inlineStr">
        <is>
          <t>Not Received</t>
        </is>
      </c>
      <c r="J152" s="31" t="inlineStr">
        <is>
          <t>Not Received</t>
        </is>
      </c>
      <c r="K152" s="31" t="inlineStr">
        <is>
          <t>Not Received</t>
        </is>
      </c>
      <c r="L152" s="31" t="inlineStr">
        <is>
          <t>Not Received</t>
        </is>
      </c>
      <c r="M152" s="31" t="inlineStr">
        <is>
          <t>Not Received</t>
        </is>
      </c>
      <c r="N152" s="31" t="inlineStr">
        <is>
          <t>Not Received</t>
        </is>
      </c>
      <c r="O152" s="32">
        <f>IF($B152="","",COUNTIF(G152:N152,"Accepted")+COUNTIF(G152:N152,"Received")+COUNTIF(G152:N152,"Needs Correction"))</f>
        <v/>
      </c>
      <c r="P152" s="32">
        <f>IF($B152="","",SUMPRODUCT(((G152:N152="Accepted")+(G152:N152="Not Needed"))*(Settings!$C$11:$J$11="Yes")))</f>
        <v/>
      </c>
      <c r="Q152" s="32">
        <f>IF($B152="","",SUMPRODUCT(((G152:N152="Accepted")+(G152:N152="Not Needed"))*(Settings!$C$15:$J$15="Yes")))</f>
        <v/>
      </c>
      <c r="R152" s="33">
        <f>IF($B152="","",IF($D152="No","No PTO/PTA",IF($D152&lt;&gt;"Yes","Not Yet Confirmed",IF($Q152&gt;=Settings!$C$13,"Legalized",IF($P152&gt;=Settings!$C$12,"Registered",IF($O152&gt;0,"In Progress","Not Started"))))))</f>
        <v/>
      </c>
      <c r="S152" s="32">
        <f>IF($B152="","",COUNTIF(G152:N152,"Received"))</f>
        <v/>
      </c>
      <c r="T152" s="32">
        <f>IF($B152="","",COUNTIF(G152:N152,"Needs Correction"))</f>
        <v/>
      </c>
      <c r="U152" s="33">
        <f>IF($B152="","",IF($D152&lt;&gt;"Yes","",IF($Q152&gt;=Settings!$C$13,"None",MID(IF(AND(G152&lt;&gt;"Accepted",G152&lt;&gt;"Not Needed",Settings!$C$15="Yes"),", "&amp;G$1,"")&amp;IF(AND(H152&lt;&gt;"Accepted",H152&lt;&gt;"Not Needed",Settings!$D$15="Yes"),", "&amp;H$1,"")&amp;IF(AND(I152&lt;&gt;"Accepted",I152&lt;&gt;"Not Needed",Settings!$E$15="Yes"),", "&amp;I$1,"")&amp;IF(AND(J152&lt;&gt;"Accepted",J152&lt;&gt;"Not Needed",Settings!$F$15="Yes"),", "&amp;J$1,"")&amp;IF(AND(K152&lt;&gt;"Accepted",K152&lt;&gt;"Not Needed",Settings!$G$15="Yes"),", "&amp;K$1,"")&amp;IF(AND(L152&lt;&gt;"Accepted",L152&lt;&gt;"Not Needed",Settings!$H$15="Yes"),", "&amp;L$1,"")&amp;IF(AND(M152&lt;&gt;"Accepted",M152&lt;&gt;"Not Needed",Settings!$I$15="Yes"),", "&amp;M$1,"")&amp;IF(AND(N152&lt;&gt;"Accepted",N152&lt;&gt;"Not Needed",Settings!$J$15="Yes"),", "&amp;N$1,""),3,400))))</f>
        <v/>
      </c>
    </row>
    <row r="153" ht="15" customHeight="1" s="21">
      <c r="A153" s="31" t="inlineStr">
        <is>
          <t>2026-27</t>
        </is>
      </c>
      <c r="B153" s="31" t="inlineStr">
        <is>
          <t>HAIS HS</t>
        </is>
      </c>
      <c r="C153" s="31" t="inlineStr">
        <is>
          <t>1882</t>
        </is>
      </c>
      <c r="D153" s="31" t="inlineStr">
        <is>
          <t>Not Yet Confirmed</t>
        </is>
      </c>
      <c r="E153" s="31" t="n"/>
      <c r="F153" s="31" t="n"/>
      <c r="G153" s="31" t="inlineStr">
        <is>
          <t>Not Received</t>
        </is>
      </c>
      <c r="H153" s="31" t="inlineStr">
        <is>
          <t>Not Received</t>
        </is>
      </c>
      <c r="I153" s="31" t="inlineStr">
        <is>
          <t>Not Received</t>
        </is>
      </c>
      <c r="J153" s="31" t="inlineStr">
        <is>
          <t>Not Received</t>
        </is>
      </c>
      <c r="K153" s="31" t="inlineStr">
        <is>
          <t>Not Received</t>
        </is>
      </c>
      <c r="L153" s="31" t="inlineStr">
        <is>
          <t>Not Received</t>
        </is>
      </c>
      <c r="M153" s="31" t="inlineStr">
        <is>
          <t>Not Received</t>
        </is>
      </c>
      <c r="N153" s="31" t="inlineStr">
        <is>
          <t>Not Received</t>
        </is>
      </c>
      <c r="O153" s="32">
        <f>IF($B153="","",COUNTIF(G153:N153,"Accepted")+COUNTIF(G153:N153,"Received")+COUNTIF(G153:N153,"Needs Correction"))</f>
        <v/>
      </c>
      <c r="P153" s="32">
        <f>IF($B153="","",SUMPRODUCT(((G153:N153="Accepted")+(G153:N153="Not Needed"))*(Settings!$C$11:$J$11="Yes")))</f>
        <v/>
      </c>
      <c r="Q153" s="32">
        <f>IF($B153="","",SUMPRODUCT(((G153:N153="Accepted")+(G153:N153="Not Needed"))*(Settings!$C$15:$J$15="Yes")))</f>
        <v/>
      </c>
      <c r="R153" s="33">
        <f>IF($B153="","",IF($D153="No","No PTO/PTA",IF($D153&lt;&gt;"Yes","Not Yet Confirmed",IF($Q153&gt;=Settings!$C$13,"Legalized",IF($P153&gt;=Settings!$C$12,"Registered",IF($O153&gt;0,"In Progress","Not Started"))))))</f>
        <v/>
      </c>
      <c r="S153" s="32">
        <f>IF($B153="","",COUNTIF(G153:N153,"Received"))</f>
        <v/>
      </c>
      <c r="T153" s="32">
        <f>IF($B153="","",COUNTIF(G153:N153,"Needs Correction"))</f>
        <v/>
      </c>
      <c r="U153" s="33">
        <f>IF($B153="","",IF($D153&lt;&gt;"Yes","",IF($Q153&gt;=Settings!$C$13,"None",MID(IF(AND(G153&lt;&gt;"Accepted",G153&lt;&gt;"Not Needed",Settings!$C$15="Yes"),", "&amp;G$1,"")&amp;IF(AND(H153&lt;&gt;"Accepted",H153&lt;&gt;"Not Needed",Settings!$D$15="Yes"),", "&amp;H$1,"")&amp;IF(AND(I153&lt;&gt;"Accepted",I153&lt;&gt;"Not Needed",Settings!$E$15="Yes"),", "&amp;I$1,"")&amp;IF(AND(J153&lt;&gt;"Accepted",J153&lt;&gt;"Not Needed",Settings!$F$15="Yes"),", "&amp;J$1,"")&amp;IF(AND(K153&lt;&gt;"Accepted",K153&lt;&gt;"Not Needed",Settings!$G$15="Yes"),", "&amp;K$1,"")&amp;IF(AND(L153&lt;&gt;"Accepted",L153&lt;&gt;"Not Needed",Settings!$H$15="Yes"),", "&amp;L$1,"")&amp;IF(AND(M153&lt;&gt;"Accepted",M153&lt;&gt;"Not Needed",Settings!$I$15="Yes"),", "&amp;M$1,"")&amp;IF(AND(N153&lt;&gt;"Accepted",N153&lt;&gt;"Not Needed",Settings!$J$15="Yes"),", "&amp;N$1,""),3,400))))</f>
        <v/>
      </c>
    </row>
    <row r="154" ht="15" customHeight="1" s="21">
      <c r="A154" s="31" t="inlineStr">
        <is>
          <t>2026-27</t>
        </is>
      </c>
      <c r="B154" s="31" t="inlineStr">
        <is>
          <t>Almeda ES</t>
        </is>
      </c>
      <c r="C154" s="31" t="inlineStr">
        <is>
          <t>NES Elementary</t>
        </is>
      </c>
      <c r="D154" s="31" t="inlineStr">
        <is>
          <t>No</t>
        </is>
      </c>
      <c r="E154" s="31" t="n"/>
      <c r="F154" s="31" t="n"/>
      <c r="G154" s="31" t="inlineStr">
        <is>
          <t>Not Received</t>
        </is>
      </c>
      <c r="H154" s="31" t="inlineStr">
        <is>
          <t>Not Received</t>
        </is>
      </c>
      <c r="I154" s="31" t="inlineStr">
        <is>
          <t>Not Received</t>
        </is>
      </c>
      <c r="J154" s="31" t="inlineStr">
        <is>
          <t>Not Received</t>
        </is>
      </c>
      <c r="K154" s="31" t="inlineStr">
        <is>
          <t>Not Received</t>
        </is>
      </c>
      <c r="L154" s="31" t="inlineStr">
        <is>
          <t>Not Received</t>
        </is>
      </c>
      <c r="M154" s="31" t="inlineStr">
        <is>
          <t>Not Received</t>
        </is>
      </c>
      <c r="N154" s="31" t="inlineStr">
        <is>
          <t>Not Received</t>
        </is>
      </c>
      <c r="O154" s="32">
        <f>IF($B154="","",COUNTIF(G154:N154,"Accepted")+COUNTIF(G154:N154,"Received")+COUNTIF(G154:N154,"Needs Correction"))</f>
        <v/>
      </c>
      <c r="P154" s="32">
        <f>IF($B154="","",SUMPRODUCT(((G154:N154="Accepted")+(G154:N154="Not Needed"))*(Settings!$C$11:$J$11="Yes")))</f>
        <v/>
      </c>
      <c r="Q154" s="32">
        <f>IF($B154="","",SUMPRODUCT(((G154:N154="Accepted")+(G154:N154="Not Needed"))*(Settings!$C$15:$J$15="Yes")))</f>
        <v/>
      </c>
      <c r="R154" s="33">
        <f>IF($B154="","",IF($D154="No","No PTO/PTA",IF($D154&lt;&gt;"Yes","Not Yet Confirmed",IF($Q154&gt;=Settings!$C$13,"Legalized",IF($P154&gt;=Settings!$C$12,"Registered",IF($O154&gt;0,"In Progress","Not Started"))))))</f>
        <v/>
      </c>
      <c r="S154" s="32">
        <f>IF($B154="","",COUNTIF(G154:N154,"Received"))</f>
        <v/>
      </c>
      <c r="T154" s="32">
        <f>IF($B154="","",COUNTIF(G154:N154,"Needs Correction"))</f>
        <v/>
      </c>
      <c r="U154" s="33">
        <f>IF($B154="","",IF($D154&lt;&gt;"Yes","",IF($Q154&gt;=Settings!$C$13,"None",MID(IF(AND(G154&lt;&gt;"Accepted",G154&lt;&gt;"Not Needed",Settings!$C$15="Yes"),", "&amp;G$1,"")&amp;IF(AND(H154&lt;&gt;"Accepted",H154&lt;&gt;"Not Needed",Settings!$D$15="Yes"),", "&amp;H$1,"")&amp;IF(AND(I154&lt;&gt;"Accepted",I154&lt;&gt;"Not Needed",Settings!$E$15="Yes"),", "&amp;I$1,"")&amp;IF(AND(J154&lt;&gt;"Accepted",J154&lt;&gt;"Not Needed",Settings!$F$15="Yes"),", "&amp;J$1,"")&amp;IF(AND(K154&lt;&gt;"Accepted",K154&lt;&gt;"Not Needed",Settings!$G$15="Yes"),", "&amp;K$1,"")&amp;IF(AND(L154&lt;&gt;"Accepted",L154&lt;&gt;"Not Needed",Settings!$H$15="Yes"),", "&amp;L$1,"")&amp;IF(AND(M154&lt;&gt;"Accepted",M154&lt;&gt;"Not Needed",Settings!$I$15="Yes"),", "&amp;M$1,"")&amp;IF(AND(N154&lt;&gt;"Accepted",N154&lt;&gt;"Not Needed",Settings!$J$15="Yes"),", "&amp;N$1,""),3,400))))</f>
        <v/>
      </c>
    </row>
    <row r="155" ht="15" customHeight="1" s="21">
      <c r="A155" s="31" t="inlineStr">
        <is>
          <t>2026-27</t>
        </is>
      </c>
      <c r="B155" s="31" t="inlineStr">
        <is>
          <t>Attucks MS</t>
        </is>
      </c>
      <c r="C155" s="31" t="inlineStr">
        <is>
          <t>EAS Secondary</t>
        </is>
      </c>
      <c r="D155" s="31" t="inlineStr">
        <is>
          <t>No</t>
        </is>
      </c>
      <c r="E155" s="31" t="n"/>
      <c r="F155" s="31" t="n"/>
      <c r="G155" s="31" t="inlineStr">
        <is>
          <t>Not Received</t>
        </is>
      </c>
      <c r="H155" s="31" t="inlineStr">
        <is>
          <t>Not Received</t>
        </is>
      </c>
      <c r="I155" s="31" t="inlineStr">
        <is>
          <t>Not Received</t>
        </is>
      </c>
      <c r="J155" s="31" t="inlineStr">
        <is>
          <t>Not Received</t>
        </is>
      </c>
      <c r="K155" s="31" t="inlineStr">
        <is>
          <t>Not Received</t>
        </is>
      </c>
      <c r="L155" s="31" t="inlineStr">
        <is>
          <t>Not Received</t>
        </is>
      </c>
      <c r="M155" s="31" t="inlineStr">
        <is>
          <t>Not Received</t>
        </is>
      </c>
      <c r="N155" s="31" t="inlineStr">
        <is>
          <t>Not Received</t>
        </is>
      </c>
      <c r="O155" s="32">
        <f>IF($B155="","",COUNTIF(G155:N155,"Accepted")+COUNTIF(G155:N155,"Received")+COUNTIF(G155:N155,"Needs Correction"))</f>
        <v/>
      </c>
      <c r="P155" s="32">
        <f>IF($B155="","",SUMPRODUCT(((G155:N155="Accepted")+(G155:N155="Not Needed"))*(Settings!$C$11:$J$11="Yes")))</f>
        <v/>
      </c>
      <c r="Q155" s="32">
        <f>IF($B155="","",SUMPRODUCT(((G155:N155="Accepted")+(G155:N155="Not Needed"))*(Settings!$C$15:$J$15="Yes")))</f>
        <v/>
      </c>
      <c r="R155" s="33">
        <f>IF($B155="","",IF($D155="No","No PTO/PTA",IF($D155&lt;&gt;"Yes","Not Yet Confirmed",IF($Q155&gt;=Settings!$C$13,"Legalized",IF($P155&gt;=Settings!$C$12,"Registered",IF($O155&gt;0,"In Progress","Not Started"))))))</f>
        <v/>
      </c>
      <c r="S155" s="32">
        <f>IF($B155="","",COUNTIF(G155:N155,"Received"))</f>
        <v/>
      </c>
      <c r="T155" s="32">
        <f>IF($B155="","",COUNTIF(G155:N155,"Needs Correction"))</f>
        <v/>
      </c>
      <c r="U155" s="33">
        <f>IF($B155="","",IF($D155&lt;&gt;"Yes","",IF($Q155&gt;=Settings!$C$13,"None",MID(IF(AND(G155&lt;&gt;"Accepted",G155&lt;&gt;"Not Needed",Settings!$C$15="Yes"),", "&amp;G$1,"")&amp;IF(AND(H155&lt;&gt;"Accepted",H155&lt;&gt;"Not Needed",Settings!$D$15="Yes"),", "&amp;H$1,"")&amp;IF(AND(I155&lt;&gt;"Accepted",I155&lt;&gt;"Not Needed",Settings!$E$15="Yes"),", "&amp;I$1,"")&amp;IF(AND(J155&lt;&gt;"Accepted",J155&lt;&gt;"Not Needed",Settings!$F$15="Yes"),", "&amp;J$1,"")&amp;IF(AND(K155&lt;&gt;"Accepted",K155&lt;&gt;"Not Needed",Settings!$G$15="Yes"),", "&amp;K$1,"")&amp;IF(AND(L155&lt;&gt;"Accepted",L155&lt;&gt;"Not Needed",Settings!$H$15="Yes"),", "&amp;L$1,"")&amp;IF(AND(M155&lt;&gt;"Accepted",M155&lt;&gt;"Not Needed",Settings!$I$15="Yes"),", "&amp;M$1,"")&amp;IF(AND(N155&lt;&gt;"Accepted",N155&lt;&gt;"Not Needed",Settings!$J$15="Yes"),", "&amp;N$1,""),3,400))))</f>
        <v/>
      </c>
    </row>
    <row r="156" ht="15" customHeight="1" s="21">
      <c r="A156" s="31" t="inlineStr">
        <is>
          <t>2026-27</t>
        </is>
      </c>
      <c r="B156" s="31" t="inlineStr">
        <is>
          <t>Austin HS</t>
        </is>
      </c>
      <c r="C156" s="31" t="inlineStr">
        <is>
          <t>NES Secondary</t>
        </is>
      </c>
      <c r="D156" s="31" t="inlineStr">
        <is>
          <t>No</t>
        </is>
      </c>
      <c r="E156" s="31" t="n"/>
      <c r="F156" s="31" t="n"/>
      <c r="G156" s="31" t="inlineStr">
        <is>
          <t>Not Received</t>
        </is>
      </c>
      <c r="H156" s="31" t="inlineStr">
        <is>
          <t>Not Received</t>
        </is>
      </c>
      <c r="I156" s="31" t="inlineStr">
        <is>
          <t>Not Received</t>
        </is>
      </c>
      <c r="J156" s="31" t="inlineStr">
        <is>
          <t>Not Received</t>
        </is>
      </c>
      <c r="K156" s="31" t="inlineStr">
        <is>
          <t>Not Received</t>
        </is>
      </c>
      <c r="L156" s="31" t="inlineStr">
        <is>
          <t>Not Received</t>
        </is>
      </c>
      <c r="M156" s="31" t="inlineStr">
        <is>
          <t>Not Received</t>
        </is>
      </c>
      <c r="N156" s="31" t="inlineStr">
        <is>
          <t>Not Received</t>
        </is>
      </c>
      <c r="O156" s="32">
        <f>IF($B156="","",COUNTIF(G156:N156,"Accepted")+COUNTIF(G156:N156,"Received")+COUNTIF(G156:N156,"Needs Correction"))</f>
        <v/>
      </c>
      <c r="P156" s="32">
        <f>IF($B156="","",SUMPRODUCT(((G156:N156="Accepted")+(G156:N156="Not Needed"))*(Settings!$C$11:$J$11="Yes")))</f>
        <v/>
      </c>
      <c r="Q156" s="32">
        <f>IF($B156="","",SUMPRODUCT(((G156:N156="Accepted")+(G156:N156="Not Needed"))*(Settings!$C$15:$J$15="Yes")))</f>
        <v/>
      </c>
      <c r="R156" s="33">
        <f>IF($B156="","",IF($D156="No","No PTO/PTA",IF($D156&lt;&gt;"Yes","Not Yet Confirmed",IF($Q156&gt;=Settings!$C$13,"Legalized",IF($P156&gt;=Settings!$C$12,"Registered",IF($O156&gt;0,"In Progress","Not Started"))))))</f>
        <v/>
      </c>
      <c r="S156" s="32">
        <f>IF($B156="","",COUNTIF(G156:N156,"Received"))</f>
        <v/>
      </c>
      <c r="T156" s="32">
        <f>IF($B156="","",COUNTIF(G156:N156,"Needs Correction"))</f>
        <v/>
      </c>
      <c r="U156" s="33">
        <f>IF($B156="","",IF($D156&lt;&gt;"Yes","",IF($Q156&gt;=Settings!$C$13,"None",MID(IF(AND(G156&lt;&gt;"Accepted",G156&lt;&gt;"Not Needed",Settings!$C$15="Yes"),", "&amp;G$1,"")&amp;IF(AND(H156&lt;&gt;"Accepted",H156&lt;&gt;"Not Needed",Settings!$D$15="Yes"),", "&amp;H$1,"")&amp;IF(AND(I156&lt;&gt;"Accepted",I156&lt;&gt;"Not Needed",Settings!$E$15="Yes"),", "&amp;I$1,"")&amp;IF(AND(J156&lt;&gt;"Accepted",J156&lt;&gt;"Not Needed",Settings!$F$15="Yes"),", "&amp;J$1,"")&amp;IF(AND(K156&lt;&gt;"Accepted",K156&lt;&gt;"Not Needed",Settings!$G$15="Yes"),", "&amp;K$1,"")&amp;IF(AND(L156&lt;&gt;"Accepted",L156&lt;&gt;"Not Needed",Settings!$H$15="Yes"),", "&amp;L$1,"")&amp;IF(AND(M156&lt;&gt;"Accepted",M156&lt;&gt;"Not Needed",Settings!$I$15="Yes"),", "&amp;M$1,"")&amp;IF(AND(N156&lt;&gt;"Accepted",N156&lt;&gt;"Not Needed",Settings!$J$15="Yes"),", "&amp;N$1,""),3,400))))</f>
        <v/>
      </c>
    </row>
    <row r="157" ht="15" customHeight="1" s="21">
      <c r="A157" s="31" t="inlineStr">
        <is>
          <t>2026-27</t>
        </is>
      </c>
      <c r="B157" s="31" t="inlineStr">
        <is>
          <t>Bell ES</t>
        </is>
      </c>
      <c r="C157" s="31" t="inlineStr">
        <is>
          <t>NES Elementary</t>
        </is>
      </c>
      <c r="D157" s="31" t="inlineStr">
        <is>
          <t>No</t>
        </is>
      </c>
      <c r="E157" s="31" t="n"/>
      <c r="F157" s="31" t="n"/>
      <c r="G157" s="31" t="inlineStr">
        <is>
          <t>Not Received</t>
        </is>
      </c>
      <c r="H157" s="31" t="inlineStr">
        <is>
          <t>Not Received</t>
        </is>
      </c>
      <c r="I157" s="31" t="inlineStr">
        <is>
          <t>Not Received</t>
        </is>
      </c>
      <c r="J157" s="31" t="inlineStr">
        <is>
          <t>Not Received</t>
        </is>
      </c>
      <c r="K157" s="31" t="inlineStr">
        <is>
          <t>Not Received</t>
        </is>
      </c>
      <c r="L157" s="31" t="inlineStr">
        <is>
          <t>Not Received</t>
        </is>
      </c>
      <c r="M157" s="31" t="inlineStr">
        <is>
          <t>Not Received</t>
        </is>
      </c>
      <c r="N157" s="31" t="inlineStr">
        <is>
          <t>Not Received</t>
        </is>
      </c>
      <c r="O157" s="32">
        <f>IF($B157="","",COUNTIF(G157:N157,"Accepted")+COUNTIF(G157:N157,"Received")+COUNTIF(G157:N157,"Needs Correction"))</f>
        <v/>
      </c>
      <c r="P157" s="32">
        <f>IF($B157="","",SUMPRODUCT(((G157:N157="Accepted")+(G157:N157="Not Needed"))*(Settings!$C$11:$J$11="Yes")))</f>
        <v/>
      </c>
      <c r="Q157" s="32">
        <f>IF($B157="","",SUMPRODUCT(((G157:N157="Accepted")+(G157:N157="Not Needed"))*(Settings!$C$15:$J$15="Yes")))</f>
        <v/>
      </c>
      <c r="R157" s="33">
        <f>IF($B157="","",IF($D157="No","No PTO/PTA",IF($D157&lt;&gt;"Yes","Not Yet Confirmed",IF($Q157&gt;=Settings!$C$13,"Legalized",IF($P157&gt;=Settings!$C$12,"Registered",IF($O157&gt;0,"In Progress","Not Started"))))))</f>
        <v/>
      </c>
      <c r="S157" s="32">
        <f>IF($B157="","",COUNTIF(G157:N157,"Received"))</f>
        <v/>
      </c>
      <c r="T157" s="32">
        <f>IF($B157="","",COUNTIF(G157:N157,"Needs Correction"))</f>
        <v/>
      </c>
      <c r="U157" s="33">
        <f>IF($B157="","",IF($D157&lt;&gt;"Yes","",IF($Q157&gt;=Settings!$C$13,"None",MID(IF(AND(G157&lt;&gt;"Accepted",G157&lt;&gt;"Not Needed",Settings!$C$15="Yes"),", "&amp;G$1,"")&amp;IF(AND(H157&lt;&gt;"Accepted",H157&lt;&gt;"Not Needed",Settings!$D$15="Yes"),", "&amp;H$1,"")&amp;IF(AND(I157&lt;&gt;"Accepted",I157&lt;&gt;"Not Needed",Settings!$E$15="Yes"),", "&amp;I$1,"")&amp;IF(AND(J157&lt;&gt;"Accepted",J157&lt;&gt;"Not Needed",Settings!$F$15="Yes"),", "&amp;J$1,"")&amp;IF(AND(K157&lt;&gt;"Accepted",K157&lt;&gt;"Not Needed",Settings!$G$15="Yes"),", "&amp;K$1,"")&amp;IF(AND(L157&lt;&gt;"Accepted",L157&lt;&gt;"Not Needed",Settings!$H$15="Yes"),", "&amp;L$1,"")&amp;IF(AND(M157&lt;&gt;"Accepted",M157&lt;&gt;"Not Needed",Settings!$I$15="Yes"),", "&amp;M$1,"")&amp;IF(AND(N157&lt;&gt;"Accepted",N157&lt;&gt;"Not Needed",Settings!$J$15="Yes"),", "&amp;N$1,""),3,400))))</f>
        <v/>
      </c>
    </row>
    <row r="158" ht="15" customHeight="1" s="21">
      <c r="A158" s="31" t="inlineStr">
        <is>
          <t>2026-27</t>
        </is>
      </c>
      <c r="B158" s="31" t="inlineStr">
        <is>
          <t>Benavidez ES</t>
        </is>
      </c>
      <c r="C158" s="31" t="inlineStr">
        <is>
          <t>NES Elementary</t>
        </is>
      </c>
      <c r="D158" s="31" t="inlineStr">
        <is>
          <t>No</t>
        </is>
      </c>
      <c r="E158" s="31" t="n"/>
      <c r="F158" s="31" t="n"/>
      <c r="G158" s="31" t="inlineStr">
        <is>
          <t>Not Received</t>
        </is>
      </c>
      <c r="H158" s="31" t="inlineStr">
        <is>
          <t>Not Received</t>
        </is>
      </c>
      <c r="I158" s="31" t="inlineStr">
        <is>
          <t>Not Received</t>
        </is>
      </c>
      <c r="J158" s="31" t="inlineStr">
        <is>
          <t>Not Received</t>
        </is>
      </c>
      <c r="K158" s="31" t="inlineStr">
        <is>
          <t>Not Received</t>
        </is>
      </c>
      <c r="L158" s="31" t="inlineStr">
        <is>
          <t>Not Received</t>
        </is>
      </c>
      <c r="M158" s="31" t="inlineStr">
        <is>
          <t>Not Received</t>
        </is>
      </c>
      <c r="N158" s="31" t="inlineStr">
        <is>
          <t>Not Received</t>
        </is>
      </c>
      <c r="O158" s="32">
        <f>IF($B158="","",COUNTIF(G158:N158,"Accepted")+COUNTIF(G158:N158,"Received")+COUNTIF(G158:N158,"Needs Correction"))</f>
        <v/>
      </c>
      <c r="P158" s="32">
        <f>IF($B158="","",SUMPRODUCT(((G158:N158="Accepted")+(G158:N158="Not Needed"))*(Settings!$C$11:$J$11="Yes")))</f>
        <v/>
      </c>
      <c r="Q158" s="32">
        <f>IF($B158="","",SUMPRODUCT(((G158:N158="Accepted")+(G158:N158="Not Needed"))*(Settings!$C$15:$J$15="Yes")))</f>
        <v/>
      </c>
      <c r="R158" s="33">
        <f>IF($B158="","",IF($D158="No","No PTO/PTA",IF($D158&lt;&gt;"Yes","Not Yet Confirmed",IF($Q158&gt;=Settings!$C$13,"Legalized",IF($P158&gt;=Settings!$C$12,"Registered",IF($O158&gt;0,"In Progress","Not Started"))))))</f>
        <v/>
      </c>
      <c r="S158" s="32">
        <f>IF($B158="","",COUNTIF(G158:N158,"Received"))</f>
        <v/>
      </c>
      <c r="T158" s="32">
        <f>IF($B158="","",COUNTIF(G158:N158,"Needs Correction"))</f>
        <v/>
      </c>
      <c r="U158" s="33">
        <f>IF($B158="","",IF($D158&lt;&gt;"Yes","",IF($Q158&gt;=Settings!$C$13,"None",MID(IF(AND(G158&lt;&gt;"Accepted",G158&lt;&gt;"Not Needed",Settings!$C$15="Yes"),", "&amp;G$1,"")&amp;IF(AND(H158&lt;&gt;"Accepted",H158&lt;&gt;"Not Needed",Settings!$D$15="Yes"),", "&amp;H$1,"")&amp;IF(AND(I158&lt;&gt;"Accepted",I158&lt;&gt;"Not Needed",Settings!$E$15="Yes"),", "&amp;I$1,"")&amp;IF(AND(J158&lt;&gt;"Accepted",J158&lt;&gt;"Not Needed",Settings!$F$15="Yes"),", "&amp;J$1,"")&amp;IF(AND(K158&lt;&gt;"Accepted",K158&lt;&gt;"Not Needed",Settings!$G$15="Yes"),", "&amp;K$1,"")&amp;IF(AND(L158&lt;&gt;"Accepted",L158&lt;&gt;"Not Needed",Settings!$H$15="Yes"),", "&amp;L$1,"")&amp;IF(AND(M158&lt;&gt;"Accepted",M158&lt;&gt;"Not Needed",Settings!$I$15="Yes"),", "&amp;M$1,"")&amp;IF(AND(N158&lt;&gt;"Accepted",N158&lt;&gt;"Not Needed",Settings!$J$15="Yes"),", "&amp;N$1,""),3,400))))</f>
        <v/>
      </c>
    </row>
    <row r="159" ht="15" customHeight="1" s="21">
      <c r="A159" s="31" t="inlineStr">
        <is>
          <t>2026-27</t>
        </is>
      </c>
      <c r="B159" s="31" t="inlineStr">
        <is>
          <t>Brookline ES</t>
        </is>
      </c>
      <c r="C159" s="31" t="inlineStr">
        <is>
          <t>NES Elementary</t>
        </is>
      </c>
      <c r="D159" s="31" t="inlineStr">
        <is>
          <t>No</t>
        </is>
      </c>
      <c r="E159" s="31" t="n"/>
      <c r="F159" s="31" t="n"/>
      <c r="G159" s="31" t="inlineStr">
        <is>
          <t>Not Received</t>
        </is>
      </c>
      <c r="H159" s="31" t="inlineStr">
        <is>
          <t>Not Received</t>
        </is>
      </c>
      <c r="I159" s="31" t="inlineStr">
        <is>
          <t>Not Received</t>
        </is>
      </c>
      <c r="J159" s="31" t="inlineStr">
        <is>
          <t>Not Received</t>
        </is>
      </c>
      <c r="K159" s="31" t="inlineStr">
        <is>
          <t>Not Received</t>
        </is>
      </c>
      <c r="L159" s="31" t="inlineStr">
        <is>
          <t>Not Received</t>
        </is>
      </c>
      <c r="M159" s="31" t="inlineStr">
        <is>
          <t>Not Received</t>
        </is>
      </c>
      <c r="N159" s="31" t="inlineStr">
        <is>
          <t>Not Received</t>
        </is>
      </c>
      <c r="O159" s="32">
        <f>IF($B159="","",COUNTIF(G159:N159,"Accepted")+COUNTIF(G159:N159,"Received")+COUNTIF(G159:N159,"Needs Correction"))</f>
        <v/>
      </c>
      <c r="P159" s="32">
        <f>IF($B159="","",SUMPRODUCT(((G159:N159="Accepted")+(G159:N159="Not Needed"))*(Settings!$C$11:$J$11="Yes")))</f>
        <v/>
      </c>
      <c r="Q159" s="32">
        <f>IF($B159="","",SUMPRODUCT(((G159:N159="Accepted")+(G159:N159="Not Needed"))*(Settings!$C$15:$J$15="Yes")))</f>
        <v/>
      </c>
      <c r="R159" s="33">
        <f>IF($B159="","",IF($D159="No","No PTO/PTA",IF($D159&lt;&gt;"Yes","Not Yet Confirmed",IF($Q159&gt;=Settings!$C$13,"Legalized",IF($P159&gt;=Settings!$C$12,"Registered",IF($O159&gt;0,"In Progress","Not Started"))))))</f>
        <v/>
      </c>
      <c r="S159" s="32">
        <f>IF($B159="","",COUNTIF(G159:N159,"Received"))</f>
        <v/>
      </c>
      <c r="T159" s="32">
        <f>IF($B159="","",COUNTIF(G159:N159,"Needs Correction"))</f>
        <v/>
      </c>
      <c r="U159" s="33">
        <f>IF($B159="","",IF($D159&lt;&gt;"Yes","",IF($Q159&gt;=Settings!$C$13,"None",MID(IF(AND(G159&lt;&gt;"Accepted",G159&lt;&gt;"Not Needed",Settings!$C$15="Yes"),", "&amp;G$1,"")&amp;IF(AND(H159&lt;&gt;"Accepted",H159&lt;&gt;"Not Needed",Settings!$D$15="Yes"),", "&amp;H$1,"")&amp;IF(AND(I159&lt;&gt;"Accepted",I159&lt;&gt;"Not Needed",Settings!$E$15="Yes"),", "&amp;I$1,"")&amp;IF(AND(J159&lt;&gt;"Accepted",J159&lt;&gt;"Not Needed",Settings!$F$15="Yes"),", "&amp;J$1,"")&amp;IF(AND(K159&lt;&gt;"Accepted",K159&lt;&gt;"Not Needed",Settings!$G$15="Yes"),", "&amp;K$1,"")&amp;IF(AND(L159&lt;&gt;"Accepted",L159&lt;&gt;"Not Needed",Settings!$H$15="Yes"),", "&amp;L$1,"")&amp;IF(AND(M159&lt;&gt;"Accepted",M159&lt;&gt;"Not Needed",Settings!$I$15="Yes"),", "&amp;M$1,"")&amp;IF(AND(N159&lt;&gt;"Accepted",N159&lt;&gt;"Not Needed",Settings!$J$15="Yes"),", "&amp;N$1,""),3,400))))</f>
        <v/>
      </c>
    </row>
    <row r="160" ht="15" customHeight="1" s="21">
      <c r="A160" s="31" t="inlineStr">
        <is>
          <t>2026-27</t>
        </is>
      </c>
      <c r="B160" s="31" t="inlineStr">
        <is>
          <t>Burnet ES</t>
        </is>
      </c>
      <c r="C160" s="31" t="inlineStr">
        <is>
          <t>NES Elementary</t>
        </is>
      </c>
      <c r="D160" s="31" t="inlineStr">
        <is>
          <t>No</t>
        </is>
      </c>
      <c r="E160" s="31" t="n"/>
      <c r="F160" s="31" t="n"/>
      <c r="G160" s="31" t="inlineStr">
        <is>
          <t>Not Received</t>
        </is>
      </c>
      <c r="H160" s="31" t="inlineStr">
        <is>
          <t>Not Received</t>
        </is>
      </c>
      <c r="I160" s="31" t="inlineStr">
        <is>
          <t>Not Received</t>
        </is>
      </c>
      <c r="J160" s="31" t="inlineStr">
        <is>
          <t>Not Received</t>
        </is>
      </c>
      <c r="K160" s="31" t="inlineStr">
        <is>
          <t>Not Received</t>
        </is>
      </c>
      <c r="L160" s="31" t="inlineStr">
        <is>
          <t>Not Received</t>
        </is>
      </c>
      <c r="M160" s="31" t="inlineStr">
        <is>
          <t>Not Received</t>
        </is>
      </c>
      <c r="N160" s="31" t="inlineStr">
        <is>
          <t>Not Received</t>
        </is>
      </c>
      <c r="O160" s="32">
        <f>IF($B160="","",COUNTIF(G160:N160,"Accepted")+COUNTIF(G160:N160,"Received")+COUNTIF(G160:N160,"Needs Correction"))</f>
        <v/>
      </c>
      <c r="P160" s="32">
        <f>IF($B160="","",SUMPRODUCT(((G160:N160="Accepted")+(G160:N160="Not Needed"))*(Settings!$C$11:$J$11="Yes")))</f>
        <v/>
      </c>
      <c r="Q160" s="32">
        <f>IF($B160="","",SUMPRODUCT(((G160:N160="Accepted")+(G160:N160="Not Needed"))*(Settings!$C$15:$J$15="Yes")))</f>
        <v/>
      </c>
      <c r="R160" s="33">
        <f>IF($B160="","",IF($D160="No","No PTO/PTA",IF($D160&lt;&gt;"Yes","Not Yet Confirmed",IF($Q160&gt;=Settings!$C$13,"Legalized",IF($P160&gt;=Settings!$C$12,"Registered",IF($O160&gt;0,"In Progress","Not Started"))))))</f>
        <v/>
      </c>
      <c r="S160" s="32">
        <f>IF($B160="","",COUNTIF(G160:N160,"Received"))</f>
        <v/>
      </c>
      <c r="T160" s="32">
        <f>IF($B160="","",COUNTIF(G160:N160,"Needs Correction"))</f>
        <v/>
      </c>
      <c r="U160" s="33">
        <f>IF($B160="","",IF($D160&lt;&gt;"Yes","",IF($Q160&gt;=Settings!$C$13,"None",MID(IF(AND(G160&lt;&gt;"Accepted",G160&lt;&gt;"Not Needed",Settings!$C$15="Yes"),", "&amp;G$1,"")&amp;IF(AND(H160&lt;&gt;"Accepted",H160&lt;&gt;"Not Needed",Settings!$D$15="Yes"),", "&amp;H$1,"")&amp;IF(AND(I160&lt;&gt;"Accepted",I160&lt;&gt;"Not Needed",Settings!$E$15="Yes"),", "&amp;I$1,"")&amp;IF(AND(J160&lt;&gt;"Accepted",J160&lt;&gt;"Not Needed",Settings!$F$15="Yes"),", "&amp;J$1,"")&amp;IF(AND(K160&lt;&gt;"Accepted",K160&lt;&gt;"Not Needed",Settings!$G$15="Yes"),", "&amp;K$1,"")&amp;IF(AND(L160&lt;&gt;"Accepted",L160&lt;&gt;"Not Needed",Settings!$H$15="Yes"),", "&amp;L$1,"")&amp;IF(AND(M160&lt;&gt;"Accepted",M160&lt;&gt;"Not Needed",Settings!$I$15="Yes"),", "&amp;M$1,"")&amp;IF(AND(N160&lt;&gt;"Accepted",N160&lt;&gt;"Not Needed",Settings!$J$15="Yes"),", "&amp;N$1,""),3,400))))</f>
        <v/>
      </c>
    </row>
    <row r="161" ht="15" customHeight="1" s="21">
      <c r="A161" s="31" t="inlineStr">
        <is>
          <t>2026-27</t>
        </is>
      </c>
      <c r="B161" s="31" t="inlineStr">
        <is>
          <t>Cage ES</t>
        </is>
      </c>
      <c r="C161" s="31" t="inlineStr">
        <is>
          <t>NES Elementary</t>
        </is>
      </c>
      <c r="D161" s="31" t="inlineStr">
        <is>
          <t>No</t>
        </is>
      </c>
      <c r="E161" s="31" t="n"/>
      <c r="F161" s="31" t="n"/>
      <c r="G161" s="31" t="inlineStr">
        <is>
          <t>Not Received</t>
        </is>
      </c>
      <c r="H161" s="31" t="inlineStr">
        <is>
          <t>Not Received</t>
        </is>
      </c>
      <c r="I161" s="31" t="inlineStr">
        <is>
          <t>Not Received</t>
        </is>
      </c>
      <c r="J161" s="31" t="inlineStr">
        <is>
          <t>Not Received</t>
        </is>
      </c>
      <c r="K161" s="31" t="inlineStr">
        <is>
          <t>Not Received</t>
        </is>
      </c>
      <c r="L161" s="31" t="inlineStr">
        <is>
          <t>Not Received</t>
        </is>
      </c>
      <c r="M161" s="31" t="inlineStr">
        <is>
          <t>Not Received</t>
        </is>
      </c>
      <c r="N161" s="31" t="inlineStr">
        <is>
          <t>Not Received</t>
        </is>
      </c>
      <c r="O161" s="32">
        <f>IF($B161="","",COUNTIF(G161:N161,"Accepted")+COUNTIF(G161:N161,"Received")+COUNTIF(G161:N161,"Needs Correction"))</f>
        <v/>
      </c>
      <c r="P161" s="32">
        <f>IF($B161="","",SUMPRODUCT(((G161:N161="Accepted")+(G161:N161="Not Needed"))*(Settings!$C$11:$J$11="Yes")))</f>
        <v/>
      </c>
      <c r="Q161" s="32">
        <f>IF($B161="","",SUMPRODUCT(((G161:N161="Accepted")+(G161:N161="Not Needed"))*(Settings!$C$15:$J$15="Yes")))</f>
        <v/>
      </c>
      <c r="R161" s="33">
        <f>IF($B161="","",IF($D161="No","No PTO/PTA",IF($D161&lt;&gt;"Yes","Not Yet Confirmed",IF($Q161&gt;=Settings!$C$13,"Legalized",IF($P161&gt;=Settings!$C$12,"Registered",IF($O161&gt;0,"In Progress","Not Started"))))))</f>
        <v/>
      </c>
      <c r="S161" s="32">
        <f>IF($B161="","",COUNTIF(G161:N161,"Received"))</f>
        <v/>
      </c>
      <c r="T161" s="32">
        <f>IF($B161="","",COUNTIF(G161:N161,"Needs Correction"))</f>
        <v/>
      </c>
      <c r="U161" s="33">
        <f>IF($B161="","",IF($D161&lt;&gt;"Yes","",IF($Q161&gt;=Settings!$C$13,"None",MID(IF(AND(G161&lt;&gt;"Accepted",G161&lt;&gt;"Not Needed",Settings!$C$15="Yes"),", "&amp;G$1,"")&amp;IF(AND(H161&lt;&gt;"Accepted",H161&lt;&gt;"Not Needed",Settings!$D$15="Yes"),", "&amp;H$1,"")&amp;IF(AND(I161&lt;&gt;"Accepted",I161&lt;&gt;"Not Needed",Settings!$E$15="Yes"),", "&amp;I$1,"")&amp;IF(AND(J161&lt;&gt;"Accepted",J161&lt;&gt;"Not Needed",Settings!$F$15="Yes"),", "&amp;J$1,"")&amp;IF(AND(K161&lt;&gt;"Accepted",K161&lt;&gt;"Not Needed",Settings!$G$15="Yes"),", "&amp;K$1,"")&amp;IF(AND(L161&lt;&gt;"Accepted",L161&lt;&gt;"Not Needed",Settings!$H$15="Yes"),", "&amp;L$1,"")&amp;IF(AND(M161&lt;&gt;"Accepted",M161&lt;&gt;"Not Needed",Settings!$I$15="Yes"),", "&amp;M$1,"")&amp;IF(AND(N161&lt;&gt;"Accepted",N161&lt;&gt;"Not Needed",Settings!$J$15="Yes"),", "&amp;N$1,""),3,400))))</f>
        <v/>
      </c>
    </row>
    <row r="162" ht="15" customHeight="1" s="21">
      <c r="A162" s="31" t="inlineStr">
        <is>
          <t>2026-27</t>
        </is>
      </c>
      <c r="B162" s="31" t="inlineStr">
        <is>
          <t>Chavez HS</t>
        </is>
      </c>
      <c r="C162" s="31" t="inlineStr">
        <is>
          <t>EAS Secondary</t>
        </is>
      </c>
      <c r="D162" s="31" t="inlineStr">
        <is>
          <t>No</t>
        </is>
      </c>
      <c r="E162" s="31" t="n"/>
      <c r="F162" s="31" t="n"/>
      <c r="G162" s="31" t="inlineStr">
        <is>
          <t>Not Received</t>
        </is>
      </c>
      <c r="H162" s="31" t="inlineStr">
        <is>
          <t>Not Received</t>
        </is>
      </c>
      <c r="I162" s="31" t="inlineStr">
        <is>
          <t>Not Received</t>
        </is>
      </c>
      <c r="J162" s="31" t="inlineStr">
        <is>
          <t>Not Received</t>
        </is>
      </c>
      <c r="K162" s="31" t="inlineStr">
        <is>
          <t>Not Received</t>
        </is>
      </c>
      <c r="L162" s="31" t="inlineStr">
        <is>
          <t>Not Received</t>
        </is>
      </c>
      <c r="M162" s="31" t="inlineStr">
        <is>
          <t>Not Received</t>
        </is>
      </c>
      <c r="N162" s="31" t="inlineStr">
        <is>
          <t>Not Received</t>
        </is>
      </c>
      <c r="O162" s="32">
        <f>IF($B162="","",COUNTIF(G162:N162,"Accepted")+COUNTIF(G162:N162,"Received")+COUNTIF(G162:N162,"Needs Correction"))</f>
        <v/>
      </c>
      <c r="P162" s="32">
        <f>IF($B162="","",SUMPRODUCT(((G162:N162="Accepted")+(G162:N162="Not Needed"))*(Settings!$C$11:$J$11="Yes")))</f>
        <v/>
      </c>
      <c r="Q162" s="32">
        <f>IF($B162="","",SUMPRODUCT(((G162:N162="Accepted")+(G162:N162="Not Needed"))*(Settings!$C$15:$J$15="Yes")))</f>
        <v/>
      </c>
      <c r="R162" s="33">
        <f>IF($B162="","",IF($D162="No","No PTO/PTA",IF($D162&lt;&gt;"Yes","Not Yet Confirmed",IF($Q162&gt;=Settings!$C$13,"Legalized",IF($P162&gt;=Settings!$C$12,"Registered",IF($O162&gt;0,"In Progress","Not Started"))))))</f>
        <v/>
      </c>
      <c r="S162" s="32">
        <f>IF($B162="","",COUNTIF(G162:N162,"Received"))</f>
        <v/>
      </c>
      <c r="T162" s="32">
        <f>IF($B162="","",COUNTIF(G162:N162,"Needs Correction"))</f>
        <v/>
      </c>
      <c r="U162" s="33">
        <f>IF($B162="","",IF($D162&lt;&gt;"Yes","",IF($Q162&gt;=Settings!$C$13,"None",MID(IF(AND(G162&lt;&gt;"Accepted",G162&lt;&gt;"Not Needed",Settings!$C$15="Yes"),", "&amp;G$1,"")&amp;IF(AND(H162&lt;&gt;"Accepted",H162&lt;&gt;"Not Needed",Settings!$D$15="Yes"),", "&amp;H$1,"")&amp;IF(AND(I162&lt;&gt;"Accepted",I162&lt;&gt;"Not Needed",Settings!$E$15="Yes"),", "&amp;I$1,"")&amp;IF(AND(J162&lt;&gt;"Accepted",J162&lt;&gt;"Not Needed",Settings!$F$15="Yes"),", "&amp;J$1,"")&amp;IF(AND(K162&lt;&gt;"Accepted",K162&lt;&gt;"Not Needed",Settings!$G$15="Yes"),", "&amp;K$1,"")&amp;IF(AND(L162&lt;&gt;"Accepted",L162&lt;&gt;"Not Needed",Settings!$H$15="Yes"),", "&amp;L$1,"")&amp;IF(AND(M162&lt;&gt;"Accepted",M162&lt;&gt;"Not Needed",Settings!$I$15="Yes"),", "&amp;M$1,"")&amp;IF(AND(N162&lt;&gt;"Accepted",N162&lt;&gt;"Not Needed",Settings!$J$15="Yes"),", "&amp;N$1,""),3,400))))</f>
        <v/>
      </c>
    </row>
    <row r="163" ht="15" customHeight="1" s="21">
      <c r="A163" s="31" t="inlineStr">
        <is>
          <t>2026-27</t>
        </is>
      </c>
      <c r="B163" s="31" t="inlineStr">
        <is>
          <t>Codwell ES</t>
        </is>
      </c>
      <c r="C163" s="31" t="inlineStr">
        <is>
          <t>NES Elementary</t>
        </is>
      </c>
      <c r="D163" s="31" t="inlineStr">
        <is>
          <t>No</t>
        </is>
      </c>
      <c r="E163" s="31" t="n"/>
      <c r="F163" s="31" t="n"/>
      <c r="G163" s="31" t="inlineStr">
        <is>
          <t>Not Received</t>
        </is>
      </c>
      <c r="H163" s="31" t="inlineStr">
        <is>
          <t>Not Received</t>
        </is>
      </c>
      <c r="I163" s="31" t="inlineStr">
        <is>
          <t>Not Received</t>
        </is>
      </c>
      <c r="J163" s="31" t="inlineStr">
        <is>
          <t>Not Received</t>
        </is>
      </c>
      <c r="K163" s="31" t="inlineStr">
        <is>
          <t>Not Received</t>
        </is>
      </c>
      <c r="L163" s="31" t="inlineStr">
        <is>
          <t>Not Received</t>
        </is>
      </c>
      <c r="M163" s="31" t="inlineStr">
        <is>
          <t>Not Received</t>
        </is>
      </c>
      <c r="N163" s="31" t="inlineStr">
        <is>
          <t>Not Received</t>
        </is>
      </c>
      <c r="O163" s="32">
        <f>IF($B163="","",COUNTIF(G163:N163,"Accepted")+COUNTIF(G163:N163,"Received")+COUNTIF(G163:N163,"Needs Correction"))</f>
        <v/>
      </c>
      <c r="P163" s="32">
        <f>IF($B163="","",SUMPRODUCT(((G163:N163="Accepted")+(G163:N163="Not Needed"))*(Settings!$C$11:$J$11="Yes")))</f>
        <v/>
      </c>
      <c r="Q163" s="32">
        <f>IF($B163="","",SUMPRODUCT(((G163:N163="Accepted")+(G163:N163="Not Needed"))*(Settings!$C$15:$J$15="Yes")))</f>
        <v/>
      </c>
      <c r="R163" s="33">
        <f>IF($B163="","",IF($D163="No","No PTO/PTA",IF($D163&lt;&gt;"Yes","Not Yet Confirmed",IF($Q163&gt;=Settings!$C$13,"Legalized",IF($P163&gt;=Settings!$C$12,"Registered",IF($O163&gt;0,"In Progress","Not Started"))))))</f>
        <v/>
      </c>
      <c r="S163" s="32">
        <f>IF($B163="","",COUNTIF(G163:N163,"Received"))</f>
        <v/>
      </c>
      <c r="T163" s="32">
        <f>IF($B163="","",COUNTIF(G163:N163,"Needs Correction"))</f>
        <v/>
      </c>
      <c r="U163" s="33">
        <f>IF($B163="","",IF($D163&lt;&gt;"Yes","",IF($Q163&gt;=Settings!$C$13,"None",MID(IF(AND(G163&lt;&gt;"Accepted",G163&lt;&gt;"Not Needed",Settings!$C$15="Yes"),", "&amp;G$1,"")&amp;IF(AND(H163&lt;&gt;"Accepted",H163&lt;&gt;"Not Needed",Settings!$D$15="Yes"),", "&amp;H$1,"")&amp;IF(AND(I163&lt;&gt;"Accepted",I163&lt;&gt;"Not Needed",Settings!$E$15="Yes"),", "&amp;I$1,"")&amp;IF(AND(J163&lt;&gt;"Accepted",J163&lt;&gt;"Not Needed",Settings!$F$15="Yes"),", "&amp;J$1,"")&amp;IF(AND(K163&lt;&gt;"Accepted",K163&lt;&gt;"Not Needed",Settings!$G$15="Yes"),", "&amp;K$1,"")&amp;IF(AND(L163&lt;&gt;"Accepted",L163&lt;&gt;"Not Needed",Settings!$H$15="Yes"),", "&amp;L$1,"")&amp;IF(AND(M163&lt;&gt;"Accepted",M163&lt;&gt;"Not Needed",Settings!$I$15="Yes"),", "&amp;M$1,"")&amp;IF(AND(N163&lt;&gt;"Accepted",N163&lt;&gt;"Not Needed",Settings!$J$15="Yes"),", "&amp;N$1,""),3,400))))</f>
        <v/>
      </c>
    </row>
    <row r="164" ht="15" customHeight="1" s="21">
      <c r="A164" s="31" t="inlineStr">
        <is>
          <t>2026-27</t>
        </is>
      </c>
      <c r="B164" s="31" t="inlineStr">
        <is>
          <t>Community Services</t>
        </is>
      </c>
      <c r="C164" s="31" t="inlineStr">
        <is>
          <t>COSO</t>
        </is>
      </c>
      <c r="D164" s="31" t="inlineStr">
        <is>
          <t>No</t>
        </is>
      </c>
      <c r="E164" s="31" t="n"/>
      <c r="F164" s="31" t="n"/>
      <c r="G164" s="31" t="inlineStr">
        <is>
          <t>Not Received</t>
        </is>
      </c>
      <c r="H164" s="31" t="inlineStr">
        <is>
          <t>Not Received</t>
        </is>
      </c>
      <c r="I164" s="31" t="inlineStr">
        <is>
          <t>Not Received</t>
        </is>
      </c>
      <c r="J164" s="31" t="inlineStr">
        <is>
          <t>Not Received</t>
        </is>
      </c>
      <c r="K164" s="31" t="inlineStr">
        <is>
          <t>Not Received</t>
        </is>
      </c>
      <c r="L164" s="31" t="inlineStr">
        <is>
          <t>Not Received</t>
        </is>
      </c>
      <c r="M164" s="31" t="inlineStr">
        <is>
          <t>Not Received</t>
        </is>
      </c>
      <c r="N164" s="31" t="inlineStr">
        <is>
          <t>Not Received</t>
        </is>
      </c>
      <c r="O164" s="32">
        <f>IF($B164="","",COUNTIF(G164:N164,"Accepted")+COUNTIF(G164:N164,"Received")+COUNTIF(G164:N164,"Needs Correction"))</f>
        <v/>
      </c>
      <c r="P164" s="32">
        <f>IF($B164="","",SUMPRODUCT(((G164:N164="Accepted")+(G164:N164="Not Needed"))*(Settings!$C$11:$J$11="Yes")))</f>
        <v/>
      </c>
      <c r="Q164" s="32">
        <f>IF($B164="","",SUMPRODUCT(((G164:N164="Accepted")+(G164:N164="Not Needed"))*(Settings!$C$15:$J$15="Yes")))</f>
        <v/>
      </c>
      <c r="R164" s="33">
        <f>IF($B164="","",IF($D164="No","No PTO/PTA",IF($D164&lt;&gt;"Yes","Not Yet Confirmed",IF($Q164&gt;=Settings!$C$13,"Legalized",IF($P164&gt;=Settings!$C$12,"Registered",IF($O164&gt;0,"In Progress","Not Started"))))))</f>
        <v/>
      </c>
      <c r="S164" s="32">
        <f>IF($B164="","",COUNTIF(G164:N164,"Received"))</f>
        <v/>
      </c>
      <c r="T164" s="32">
        <f>IF($B164="","",COUNTIF(G164:N164,"Needs Correction"))</f>
        <v/>
      </c>
      <c r="U164" s="33">
        <f>IF($B164="","",IF($D164&lt;&gt;"Yes","",IF($Q164&gt;=Settings!$C$13,"None",MID(IF(AND(G164&lt;&gt;"Accepted",G164&lt;&gt;"Not Needed",Settings!$C$15="Yes"),", "&amp;G$1,"")&amp;IF(AND(H164&lt;&gt;"Accepted",H164&lt;&gt;"Not Needed",Settings!$D$15="Yes"),", "&amp;H$1,"")&amp;IF(AND(I164&lt;&gt;"Accepted",I164&lt;&gt;"Not Needed",Settings!$E$15="Yes"),", "&amp;I$1,"")&amp;IF(AND(J164&lt;&gt;"Accepted",J164&lt;&gt;"Not Needed",Settings!$F$15="Yes"),", "&amp;J$1,"")&amp;IF(AND(K164&lt;&gt;"Accepted",K164&lt;&gt;"Not Needed",Settings!$G$15="Yes"),", "&amp;K$1,"")&amp;IF(AND(L164&lt;&gt;"Accepted",L164&lt;&gt;"Not Needed",Settings!$H$15="Yes"),", "&amp;L$1,"")&amp;IF(AND(M164&lt;&gt;"Accepted",M164&lt;&gt;"Not Needed",Settings!$I$15="Yes"),", "&amp;M$1,"")&amp;IF(AND(N164&lt;&gt;"Accepted",N164&lt;&gt;"Not Needed",Settings!$J$15="Yes"),", "&amp;N$1,""),3,400))))</f>
        <v/>
      </c>
    </row>
    <row r="165" ht="15" customHeight="1" s="21">
      <c r="A165" s="31" t="inlineStr">
        <is>
          <t>2026-27</t>
        </is>
      </c>
      <c r="B165" s="31" t="inlineStr">
        <is>
          <t>Cook ES</t>
        </is>
      </c>
      <c r="C165" s="31" t="inlineStr">
        <is>
          <t>NES Elementary</t>
        </is>
      </c>
      <c r="D165" s="31" t="inlineStr">
        <is>
          <t>No</t>
        </is>
      </c>
      <c r="E165" s="31" t="n"/>
      <c r="F165" s="31" t="n"/>
      <c r="G165" s="31" t="inlineStr">
        <is>
          <t>Not Received</t>
        </is>
      </c>
      <c r="H165" s="31" t="inlineStr">
        <is>
          <t>Not Received</t>
        </is>
      </c>
      <c r="I165" s="31" t="inlineStr">
        <is>
          <t>Not Received</t>
        </is>
      </c>
      <c r="J165" s="31" t="inlineStr">
        <is>
          <t>Not Received</t>
        </is>
      </c>
      <c r="K165" s="31" t="inlineStr">
        <is>
          <t>Not Received</t>
        </is>
      </c>
      <c r="L165" s="31" t="inlineStr">
        <is>
          <t>Not Received</t>
        </is>
      </c>
      <c r="M165" s="31" t="inlineStr">
        <is>
          <t>Not Received</t>
        </is>
      </c>
      <c r="N165" s="31" t="inlineStr">
        <is>
          <t>Not Received</t>
        </is>
      </c>
      <c r="O165" s="32">
        <f>IF($B165="","",COUNTIF(G165:N165,"Accepted")+COUNTIF(G165:N165,"Received")+COUNTIF(G165:N165,"Needs Correction"))</f>
        <v/>
      </c>
      <c r="P165" s="32">
        <f>IF($B165="","",SUMPRODUCT(((G165:N165="Accepted")+(G165:N165="Not Needed"))*(Settings!$C$11:$J$11="Yes")))</f>
        <v/>
      </c>
      <c r="Q165" s="32">
        <f>IF($B165="","",SUMPRODUCT(((G165:N165="Accepted")+(G165:N165="Not Needed"))*(Settings!$C$15:$J$15="Yes")))</f>
        <v/>
      </c>
      <c r="R165" s="33">
        <f>IF($B165="","",IF($D165="No","No PTO/PTA",IF($D165&lt;&gt;"Yes","Not Yet Confirmed",IF($Q165&gt;=Settings!$C$13,"Legalized",IF($P165&gt;=Settings!$C$12,"Registered",IF($O165&gt;0,"In Progress","Not Started"))))))</f>
        <v/>
      </c>
      <c r="S165" s="32">
        <f>IF($B165="","",COUNTIF(G165:N165,"Received"))</f>
        <v/>
      </c>
      <c r="T165" s="32">
        <f>IF($B165="","",COUNTIF(G165:N165,"Needs Correction"))</f>
        <v/>
      </c>
      <c r="U165" s="33">
        <f>IF($B165="","",IF($D165&lt;&gt;"Yes","",IF($Q165&gt;=Settings!$C$13,"None",MID(IF(AND(G165&lt;&gt;"Accepted",G165&lt;&gt;"Not Needed",Settings!$C$15="Yes"),", "&amp;G$1,"")&amp;IF(AND(H165&lt;&gt;"Accepted",H165&lt;&gt;"Not Needed",Settings!$D$15="Yes"),", "&amp;H$1,"")&amp;IF(AND(I165&lt;&gt;"Accepted",I165&lt;&gt;"Not Needed",Settings!$E$15="Yes"),", "&amp;I$1,"")&amp;IF(AND(J165&lt;&gt;"Accepted",J165&lt;&gt;"Not Needed",Settings!$F$15="Yes"),", "&amp;J$1,"")&amp;IF(AND(K165&lt;&gt;"Accepted",K165&lt;&gt;"Not Needed",Settings!$G$15="Yes"),", "&amp;K$1,"")&amp;IF(AND(L165&lt;&gt;"Accepted",L165&lt;&gt;"Not Needed",Settings!$H$15="Yes"),", "&amp;L$1,"")&amp;IF(AND(M165&lt;&gt;"Accepted",M165&lt;&gt;"Not Needed",Settings!$I$15="Yes"),", "&amp;M$1,"")&amp;IF(AND(N165&lt;&gt;"Accepted",N165&lt;&gt;"Not Needed",Settings!$J$15="Yes"),", "&amp;N$1,""),3,400))))</f>
        <v/>
      </c>
    </row>
    <row r="166" ht="15" customHeight="1" s="21">
      <c r="A166" s="31" t="inlineStr">
        <is>
          <t>2026-27</t>
        </is>
      </c>
      <c r="B166" s="31" t="inlineStr">
        <is>
          <t>DAEP EL</t>
        </is>
      </c>
      <c r="C166" s="31" t="inlineStr">
        <is>
          <t>COSO</t>
        </is>
      </c>
      <c r="D166" s="31" t="inlineStr">
        <is>
          <t>No</t>
        </is>
      </c>
      <c r="E166" s="31" t="n"/>
      <c r="F166" s="31" t="n"/>
      <c r="G166" s="31" t="inlineStr">
        <is>
          <t>Not Received</t>
        </is>
      </c>
      <c r="H166" s="31" t="inlineStr">
        <is>
          <t>Not Received</t>
        </is>
      </c>
      <c r="I166" s="31" t="inlineStr">
        <is>
          <t>Not Received</t>
        </is>
      </c>
      <c r="J166" s="31" t="inlineStr">
        <is>
          <t>Not Received</t>
        </is>
      </c>
      <c r="K166" s="31" t="inlineStr">
        <is>
          <t>Not Received</t>
        </is>
      </c>
      <c r="L166" s="31" t="inlineStr">
        <is>
          <t>Not Received</t>
        </is>
      </c>
      <c r="M166" s="31" t="inlineStr">
        <is>
          <t>Not Received</t>
        </is>
      </c>
      <c r="N166" s="31" t="inlineStr">
        <is>
          <t>Not Received</t>
        </is>
      </c>
      <c r="O166" s="32">
        <f>IF($B166="","",COUNTIF(G166:N166,"Accepted")+COUNTIF(G166:N166,"Received")+COUNTIF(G166:N166,"Needs Correction"))</f>
        <v/>
      </c>
      <c r="P166" s="32">
        <f>IF($B166="","",SUMPRODUCT(((G166:N166="Accepted")+(G166:N166="Not Needed"))*(Settings!$C$11:$J$11="Yes")))</f>
        <v/>
      </c>
      <c r="Q166" s="32">
        <f>IF($B166="","",SUMPRODUCT(((G166:N166="Accepted")+(G166:N166="Not Needed"))*(Settings!$C$15:$J$15="Yes")))</f>
        <v/>
      </c>
      <c r="R166" s="33">
        <f>IF($B166="","",IF($D166="No","No PTO/PTA",IF($D166&lt;&gt;"Yes","Not Yet Confirmed",IF($Q166&gt;=Settings!$C$13,"Legalized",IF($P166&gt;=Settings!$C$12,"Registered",IF($O166&gt;0,"In Progress","Not Started"))))))</f>
        <v/>
      </c>
      <c r="S166" s="32">
        <f>IF($B166="","",COUNTIF(G166:N166,"Received"))</f>
        <v/>
      </c>
      <c r="T166" s="32">
        <f>IF($B166="","",COUNTIF(G166:N166,"Needs Correction"))</f>
        <v/>
      </c>
      <c r="U166" s="33">
        <f>IF($B166="","",IF($D166&lt;&gt;"Yes","",IF($Q166&gt;=Settings!$C$13,"None",MID(IF(AND(G166&lt;&gt;"Accepted",G166&lt;&gt;"Not Needed",Settings!$C$15="Yes"),", "&amp;G$1,"")&amp;IF(AND(H166&lt;&gt;"Accepted",H166&lt;&gt;"Not Needed",Settings!$D$15="Yes"),", "&amp;H$1,"")&amp;IF(AND(I166&lt;&gt;"Accepted",I166&lt;&gt;"Not Needed",Settings!$E$15="Yes"),", "&amp;I$1,"")&amp;IF(AND(J166&lt;&gt;"Accepted",J166&lt;&gt;"Not Needed",Settings!$F$15="Yes"),", "&amp;J$1,"")&amp;IF(AND(K166&lt;&gt;"Accepted",K166&lt;&gt;"Not Needed",Settings!$G$15="Yes"),", "&amp;K$1,"")&amp;IF(AND(L166&lt;&gt;"Accepted",L166&lt;&gt;"Not Needed",Settings!$H$15="Yes"),", "&amp;L$1,"")&amp;IF(AND(M166&lt;&gt;"Accepted",M166&lt;&gt;"Not Needed",Settings!$I$15="Yes"),", "&amp;M$1,"")&amp;IF(AND(N166&lt;&gt;"Accepted",N166&lt;&gt;"Not Needed",Settings!$J$15="Yes"),", "&amp;N$1,""),3,400))))</f>
        <v/>
      </c>
    </row>
    <row r="167" ht="15" customHeight="1" s="21">
      <c r="A167" s="31" t="inlineStr">
        <is>
          <t>2026-27</t>
        </is>
      </c>
      <c r="B167" s="31" t="inlineStr">
        <is>
          <t>Deady MS</t>
        </is>
      </c>
      <c r="C167" s="31" t="inlineStr">
        <is>
          <t>NES Secondary</t>
        </is>
      </c>
      <c r="D167" s="31" t="inlineStr">
        <is>
          <t>No</t>
        </is>
      </c>
      <c r="E167" s="31" t="n"/>
      <c r="F167" s="31" t="n"/>
      <c r="G167" s="31" t="inlineStr">
        <is>
          <t>Not Received</t>
        </is>
      </c>
      <c r="H167" s="31" t="inlineStr">
        <is>
          <t>Not Received</t>
        </is>
      </c>
      <c r="I167" s="31" t="inlineStr">
        <is>
          <t>Not Received</t>
        </is>
      </c>
      <c r="J167" s="31" t="inlineStr">
        <is>
          <t>Not Received</t>
        </is>
      </c>
      <c r="K167" s="31" t="inlineStr">
        <is>
          <t>Not Received</t>
        </is>
      </c>
      <c r="L167" s="31" t="inlineStr">
        <is>
          <t>Not Received</t>
        </is>
      </c>
      <c r="M167" s="31" t="inlineStr">
        <is>
          <t>Not Received</t>
        </is>
      </c>
      <c r="N167" s="31" t="inlineStr">
        <is>
          <t>Not Received</t>
        </is>
      </c>
      <c r="O167" s="32">
        <f>IF($B167="","",COUNTIF(G167:N167,"Accepted")+COUNTIF(G167:N167,"Received")+COUNTIF(G167:N167,"Needs Correction"))</f>
        <v/>
      </c>
      <c r="P167" s="32">
        <f>IF($B167="","",SUMPRODUCT(((G167:N167="Accepted")+(G167:N167="Not Needed"))*(Settings!$C$11:$J$11="Yes")))</f>
        <v/>
      </c>
      <c r="Q167" s="32">
        <f>IF($B167="","",SUMPRODUCT(((G167:N167="Accepted")+(G167:N167="Not Needed"))*(Settings!$C$15:$J$15="Yes")))</f>
        <v/>
      </c>
      <c r="R167" s="33">
        <f>IF($B167="","",IF($D167="No","No PTO/PTA",IF($D167&lt;&gt;"Yes","Not Yet Confirmed",IF($Q167&gt;=Settings!$C$13,"Legalized",IF($P167&gt;=Settings!$C$12,"Registered",IF($O167&gt;0,"In Progress","Not Started"))))))</f>
        <v/>
      </c>
      <c r="S167" s="32">
        <f>IF($B167="","",COUNTIF(G167:N167,"Received"))</f>
        <v/>
      </c>
      <c r="T167" s="32">
        <f>IF($B167="","",COUNTIF(G167:N167,"Needs Correction"))</f>
        <v/>
      </c>
      <c r="U167" s="33">
        <f>IF($B167="","",IF($D167&lt;&gt;"Yes","",IF($Q167&gt;=Settings!$C$13,"None",MID(IF(AND(G167&lt;&gt;"Accepted",G167&lt;&gt;"Not Needed",Settings!$C$15="Yes"),", "&amp;G$1,"")&amp;IF(AND(H167&lt;&gt;"Accepted",H167&lt;&gt;"Not Needed",Settings!$D$15="Yes"),", "&amp;H$1,"")&amp;IF(AND(I167&lt;&gt;"Accepted",I167&lt;&gt;"Not Needed",Settings!$E$15="Yes"),", "&amp;I$1,"")&amp;IF(AND(J167&lt;&gt;"Accepted",J167&lt;&gt;"Not Needed",Settings!$F$15="Yes"),", "&amp;J$1,"")&amp;IF(AND(K167&lt;&gt;"Accepted",K167&lt;&gt;"Not Needed",Settings!$G$15="Yes"),", "&amp;K$1,"")&amp;IF(AND(L167&lt;&gt;"Accepted",L167&lt;&gt;"Not Needed",Settings!$H$15="Yes"),", "&amp;L$1,"")&amp;IF(AND(M167&lt;&gt;"Accepted",M167&lt;&gt;"Not Needed",Settings!$I$15="Yes"),", "&amp;M$1,"")&amp;IF(AND(N167&lt;&gt;"Accepted",N167&lt;&gt;"Not Needed",Settings!$J$15="Yes"),", "&amp;N$1,""),3,400))))</f>
        <v/>
      </c>
    </row>
    <row r="168" ht="15" customHeight="1" s="21">
      <c r="A168" s="31" t="inlineStr">
        <is>
          <t>2026-27</t>
        </is>
      </c>
      <c r="B168" s="31" t="inlineStr">
        <is>
          <t>Dogan ES</t>
        </is>
      </c>
      <c r="C168" s="31" t="inlineStr">
        <is>
          <t>NES Elementary</t>
        </is>
      </c>
      <c r="D168" s="31" t="inlineStr">
        <is>
          <t>No</t>
        </is>
      </c>
      <c r="E168" s="31" t="n"/>
      <c r="F168" s="31" t="n"/>
      <c r="G168" s="31" t="inlineStr">
        <is>
          <t>Not Received</t>
        </is>
      </c>
      <c r="H168" s="31" t="inlineStr">
        <is>
          <t>Not Received</t>
        </is>
      </c>
      <c r="I168" s="31" t="inlineStr">
        <is>
          <t>Not Received</t>
        </is>
      </c>
      <c r="J168" s="31" t="inlineStr">
        <is>
          <t>Not Received</t>
        </is>
      </c>
      <c r="K168" s="31" t="inlineStr">
        <is>
          <t>Not Received</t>
        </is>
      </c>
      <c r="L168" s="31" t="inlineStr">
        <is>
          <t>Not Received</t>
        </is>
      </c>
      <c r="M168" s="31" t="inlineStr">
        <is>
          <t>Not Received</t>
        </is>
      </c>
      <c r="N168" s="31" t="inlineStr">
        <is>
          <t>Not Received</t>
        </is>
      </c>
      <c r="O168" s="32">
        <f>IF($B168="","",COUNTIF(G168:N168,"Accepted")+COUNTIF(G168:N168,"Received")+COUNTIF(G168:N168,"Needs Correction"))</f>
        <v/>
      </c>
      <c r="P168" s="32">
        <f>IF($B168="","",SUMPRODUCT(((G168:N168="Accepted")+(G168:N168="Not Needed"))*(Settings!$C$11:$J$11="Yes")))</f>
        <v/>
      </c>
      <c r="Q168" s="32">
        <f>IF($B168="","",SUMPRODUCT(((G168:N168="Accepted")+(G168:N168="Not Needed"))*(Settings!$C$15:$J$15="Yes")))</f>
        <v/>
      </c>
      <c r="R168" s="33">
        <f>IF($B168="","",IF($D168="No","No PTO/PTA",IF($D168&lt;&gt;"Yes","Not Yet Confirmed",IF($Q168&gt;=Settings!$C$13,"Legalized",IF($P168&gt;=Settings!$C$12,"Registered",IF($O168&gt;0,"In Progress","Not Started"))))))</f>
        <v/>
      </c>
      <c r="S168" s="32">
        <f>IF($B168="","",COUNTIF(G168:N168,"Received"))</f>
        <v/>
      </c>
      <c r="T168" s="32">
        <f>IF($B168="","",COUNTIF(G168:N168,"Needs Correction"))</f>
        <v/>
      </c>
      <c r="U168" s="33">
        <f>IF($B168="","",IF($D168&lt;&gt;"Yes","",IF($Q168&gt;=Settings!$C$13,"None",MID(IF(AND(G168&lt;&gt;"Accepted",G168&lt;&gt;"Not Needed",Settings!$C$15="Yes"),", "&amp;G$1,"")&amp;IF(AND(H168&lt;&gt;"Accepted",H168&lt;&gt;"Not Needed",Settings!$D$15="Yes"),", "&amp;H$1,"")&amp;IF(AND(I168&lt;&gt;"Accepted",I168&lt;&gt;"Not Needed",Settings!$E$15="Yes"),", "&amp;I$1,"")&amp;IF(AND(J168&lt;&gt;"Accepted",J168&lt;&gt;"Not Needed",Settings!$F$15="Yes"),", "&amp;J$1,"")&amp;IF(AND(K168&lt;&gt;"Accepted",K168&lt;&gt;"Not Needed",Settings!$G$15="Yes"),", "&amp;K$1,"")&amp;IF(AND(L168&lt;&gt;"Accepted",L168&lt;&gt;"Not Needed",Settings!$H$15="Yes"),", "&amp;L$1,"")&amp;IF(AND(M168&lt;&gt;"Accepted",M168&lt;&gt;"Not Needed",Settings!$I$15="Yes"),", "&amp;M$1,"")&amp;IF(AND(N168&lt;&gt;"Accepted",N168&lt;&gt;"Not Needed",Settings!$J$15="Yes"),", "&amp;N$1,""),3,400))))</f>
        <v/>
      </c>
    </row>
    <row r="169" ht="15" customHeight="1" s="21">
      <c r="A169" s="31" t="inlineStr">
        <is>
          <t>2026-27</t>
        </is>
      </c>
      <c r="B169" s="31" t="inlineStr">
        <is>
          <t>Durkee ES</t>
        </is>
      </c>
      <c r="C169" s="31" t="inlineStr">
        <is>
          <t>NES Elementary</t>
        </is>
      </c>
      <c r="D169" s="31" t="inlineStr">
        <is>
          <t>No</t>
        </is>
      </c>
      <c r="E169" s="31" t="n"/>
      <c r="F169" s="31" t="n"/>
      <c r="G169" s="31" t="inlineStr">
        <is>
          <t>Not Received</t>
        </is>
      </c>
      <c r="H169" s="31" t="inlineStr">
        <is>
          <t>Not Received</t>
        </is>
      </c>
      <c r="I169" s="31" t="inlineStr">
        <is>
          <t>Not Received</t>
        </is>
      </c>
      <c r="J169" s="31" t="inlineStr">
        <is>
          <t>Not Received</t>
        </is>
      </c>
      <c r="K169" s="31" t="inlineStr">
        <is>
          <t>Not Received</t>
        </is>
      </c>
      <c r="L169" s="31" t="inlineStr">
        <is>
          <t>Not Received</t>
        </is>
      </c>
      <c r="M169" s="31" t="inlineStr">
        <is>
          <t>Not Received</t>
        </is>
      </c>
      <c r="N169" s="31" t="inlineStr">
        <is>
          <t>Not Received</t>
        </is>
      </c>
      <c r="O169" s="32">
        <f>IF($B169="","",COUNTIF(G169:N169,"Accepted")+COUNTIF(G169:N169,"Received")+COUNTIF(G169:N169,"Needs Correction"))</f>
        <v/>
      </c>
      <c r="P169" s="32">
        <f>IF($B169="","",SUMPRODUCT(((G169:N169="Accepted")+(G169:N169="Not Needed"))*(Settings!$C$11:$J$11="Yes")))</f>
        <v/>
      </c>
      <c r="Q169" s="32">
        <f>IF($B169="","",SUMPRODUCT(((G169:N169="Accepted")+(G169:N169="Not Needed"))*(Settings!$C$15:$J$15="Yes")))</f>
        <v/>
      </c>
      <c r="R169" s="33">
        <f>IF($B169="","",IF($D169="No","No PTO/PTA",IF($D169&lt;&gt;"Yes","Not Yet Confirmed",IF($Q169&gt;=Settings!$C$13,"Legalized",IF($P169&gt;=Settings!$C$12,"Registered",IF($O169&gt;0,"In Progress","Not Started"))))))</f>
        <v/>
      </c>
      <c r="S169" s="32">
        <f>IF($B169="","",COUNTIF(G169:N169,"Received"))</f>
        <v/>
      </c>
      <c r="T169" s="32">
        <f>IF($B169="","",COUNTIF(G169:N169,"Needs Correction"))</f>
        <v/>
      </c>
      <c r="U169" s="33">
        <f>IF($B169="","",IF($D169&lt;&gt;"Yes","",IF($Q169&gt;=Settings!$C$13,"None",MID(IF(AND(G169&lt;&gt;"Accepted",G169&lt;&gt;"Not Needed",Settings!$C$15="Yes"),", "&amp;G$1,"")&amp;IF(AND(H169&lt;&gt;"Accepted",H169&lt;&gt;"Not Needed",Settings!$D$15="Yes"),", "&amp;H$1,"")&amp;IF(AND(I169&lt;&gt;"Accepted",I169&lt;&gt;"Not Needed",Settings!$E$15="Yes"),", "&amp;I$1,"")&amp;IF(AND(J169&lt;&gt;"Accepted",J169&lt;&gt;"Not Needed",Settings!$F$15="Yes"),", "&amp;J$1,"")&amp;IF(AND(K169&lt;&gt;"Accepted",K169&lt;&gt;"Not Needed",Settings!$G$15="Yes"),", "&amp;K$1,"")&amp;IF(AND(L169&lt;&gt;"Accepted",L169&lt;&gt;"Not Needed",Settings!$H$15="Yes"),", "&amp;L$1,"")&amp;IF(AND(M169&lt;&gt;"Accepted",M169&lt;&gt;"Not Needed",Settings!$I$15="Yes"),", "&amp;M$1,"")&amp;IF(AND(N169&lt;&gt;"Accepted",N169&lt;&gt;"Not Needed",Settings!$J$15="Yes"),", "&amp;N$1,""),3,400))))</f>
        <v/>
      </c>
    </row>
    <row r="170" ht="15" customHeight="1" s="21">
      <c r="A170" s="31" t="inlineStr">
        <is>
          <t>2026-27</t>
        </is>
      </c>
      <c r="B170" s="31" t="inlineStr">
        <is>
          <t>Energized ECC</t>
        </is>
      </c>
      <c r="C170" s="31" t="inlineStr">
        <is>
          <t>COSO</t>
        </is>
      </c>
      <c r="D170" s="31" t="inlineStr">
        <is>
          <t>No</t>
        </is>
      </c>
      <c r="E170" s="31" t="n"/>
      <c r="F170" s="31" t="n"/>
      <c r="G170" s="31" t="inlineStr">
        <is>
          <t>Not Received</t>
        </is>
      </c>
      <c r="H170" s="31" t="inlineStr">
        <is>
          <t>Not Received</t>
        </is>
      </c>
      <c r="I170" s="31" t="inlineStr">
        <is>
          <t>Not Received</t>
        </is>
      </c>
      <c r="J170" s="31" t="inlineStr">
        <is>
          <t>Not Received</t>
        </is>
      </c>
      <c r="K170" s="31" t="inlineStr">
        <is>
          <t>Not Received</t>
        </is>
      </c>
      <c r="L170" s="31" t="inlineStr">
        <is>
          <t>Not Received</t>
        </is>
      </c>
      <c r="M170" s="31" t="inlineStr">
        <is>
          <t>Not Received</t>
        </is>
      </c>
      <c r="N170" s="31" t="inlineStr">
        <is>
          <t>Not Received</t>
        </is>
      </c>
      <c r="O170" s="32">
        <f>IF($B170="","",COUNTIF(G170:N170,"Accepted")+COUNTIF(G170:N170,"Received")+COUNTIF(G170:N170,"Needs Correction"))</f>
        <v/>
      </c>
      <c r="P170" s="32">
        <f>IF($B170="","",SUMPRODUCT(((G170:N170="Accepted")+(G170:N170="Not Needed"))*(Settings!$C$11:$J$11="Yes")))</f>
        <v/>
      </c>
      <c r="Q170" s="32">
        <f>IF($B170="","",SUMPRODUCT(((G170:N170="Accepted")+(G170:N170="Not Needed"))*(Settings!$C$15:$J$15="Yes")))</f>
        <v/>
      </c>
      <c r="R170" s="33">
        <f>IF($B170="","",IF($D170="No","No PTO/PTA",IF($D170&lt;&gt;"Yes","Not Yet Confirmed",IF($Q170&gt;=Settings!$C$13,"Legalized",IF($P170&gt;=Settings!$C$12,"Registered",IF($O170&gt;0,"In Progress","Not Started"))))))</f>
        <v/>
      </c>
      <c r="S170" s="32">
        <f>IF($B170="","",COUNTIF(G170:N170,"Received"))</f>
        <v/>
      </c>
      <c r="T170" s="32">
        <f>IF($B170="","",COUNTIF(G170:N170,"Needs Correction"))</f>
        <v/>
      </c>
      <c r="U170" s="33">
        <f>IF($B170="","",IF($D170&lt;&gt;"Yes","",IF($Q170&gt;=Settings!$C$13,"None",MID(IF(AND(G170&lt;&gt;"Accepted",G170&lt;&gt;"Not Needed",Settings!$C$15="Yes"),", "&amp;G$1,"")&amp;IF(AND(H170&lt;&gt;"Accepted",H170&lt;&gt;"Not Needed",Settings!$D$15="Yes"),", "&amp;H$1,"")&amp;IF(AND(I170&lt;&gt;"Accepted",I170&lt;&gt;"Not Needed",Settings!$E$15="Yes"),", "&amp;I$1,"")&amp;IF(AND(J170&lt;&gt;"Accepted",J170&lt;&gt;"Not Needed",Settings!$F$15="Yes"),", "&amp;J$1,"")&amp;IF(AND(K170&lt;&gt;"Accepted",K170&lt;&gt;"Not Needed",Settings!$G$15="Yes"),", "&amp;K$1,"")&amp;IF(AND(L170&lt;&gt;"Accepted",L170&lt;&gt;"Not Needed",Settings!$H$15="Yes"),", "&amp;L$1,"")&amp;IF(AND(M170&lt;&gt;"Accepted",M170&lt;&gt;"Not Needed",Settings!$I$15="Yes"),", "&amp;M$1,"")&amp;IF(AND(N170&lt;&gt;"Accepted",N170&lt;&gt;"Not Needed",Settings!$J$15="Yes"),", "&amp;N$1,""),3,400))))</f>
        <v/>
      </c>
    </row>
    <row r="171" ht="15" customHeight="1" s="21">
      <c r="A171" s="31" t="inlineStr">
        <is>
          <t>2026-27</t>
        </is>
      </c>
      <c r="B171" s="31" t="inlineStr">
        <is>
          <t>Energized ES</t>
        </is>
      </c>
      <c r="C171" s="31" t="inlineStr">
        <is>
          <t>COSO</t>
        </is>
      </c>
      <c r="D171" s="31" t="inlineStr">
        <is>
          <t>No</t>
        </is>
      </c>
      <c r="E171" s="31" t="n"/>
      <c r="F171" s="31" t="n"/>
      <c r="G171" s="31" t="inlineStr">
        <is>
          <t>Not Received</t>
        </is>
      </c>
      <c r="H171" s="31" t="inlineStr">
        <is>
          <t>Not Received</t>
        </is>
      </c>
      <c r="I171" s="31" t="inlineStr">
        <is>
          <t>Not Received</t>
        </is>
      </c>
      <c r="J171" s="31" t="inlineStr">
        <is>
          <t>Not Received</t>
        </is>
      </c>
      <c r="K171" s="31" t="inlineStr">
        <is>
          <t>Not Received</t>
        </is>
      </c>
      <c r="L171" s="31" t="inlineStr">
        <is>
          <t>Not Received</t>
        </is>
      </c>
      <c r="M171" s="31" t="inlineStr">
        <is>
          <t>Not Received</t>
        </is>
      </c>
      <c r="N171" s="31" t="inlineStr">
        <is>
          <t>Not Received</t>
        </is>
      </c>
      <c r="O171" s="32">
        <f>IF($B171="","",COUNTIF(G171:N171,"Accepted")+COUNTIF(G171:N171,"Received")+COUNTIF(G171:N171,"Needs Correction"))</f>
        <v/>
      </c>
      <c r="P171" s="32">
        <f>IF($B171="","",SUMPRODUCT(((G171:N171="Accepted")+(G171:N171="Not Needed"))*(Settings!$C$11:$J$11="Yes")))</f>
        <v/>
      </c>
      <c r="Q171" s="32">
        <f>IF($B171="","",SUMPRODUCT(((G171:N171="Accepted")+(G171:N171="Not Needed"))*(Settings!$C$15:$J$15="Yes")))</f>
        <v/>
      </c>
      <c r="R171" s="33">
        <f>IF($B171="","",IF($D171="No","No PTO/PTA",IF($D171&lt;&gt;"Yes","Not Yet Confirmed",IF($Q171&gt;=Settings!$C$13,"Legalized",IF($P171&gt;=Settings!$C$12,"Registered",IF($O171&gt;0,"In Progress","Not Started"))))))</f>
        <v/>
      </c>
      <c r="S171" s="32">
        <f>IF($B171="","",COUNTIF(G171:N171,"Received"))</f>
        <v/>
      </c>
      <c r="T171" s="32">
        <f>IF($B171="","",COUNTIF(G171:N171,"Needs Correction"))</f>
        <v/>
      </c>
      <c r="U171" s="33">
        <f>IF($B171="","",IF($D171&lt;&gt;"Yes","",IF($Q171&gt;=Settings!$C$13,"None",MID(IF(AND(G171&lt;&gt;"Accepted",G171&lt;&gt;"Not Needed",Settings!$C$15="Yes"),", "&amp;G$1,"")&amp;IF(AND(H171&lt;&gt;"Accepted",H171&lt;&gt;"Not Needed",Settings!$D$15="Yes"),", "&amp;H$1,"")&amp;IF(AND(I171&lt;&gt;"Accepted",I171&lt;&gt;"Not Needed",Settings!$E$15="Yes"),", "&amp;I$1,"")&amp;IF(AND(J171&lt;&gt;"Accepted",J171&lt;&gt;"Not Needed",Settings!$F$15="Yes"),", "&amp;J$1,"")&amp;IF(AND(K171&lt;&gt;"Accepted",K171&lt;&gt;"Not Needed",Settings!$G$15="Yes"),", "&amp;K$1,"")&amp;IF(AND(L171&lt;&gt;"Accepted",L171&lt;&gt;"Not Needed",Settings!$H$15="Yes"),", "&amp;L$1,"")&amp;IF(AND(M171&lt;&gt;"Accepted",M171&lt;&gt;"Not Needed",Settings!$I$15="Yes"),", "&amp;M$1,"")&amp;IF(AND(N171&lt;&gt;"Accepted",N171&lt;&gt;"Not Needed",Settings!$J$15="Yes"),", "&amp;N$1,""),3,400))))</f>
        <v/>
      </c>
    </row>
    <row r="172" ht="15" customHeight="1" s="21">
      <c r="A172" s="31" t="inlineStr">
        <is>
          <t>2026-27</t>
        </is>
      </c>
      <c r="B172" s="31" t="inlineStr">
        <is>
          <t>Energized for STEM Academy HS</t>
        </is>
      </c>
      <c r="C172" s="31" t="inlineStr">
        <is>
          <t>COSO</t>
        </is>
      </c>
      <c r="D172" s="31" t="inlineStr">
        <is>
          <t>No</t>
        </is>
      </c>
      <c r="E172" s="31" t="n"/>
      <c r="F172" s="31" t="n"/>
      <c r="G172" s="31" t="inlineStr">
        <is>
          <t>Not Received</t>
        </is>
      </c>
      <c r="H172" s="31" t="inlineStr">
        <is>
          <t>Not Received</t>
        </is>
      </c>
      <c r="I172" s="31" t="inlineStr">
        <is>
          <t>Not Received</t>
        </is>
      </c>
      <c r="J172" s="31" t="inlineStr">
        <is>
          <t>Not Received</t>
        </is>
      </c>
      <c r="K172" s="31" t="inlineStr">
        <is>
          <t>Not Received</t>
        </is>
      </c>
      <c r="L172" s="31" t="inlineStr">
        <is>
          <t>Not Received</t>
        </is>
      </c>
      <c r="M172" s="31" t="inlineStr">
        <is>
          <t>Not Received</t>
        </is>
      </c>
      <c r="N172" s="31" t="inlineStr">
        <is>
          <t>Not Received</t>
        </is>
      </c>
      <c r="O172" s="32">
        <f>IF($B172="","",COUNTIF(G172:N172,"Accepted")+COUNTIF(G172:N172,"Received")+COUNTIF(G172:N172,"Needs Correction"))</f>
        <v/>
      </c>
      <c r="P172" s="32">
        <f>IF($B172="","",SUMPRODUCT(((G172:N172="Accepted")+(G172:N172="Not Needed"))*(Settings!$C$11:$J$11="Yes")))</f>
        <v/>
      </c>
      <c r="Q172" s="32">
        <f>IF($B172="","",SUMPRODUCT(((G172:N172="Accepted")+(G172:N172="Not Needed"))*(Settings!$C$15:$J$15="Yes")))</f>
        <v/>
      </c>
      <c r="R172" s="33">
        <f>IF($B172="","",IF($D172="No","No PTO/PTA",IF($D172&lt;&gt;"Yes","Not Yet Confirmed",IF($Q172&gt;=Settings!$C$13,"Legalized",IF($P172&gt;=Settings!$C$12,"Registered",IF($O172&gt;0,"In Progress","Not Started"))))))</f>
        <v/>
      </c>
      <c r="S172" s="32">
        <f>IF($B172="","",COUNTIF(G172:N172,"Received"))</f>
        <v/>
      </c>
      <c r="T172" s="32">
        <f>IF($B172="","",COUNTIF(G172:N172,"Needs Correction"))</f>
        <v/>
      </c>
      <c r="U172" s="33">
        <f>IF($B172="","",IF($D172&lt;&gt;"Yes","",IF($Q172&gt;=Settings!$C$13,"None",MID(IF(AND(G172&lt;&gt;"Accepted",G172&lt;&gt;"Not Needed",Settings!$C$15="Yes"),", "&amp;G$1,"")&amp;IF(AND(H172&lt;&gt;"Accepted",H172&lt;&gt;"Not Needed",Settings!$D$15="Yes"),", "&amp;H$1,"")&amp;IF(AND(I172&lt;&gt;"Accepted",I172&lt;&gt;"Not Needed",Settings!$E$15="Yes"),", "&amp;I$1,"")&amp;IF(AND(J172&lt;&gt;"Accepted",J172&lt;&gt;"Not Needed",Settings!$F$15="Yes"),", "&amp;J$1,"")&amp;IF(AND(K172&lt;&gt;"Accepted",K172&lt;&gt;"Not Needed",Settings!$G$15="Yes"),", "&amp;K$1,"")&amp;IF(AND(L172&lt;&gt;"Accepted",L172&lt;&gt;"Not Needed",Settings!$H$15="Yes"),", "&amp;L$1,"")&amp;IF(AND(M172&lt;&gt;"Accepted",M172&lt;&gt;"Not Needed",Settings!$I$15="Yes"),", "&amp;M$1,"")&amp;IF(AND(N172&lt;&gt;"Accepted",N172&lt;&gt;"Not Needed",Settings!$J$15="Yes"),", "&amp;N$1,""),3,400))))</f>
        <v/>
      </c>
    </row>
    <row r="173" ht="15" customHeight="1" s="21">
      <c r="A173" s="31" t="inlineStr">
        <is>
          <t>2026-27</t>
        </is>
      </c>
      <c r="B173" s="31" t="inlineStr">
        <is>
          <t>Energized for STEM Academy MS</t>
        </is>
      </c>
      <c r="C173" s="31" t="inlineStr">
        <is>
          <t>COSO</t>
        </is>
      </c>
      <c r="D173" s="31" t="inlineStr">
        <is>
          <t>No</t>
        </is>
      </c>
      <c r="E173" s="31" t="n"/>
      <c r="F173" s="31" t="n"/>
      <c r="G173" s="31" t="inlineStr">
        <is>
          <t>Not Received</t>
        </is>
      </c>
      <c r="H173" s="31" t="inlineStr">
        <is>
          <t>Not Received</t>
        </is>
      </c>
      <c r="I173" s="31" t="inlineStr">
        <is>
          <t>Not Received</t>
        </is>
      </c>
      <c r="J173" s="31" t="inlineStr">
        <is>
          <t>Not Received</t>
        </is>
      </c>
      <c r="K173" s="31" t="inlineStr">
        <is>
          <t>Not Received</t>
        </is>
      </c>
      <c r="L173" s="31" t="inlineStr">
        <is>
          <t>Not Received</t>
        </is>
      </c>
      <c r="M173" s="31" t="inlineStr">
        <is>
          <t>Not Received</t>
        </is>
      </c>
      <c r="N173" s="31" t="inlineStr">
        <is>
          <t>Not Received</t>
        </is>
      </c>
      <c r="O173" s="32">
        <f>IF($B173="","",COUNTIF(G173:N173,"Accepted")+COUNTIF(G173:N173,"Received")+COUNTIF(G173:N173,"Needs Correction"))</f>
        <v/>
      </c>
      <c r="P173" s="32">
        <f>IF($B173="","",SUMPRODUCT(((G173:N173="Accepted")+(G173:N173="Not Needed"))*(Settings!$C$11:$J$11="Yes")))</f>
        <v/>
      </c>
      <c r="Q173" s="32">
        <f>IF($B173="","",SUMPRODUCT(((G173:N173="Accepted")+(G173:N173="Not Needed"))*(Settings!$C$15:$J$15="Yes")))</f>
        <v/>
      </c>
      <c r="R173" s="33">
        <f>IF($B173="","",IF($D173="No","No PTO/PTA",IF($D173&lt;&gt;"Yes","Not Yet Confirmed",IF($Q173&gt;=Settings!$C$13,"Legalized",IF($P173&gt;=Settings!$C$12,"Registered",IF($O173&gt;0,"In Progress","Not Started"))))))</f>
        <v/>
      </c>
      <c r="S173" s="32">
        <f>IF($B173="","",COUNTIF(G173:N173,"Received"))</f>
        <v/>
      </c>
      <c r="T173" s="32">
        <f>IF($B173="","",COUNTIF(G173:N173,"Needs Correction"))</f>
        <v/>
      </c>
      <c r="U173" s="33">
        <f>IF($B173="","",IF($D173&lt;&gt;"Yes","",IF($Q173&gt;=Settings!$C$13,"None",MID(IF(AND(G173&lt;&gt;"Accepted",G173&lt;&gt;"Not Needed",Settings!$C$15="Yes"),", "&amp;G$1,"")&amp;IF(AND(H173&lt;&gt;"Accepted",H173&lt;&gt;"Not Needed",Settings!$D$15="Yes"),", "&amp;H$1,"")&amp;IF(AND(I173&lt;&gt;"Accepted",I173&lt;&gt;"Not Needed",Settings!$E$15="Yes"),", "&amp;I$1,"")&amp;IF(AND(J173&lt;&gt;"Accepted",J173&lt;&gt;"Not Needed",Settings!$F$15="Yes"),", "&amp;J$1,"")&amp;IF(AND(K173&lt;&gt;"Accepted",K173&lt;&gt;"Not Needed",Settings!$G$15="Yes"),", "&amp;K$1,"")&amp;IF(AND(L173&lt;&gt;"Accepted",L173&lt;&gt;"Not Needed",Settings!$H$15="Yes"),", "&amp;L$1,"")&amp;IF(AND(M173&lt;&gt;"Accepted",M173&lt;&gt;"Not Needed",Settings!$I$15="Yes"),", "&amp;M$1,"")&amp;IF(AND(N173&lt;&gt;"Accepted",N173&lt;&gt;"Not Needed",Settings!$J$15="Yes"),", "&amp;N$1,""),3,400))))</f>
        <v/>
      </c>
    </row>
    <row r="174" ht="15" customHeight="1" s="21">
      <c r="A174" s="31" t="inlineStr">
        <is>
          <t>2026-27</t>
        </is>
      </c>
      <c r="B174" s="31" t="inlineStr">
        <is>
          <t>Energized MS</t>
        </is>
      </c>
      <c r="C174" s="31" t="inlineStr">
        <is>
          <t>COSO</t>
        </is>
      </c>
      <c r="D174" s="31" t="inlineStr">
        <is>
          <t>No</t>
        </is>
      </c>
      <c r="E174" s="31" t="n"/>
      <c r="F174" s="31" t="n"/>
      <c r="G174" s="31" t="inlineStr">
        <is>
          <t>Not Received</t>
        </is>
      </c>
      <c r="H174" s="31" t="inlineStr">
        <is>
          <t>Not Received</t>
        </is>
      </c>
      <c r="I174" s="31" t="inlineStr">
        <is>
          <t>Not Received</t>
        </is>
      </c>
      <c r="J174" s="31" t="inlineStr">
        <is>
          <t>Not Received</t>
        </is>
      </c>
      <c r="K174" s="31" t="inlineStr">
        <is>
          <t>Not Received</t>
        </is>
      </c>
      <c r="L174" s="31" t="inlineStr">
        <is>
          <t>Not Received</t>
        </is>
      </c>
      <c r="M174" s="31" t="inlineStr">
        <is>
          <t>Not Received</t>
        </is>
      </c>
      <c r="N174" s="31" t="inlineStr">
        <is>
          <t>Not Received</t>
        </is>
      </c>
      <c r="O174" s="32">
        <f>IF($B174="","",COUNTIF(G174:N174,"Accepted")+COUNTIF(G174:N174,"Received")+COUNTIF(G174:N174,"Needs Correction"))</f>
        <v/>
      </c>
      <c r="P174" s="32">
        <f>IF($B174="","",SUMPRODUCT(((G174:N174="Accepted")+(G174:N174="Not Needed"))*(Settings!$C$11:$J$11="Yes")))</f>
        <v/>
      </c>
      <c r="Q174" s="32">
        <f>IF($B174="","",SUMPRODUCT(((G174:N174="Accepted")+(G174:N174="Not Needed"))*(Settings!$C$15:$J$15="Yes")))</f>
        <v/>
      </c>
      <c r="R174" s="33">
        <f>IF($B174="","",IF($D174="No","No PTO/PTA",IF($D174&lt;&gt;"Yes","Not Yet Confirmed",IF($Q174&gt;=Settings!$C$13,"Legalized",IF($P174&gt;=Settings!$C$12,"Registered",IF($O174&gt;0,"In Progress","Not Started"))))))</f>
        <v/>
      </c>
      <c r="S174" s="32">
        <f>IF($B174="","",COUNTIF(G174:N174,"Received"))</f>
        <v/>
      </c>
      <c r="T174" s="32">
        <f>IF($B174="","",COUNTIF(G174:N174,"Needs Correction"))</f>
        <v/>
      </c>
      <c r="U174" s="33">
        <f>IF($B174="","",IF($D174&lt;&gt;"Yes","",IF($Q174&gt;=Settings!$C$13,"None",MID(IF(AND(G174&lt;&gt;"Accepted",G174&lt;&gt;"Not Needed",Settings!$C$15="Yes"),", "&amp;G$1,"")&amp;IF(AND(H174&lt;&gt;"Accepted",H174&lt;&gt;"Not Needed",Settings!$D$15="Yes"),", "&amp;H$1,"")&amp;IF(AND(I174&lt;&gt;"Accepted",I174&lt;&gt;"Not Needed",Settings!$E$15="Yes"),", "&amp;I$1,"")&amp;IF(AND(J174&lt;&gt;"Accepted",J174&lt;&gt;"Not Needed",Settings!$F$15="Yes"),", "&amp;J$1,"")&amp;IF(AND(K174&lt;&gt;"Accepted",K174&lt;&gt;"Not Needed",Settings!$G$15="Yes"),", "&amp;K$1,"")&amp;IF(AND(L174&lt;&gt;"Accepted",L174&lt;&gt;"Not Needed",Settings!$H$15="Yes"),", "&amp;L$1,"")&amp;IF(AND(M174&lt;&gt;"Accepted",M174&lt;&gt;"Not Needed",Settings!$I$15="Yes"),", "&amp;M$1,"")&amp;IF(AND(N174&lt;&gt;"Accepted",N174&lt;&gt;"Not Needed",Settings!$J$15="Yes"),", "&amp;N$1,""),3,400))))</f>
        <v/>
      </c>
    </row>
    <row r="175" ht="15" customHeight="1" s="21">
      <c r="A175" s="31" t="inlineStr">
        <is>
          <t>2026-27</t>
        </is>
      </c>
      <c r="B175" s="31" t="inlineStr">
        <is>
          <t>Foerster ES</t>
        </is>
      </c>
      <c r="C175" s="31" t="inlineStr">
        <is>
          <t>NES Elementary</t>
        </is>
      </c>
      <c r="D175" s="31" t="inlineStr">
        <is>
          <t>No</t>
        </is>
      </c>
      <c r="E175" s="31" t="n"/>
      <c r="F175" s="31" t="n"/>
      <c r="G175" s="31" t="inlineStr">
        <is>
          <t>Not Received</t>
        </is>
      </c>
      <c r="H175" s="31" t="inlineStr">
        <is>
          <t>Not Received</t>
        </is>
      </c>
      <c r="I175" s="31" t="inlineStr">
        <is>
          <t>Not Received</t>
        </is>
      </c>
      <c r="J175" s="31" t="inlineStr">
        <is>
          <t>Not Received</t>
        </is>
      </c>
      <c r="K175" s="31" t="inlineStr">
        <is>
          <t>Not Received</t>
        </is>
      </c>
      <c r="L175" s="31" t="inlineStr">
        <is>
          <t>Not Received</t>
        </is>
      </c>
      <c r="M175" s="31" t="inlineStr">
        <is>
          <t>Not Received</t>
        </is>
      </c>
      <c r="N175" s="31" t="inlineStr">
        <is>
          <t>Not Received</t>
        </is>
      </c>
      <c r="O175" s="32">
        <f>IF($B175="","",COUNTIF(G175:N175,"Accepted")+COUNTIF(G175:N175,"Received")+COUNTIF(G175:N175,"Needs Correction"))</f>
        <v/>
      </c>
      <c r="P175" s="32">
        <f>IF($B175="","",SUMPRODUCT(((G175:N175="Accepted")+(G175:N175="Not Needed"))*(Settings!$C$11:$J$11="Yes")))</f>
        <v/>
      </c>
      <c r="Q175" s="32">
        <f>IF($B175="","",SUMPRODUCT(((G175:N175="Accepted")+(G175:N175="Not Needed"))*(Settings!$C$15:$J$15="Yes")))</f>
        <v/>
      </c>
      <c r="R175" s="33">
        <f>IF($B175="","",IF($D175="No","No PTO/PTA",IF($D175&lt;&gt;"Yes","Not Yet Confirmed",IF($Q175&gt;=Settings!$C$13,"Legalized",IF($P175&gt;=Settings!$C$12,"Registered",IF($O175&gt;0,"In Progress","Not Started"))))))</f>
        <v/>
      </c>
      <c r="S175" s="32">
        <f>IF($B175="","",COUNTIF(G175:N175,"Received"))</f>
        <v/>
      </c>
      <c r="T175" s="32">
        <f>IF($B175="","",COUNTIF(G175:N175,"Needs Correction"))</f>
        <v/>
      </c>
      <c r="U175" s="33">
        <f>IF($B175="","",IF($D175&lt;&gt;"Yes","",IF($Q175&gt;=Settings!$C$13,"None",MID(IF(AND(G175&lt;&gt;"Accepted",G175&lt;&gt;"Not Needed",Settings!$C$15="Yes"),", "&amp;G$1,"")&amp;IF(AND(H175&lt;&gt;"Accepted",H175&lt;&gt;"Not Needed",Settings!$D$15="Yes"),", "&amp;H$1,"")&amp;IF(AND(I175&lt;&gt;"Accepted",I175&lt;&gt;"Not Needed",Settings!$E$15="Yes"),", "&amp;I$1,"")&amp;IF(AND(J175&lt;&gt;"Accepted",J175&lt;&gt;"Not Needed",Settings!$F$15="Yes"),", "&amp;J$1,"")&amp;IF(AND(K175&lt;&gt;"Accepted",K175&lt;&gt;"Not Needed",Settings!$G$15="Yes"),", "&amp;K$1,"")&amp;IF(AND(L175&lt;&gt;"Accepted",L175&lt;&gt;"Not Needed",Settings!$H$15="Yes"),", "&amp;L$1,"")&amp;IF(AND(M175&lt;&gt;"Accepted",M175&lt;&gt;"Not Needed",Settings!$I$15="Yes"),", "&amp;M$1,"")&amp;IF(AND(N175&lt;&gt;"Accepted",N175&lt;&gt;"Not Needed",Settings!$J$15="Yes"),", "&amp;N$1,""),3,400))))</f>
        <v/>
      </c>
    </row>
    <row r="176" ht="15" customHeight="1" s="21">
      <c r="A176" s="31" t="inlineStr">
        <is>
          <t>2026-27</t>
        </is>
      </c>
      <c r="B176" s="31" t="inlineStr">
        <is>
          <t>Fondren ES</t>
        </is>
      </c>
      <c r="C176" s="31" t="inlineStr">
        <is>
          <t>EAS Elementary</t>
        </is>
      </c>
      <c r="D176" s="31" t="inlineStr">
        <is>
          <t>No</t>
        </is>
      </c>
      <c r="E176" s="31" t="n"/>
      <c r="F176" s="31" t="n"/>
      <c r="G176" s="31" t="inlineStr">
        <is>
          <t>Not Received</t>
        </is>
      </c>
      <c r="H176" s="31" t="inlineStr">
        <is>
          <t>Not Received</t>
        </is>
      </c>
      <c r="I176" s="31" t="inlineStr">
        <is>
          <t>Not Received</t>
        </is>
      </c>
      <c r="J176" s="31" t="inlineStr">
        <is>
          <t>Not Received</t>
        </is>
      </c>
      <c r="K176" s="31" t="inlineStr">
        <is>
          <t>Not Received</t>
        </is>
      </c>
      <c r="L176" s="31" t="inlineStr">
        <is>
          <t>Not Received</t>
        </is>
      </c>
      <c r="M176" s="31" t="inlineStr">
        <is>
          <t>Not Received</t>
        </is>
      </c>
      <c r="N176" s="31" t="inlineStr">
        <is>
          <t>Not Received</t>
        </is>
      </c>
      <c r="O176" s="32">
        <f>IF($B176="","",COUNTIF(G176:N176,"Accepted")+COUNTIF(G176:N176,"Received")+COUNTIF(G176:N176,"Needs Correction"))</f>
        <v/>
      </c>
      <c r="P176" s="32">
        <f>IF($B176="","",SUMPRODUCT(((G176:N176="Accepted")+(G176:N176="Not Needed"))*(Settings!$C$11:$J$11="Yes")))</f>
        <v/>
      </c>
      <c r="Q176" s="32">
        <f>IF($B176="","",SUMPRODUCT(((G176:N176="Accepted")+(G176:N176="Not Needed"))*(Settings!$C$15:$J$15="Yes")))</f>
        <v/>
      </c>
      <c r="R176" s="33">
        <f>IF($B176="","",IF($D176="No","No PTO/PTA",IF($D176&lt;&gt;"Yes","Not Yet Confirmed",IF($Q176&gt;=Settings!$C$13,"Legalized",IF($P176&gt;=Settings!$C$12,"Registered",IF($O176&gt;0,"In Progress","Not Started"))))))</f>
        <v/>
      </c>
      <c r="S176" s="32">
        <f>IF($B176="","",COUNTIF(G176:N176,"Received"))</f>
        <v/>
      </c>
      <c r="T176" s="32">
        <f>IF($B176="","",COUNTIF(G176:N176,"Needs Correction"))</f>
        <v/>
      </c>
      <c r="U176" s="33">
        <f>IF($B176="","",IF($D176&lt;&gt;"Yes","",IF($Q176&gt;=Settings!$C$13,"None",MID(IF(AND(G176&lt;&gt;"Accepted",G176&lt;&gt;"Not Needed",Settings!$C$15="Yes"),", "&amp;G$1,"")&amp;IF(AND(H176&lt;&gt;"Accepted",H176&lt;&gt;"Not Needed",Settings!$D$15="Yes"),", "&amp;H$1,"")&amp;IF(AND(I176&lt;&gt;"Accepted",I176&lt;&gt;"Not Needed",Settings!$E$15="Yes"),", "&amp;I$1,"")&amp;IF(AND(J176&lt;&gt;"Accepted",J176&lt;&gt;"Not Needed",Settings!$F$15="Yes"),", "&amp;J$1,"")&amp;IF(AND(K176&lt;&gt;"Accepted",K176&lt;&gt;"Not Needed",Settings!$G$15="Yes"),", "&amp;K$1,"")&amp;IF(AND(L176&lt;&gt;"Accepted",L176&lt;&gt;"Not Needed",Settings!$H$15="Yes"),", "&amp;L$1,"")&amp;IF(AND(M176&lt;&gt;"Accepted",M176&lt;&gt;"Not Needed",Settings!$I$15="Yes"),", "&amp;M$1,"")&amp;IF(AND(N176&lt;&gt;"Accepted",N176&lt;&gt;"Not Needed",Settings!$J$15="Yes"),", "&amp;N$1,""),3,400))))</f>
        <v/>
      </c>
    </row>
    <row r="177" ht="15" customHeight="1" s="21">
      <c r="A177" s="31" t="inlineStr">
        <is>
          <t>2026-27</t>
        </is>
      </c>
      <c r="B177" s="31" t="inlineStr">
        <is>
          <t>Fondren MS</t>
        </is>
      </c>
      <c r="C177" s="31" t="inlineStr">
        <is>
          <t>NES Secondary</t>
        </is>
      </c>
      <c r="D177" s="31" t="inlineStr">
        <is>
          <t>No</t>
        </is>
      </c>
      <c r="E177" s="31" t="n"/>
      <c r="F177" s="31" t="n"/>
      <c r="G177" s="31" t="inlineStr">
        <is>
          <t>Not Received</t>
        </is>
      </c>
      <c r="H177" s="31" t="inlineStr">
        <is>
          <t>Not Received</t>
        </is>
      </c>
      <c r="I177" s="31" t="inlineStr">
        <is>
          <t>Not Received</t>
        </is>
      </c>
      <c r="J177" s="31" t="inlineStr">
        <is>
          <t>Not Received</t>
        </is>
      </c>
      <c r="K177" s="31" t="inlineStr">
        <is>
          <t>Not Received</t>
        </is>
      </c>
      <c r="L177" s="31" t="inlineStr">
        <is>
          <t>Not Received</t>
        </is>
      </c>
      <c r="M177" s="31" t="inlineStr">
        <is>
          <t>Not Received</t>
        </is>
      </c>
      <c r="N177" s="31" t="inlineStr">
        <is>
          <t>Not Received</t>
        </is>
      </c>
      <c r="O177" s="32">
        <f>IF($B177="","",COUNTIF(G177:N177,"Accepted")+COUNTIF(G177:N177,"Received")+COUNTIF(G177:N177,"Needs Correction"))</f>
        <v/>
      </c>
      <c r="P177" s="32">
        <f>IF($B177="","",SUMPRODUCT(((G177:N177="Accepted")+(G177:N177="Not Needed"))*(Settings!$C$11:$J$11="Yes")))</f>
        <v/>
      </c>
      <c r="Q177" s="32">
        <f>IF($B177="","",SUMPRODUCT(((G177:N177="Accepted")+(G177:N177="Not Needed"))*(Settings!$C$15:$J$15="Yes")))</f>
        <v/>
      </c>
      <c r="R177" s="33">
        <f>IF($B177="","",IF($D177="No","No PTO/PTA",IF($D177&lt;&gt;"Yes","Not Yet Confirmed",IF($Q177&gt;=Settings!$C$13,"Legalized",IF($P177&gt;=Settings!$C$12,"Registered",IF($O177&gt;0,"In Progress","Not Started"))))))</f>
        <v/>
      </c>
      <c r="S177" s="32">
        <f>IF($B177="","",COUNTIF(G177:N177,"Received"))</f>
        <v/>
      </c>
      <c r="T177" s="32">
        <f>IF($B177="","",COUNTIF(G177:N177,"Needs Correction"))</f>
        <v/>
      </c>
      <c r="U177" s="33">
        <f>IF($B177="","",IF($D177&lt;&gt;"Yes","",IF($Q177&gt;=Settings!$C$13,"None",MID(IF(AND(G177&lt;&gt;"Accepted",G177&lt;&gt;"Not Needed",Settings!$C$15="Yes"),", "&amp;G$1,"")&amp;IF(AND(H177&lt;&gt;"Accepted",H177&lt;&gt;"Not Needed",Settings!$D$15="Yes"),", "&amp;H$1,"")&amp;IF(AND(I177&lt;&gt;"Accepted",I177&lt;&gt;"Not Needed",Settings!$E$15="Yes"),", "&amp;I$1,"")&amp;IF(AND(J177&lt;&gt;"Accepted",J177&lt;&gt;"Not Needed",Settings!$F$15="Yes"),", "&amp;J$1,"")&amp;IF(AND(K177&lt;&gt;"Accepted",K177&lt;&gt;"Not Needed",Settings!$G$15="Yes"),", "&amp;K$1,"")&amp;IF(AND(L177&lt;&gt;"Accepted",L177&lt;&gt;"Not Needed",Settings!$H$15="Yes"),", "&amp;L$1,"")&amp;IF(AND(M177&lt;&gt;"Accepted",M177&lt;&gt;"Not Needed",Settings!$I$15="Yes"),", "&amp;M$1,"")&amp;IF(AND(N177&lt;&gt;"Accepted",N177&lt;&gt;"Not Needed",Settings!$J$15="Yes"),", "&amp;N$1,""),3,400))))</f>
        <v/>
      </c>
    </row>
    <row r="178" ht="15" customHeight="1" s="21">
      <c r="A178" s="31" t="inlineStr">
        <is>
          <t>2026-27</t>
        </is>
      </c>
      <c r="B178" s="31" t="inlineStr">
        <is>
          <t>Forest Brook MS</t>
        </is>
      </c>
      <c r="C178" s="31" t="inlineStr">
        <is>
          <t>NES Secondary</t>
        </is>
      </c>
      <c r="D178" s="31" t="inlineStr">
        <is>
          <t>No</t>
        </is>
      </c>
      <c r="E178" s="31" t="n"/>
      <c r="F178" s="31" t="n"/>
      <c r="G178" s="31" t="inlineStr">
        <is>
          <t>Not Received</t>
        </is>
      </c>
      <c r="H178" s="31" t="inlineStr">
        <is>
          <t>Not Received</t>
        </is>
      </c>
      <c r="I178" s="31" t="inlineStr">
        <is>
          <t>Not Received</t>
        </is>
      </c>
      <c r="J178" s="31" t="inlineStr">
        <is>
          <t>Not Received</t>
        </is>
      </c>
      <c r="K178" s="31" t="inlineStr">
        <is>
          <t>Not Received</t>
        </is>
      </c>
      <c r="L178" s="31" t="inlineStr">
        <is>
          <t>Not Received</t>
        </is>
      </c>
      <c r="M178" s="31" t="inlineStr">
        <is>
          <t>Not Received</t>
        </is>
      </c>
      <c r="N178" s="31" t="inlineStr">
        <is>
          <t>Not Received</t>
        </is>
      </c>
      <c r="O178" s="32">
        <f>IF($B178="","",COUNTIF(G178:N178,"Accepted")+COUNTIF(G178:N178,"Received")+COUNTIF(G178:N178,"Needs Correction"))</f>
        <v/>
      </c>
      <c r="P178" s="32">
        <f>IF($B178="","",SUMPRODUCT(((G178:N178="Accepted")+(G178:N178="Not Needed"))*(Settings!$C$11:$J$11="Yes")))</f>
        <v/>
      </c>
      <c r="Q178" s="32">
        <f>IF($B178="","",SUMPRODUCT(((G178:N178="Accepted")+(G178:N178="Not Needed"))*(Settings!$C$15:$J$15="Yes")))</f>
        <v/>
      </c>
      <c r="R178" s="33">
        <f>IF($B178="","",IF($D178="No","No PTO/PTA",IF($D178&lt;&gt;"Yes","Not Yet Confirmed",IF($Q178&gt;=Settings!$C$13,"Legalized",IF($P178&gt;=Settings!$C$12,"Registered",IF($O178&gt;0,"In Progress","Not Started"))))))</f>
        <v/>
      </c>
      <c r="S178" s="32">
        <f>IF($B178="","",COUNTIF(G178:N178,"Received"))</f>
        <v/>
      </c>
      <c r="T178" s="32">
        <f>IF($B178="","",COUNTIF(G178:N178,"Needs Correction"))</f>
        <v/>
      </c>
      <c r="U178" s="33">
        <f>IF($B178="","",IF($D178&lt;&gt;"Yes","",IF($Q178&gt;=Settings!$C$13,"None",MID(IF(AND(G178&lt;&gt;"Accepted",G178&lt;&gt;"Not Needed",Settings!$C$15="Yes"),", "&amp;G$1,"")&amp;IF(AND(H178&lt;&gt;"Accepted",H178&lt;&gt;"Not Needed",Settings!$D$15="Yes"),", "&amp;H$1,"")&amp;IF(AND(I178&lt;&gt;"Accepted",I178&lt;&gt;"Not Needed",Settings!$E$15="Yes"),", "&amp;I$1,"")&amp;IF(AND(J178&lt;&gt;"Accepted",J178&lt;&gt;"Not Needed",Settings!$F$15="Yes"),", "&amp;J$1,"")&amp;IF(AND(K178&lt;&gt;"Accepted",K178&lt;&gt;"Not Needed",Settings!$G$15="Yes"),", "&amp;K$1,"")&amp;IF(AND(L178&lt;&gt;"Accepted",L178&lt;&gt;"Not Needed",Settings!$H$15="Yes"),", "&amp;L$1,"")&amp;IF(AND(M178&lt;&gt;"Accepted",M178&lt;&gt;"Not Needed",Settings!$I$15="Yes"),", "&amp;M$1,"")&amp;IF(AND(N178&lt;&gt;"Accepted",N178&lt;&gt;"Not Needed",Settings!$J$15="Yes"),", "&amp;N$1,""),3,400))))</f>
        <v/>
      </c>
    </row>
    <row r="179" ht="15" customHeight="1" s="21">
      <c r="A179" s="31" t="inlineStr">
        <is>
          <t>2026-27</t>
        </is>
      </c>
      <c r="B179" s="31" t="inlineStr">
        <is>
          <t>Foster ES</t>
        </is>
      </c>
      <c r="C179" s="31" t="inlineStr">
        <is>
          <t>NES Elementary</t>
        </is>
      </c>
      <c r="D179" s="31" t="inlineStr">
        <is>
          <t>No</t>
        </is>
      </c>
      <c r="E179" s="31" t="n"/>
      <c r="F179" s="31" t="n"/>
      <c r="G179" s="31" t="inlineStr">
        <is>
          <t>Not Received</t>
        </is>
      </c>
      <c r="H179" s="31" t="inlineStr">
        <is>
          <t>Not Received</t>
        </is>
      </c>
      <c r="I179" s="31" t="inlineStr">
        <is>
          <t>Not Received</t>
        </is>
      </c>
      <c r="J179" s="31" t="inlineStr">
        <is>
          <t>Not Received</t>
        </is>
      </c>
      <c r="K179" s="31" t="inlineStr">
        <is>
          <t>Not Received</t>
        </is>
      </c>
      <c r="L179" s="31" t="inlineStr">
        <is>
          <t>Not Received</t>
        </is>
      </c>
      <c r="M179" s="31" t="inlineStr">
        <is>
          <t>Not Received</t>
        </is>
      </c>
      <c r="N179" s="31" t="inlineStr">
        <is>
          <t>Not Received</t>
        </is>
      </c>
      <c r="O179" s="32">
        <f>IF($B179="","",COUNTIF(G179:N179,"Accepted")+COUNTIF(G179:N179,"Received")+COUNTIF(G179:N179,"Needs Correction"))</f>
        <v/>
      </c>
      <c r="P179" s="32">
        <f>IF($B179="","",SUMPRODUCT(((G179:N179="Accepted")+(G179:N179="Not Needed"))*(Settings!$C$11:$J$11="Yes")))</f>
        <v/>
      </c>
      <c r="Q179" s="32">
        <f>IF($B179="","",SUMPRODUCT(((G179:N179="Accepted")+(G179:N179="Not Needed"))*(Settings!$C$15:$J$15="Yes")))</f>
        <v/>
      </c>
      <c r="R179" s="33">
        <f>IF($B179="","",IF($D179="No","No PTO/PTA",IF($D179&lt;&gt;"Yes","Not Yet Confirmed",IF($Q179&gt;=Settings!$C$13,"Legalized",IF($P179&gt;=Settings!$C$12,"Registered",IF($O179&gt;0,"In Progress","Not Started"))))))</f>
        <v/>
      </c>
      <c r="S179" s="32">
        <f>IF($B179="","",COUNTIF(G179:N179,"Received"))</f>
        <v/>
      </c>
      <c r="T179" s="32">
        <f>IF($B179="","",COUNTIF(G179:N179,"Needs Correction"))</f>
        <v/>
      </c>
      <c r="U179" s="33">
        <f>IF($B179="","",IF($D179&lt;&gt;"Yes","",IF($Q179&gt;=Settings!$C$13,"None",MID(IF(AND(G179&lt;&gt;"Accepted",G179&lt;&gt;"Not Needed",Settings!$C$15="Yes"),", "&amp;G$1,"")&amp;IF(AND(H179&lt;&gt;"Accepted",H179&lt;&gt;"Not Needed",Settings!$D$15="Yes"),", "&amp;H$1,"")&amp;IF(AND(I179&lt;&gt;"Accepted",I179&lt;&gt;"Not Needed",Settings!$E$15="Yes"),", "&amp;I$1,"")&amp;IF(AND(J179&lt;&gt;"Accepted",J179&lt;&gt;"Not Needed",Settings!$F$15="Yes"),", "&amp;J$1,"")&amp;IF(AND(K179&lt;&gt;"Accepted",K179&lt;&gt;"Not Needed",Settings!$G$15="Yes"),", "&amp;K$1,"")&amp;IF(AND(L179&lt;&gt;"Accepted",L179&lt;&gt;"Not Needed",Settings!$H$15="Yes"),", "&amp;L$1,"")&amp;IF(AND(M179&lt;&gt;"Accepted",M179&lt;&gt;"Not Needed",Settings!$I$15="Yes"),", "&amp;M$1,"")&amp;IF(AND(N179&lt;&gt;"Accepted",N179&lt;&gt;"Not Needed",Settings!$J$15="Yes"),", "&amp;N$1,""),3,400))))</f>
        <v/>
      </c>
    </row>
    <row r="180" ht="15" customHeight="1" s="21">
      <c r="A180" s="31" t="inlineStr">
        <is>
          <t>2026-27</t>
        </is>
      </c>
      <c r="B180" s="31" t="inlineStr">
        <is>
          <t>Frost ES</t>
        </is>
      </c>
      <c r="C180" s="31" t="inlineStr">
        <is>
          <t>NES Elementary</t>
        </is>
      </c>
      <c r="D180" s="31" t="inlineStr">
        <is>
          <t>No</t>
        </is>
      </c>
      <c r="E180" s="31" t="n"/>
      <c r="F180" s="31" t="n"/>
      <c r="G180" s="31" t="inlineStr">
        <is>
          <t>Not Received</t>
        </is>
      </c>
      <c r="H180" s="31" t="inlineStr">
        <is>
          <t>Not Received</t>
        </is>
      </c>
      <c r="I180" s="31" t="inlineStr">
        <is>
          <t>Not Received</t>
        </is>
      </c>
      <c r="J180" s="31" t="inlineStr">
        <is>
          <t>Not Received</t>
        </is>
      </c>
      <c r="K180" s="31" t="inlineStr">
        <is>
          <t>Not Received</t>
        </is>
      </c>
      <c r="L180" s="31" t="inlineStr">
        <is>
          <t>Not Received</t>
        </is>
      </c>
      <c r="M180" s="31" t="inlineStr">
        <is>
          <t>Not Received</t>
        </is>
      </c>
      <c r="N180" s="31" t="inlineStr">
        <is>
          <t>Not Received</t>
        </is>
      </c>
      <c r="O180" s="32">
        <f>IF($B180="","",COUNTIF(G180:N180,"Accepted")+COUNTIF(G180:N180,"Received")+COUNTIF(G180:N180,"Needs Correction"))</f>
        <v/>
      </c>
      <c r="P180" s="32">
        <f>IF($B180="","",SUMPRODUCT(((G180:N180="Accepted")+(G180:N180="Not Needed"))*(Settings!$C$11:$J$11="Yes")))</f>
        <v/>
      </c>
      <c r="Q180" s="32">
        <f>IF($B180="","",SUMPRODUCT(((G180:N180="Accepted")+(G180:N180="Not Needed"))*(Settings!$C$15:$J$15="Yes")))</f>
        <v/>
      </c>
      <c r="R180" s="33">
        <f>IF($B180="","",IF($D180="No","No PTO/PTA",IF($D180&lt;&gt;"Yes","Not Yet Confirmed",IF($Q180&gt;=Settings!$C$13,"Legalized",IF($P180&gt;=Settings!$C$12,"Registered",IF($O180&gt;0,"In Progress","Not Started"))))))</f>
        <v/>
      </c>
      <c r="S180" s="32">
        <f>IF($B180="","",COUNTIF(G180:N180,"Received"))</f>
        <v/>
      </c>
      <c r="T180" s="32">
        <f>IF($B180="","",COUNTIF(G180:N180,"Needs Correction"))</f>
        <v/>
      </c>
      <c r="U180" s="33">
        <f>IF($B180="","",IF($D180&lt;&gt;"Yes","",IF($Q180&gt;=Settings!$C$13,"None",MID(IF(AND(G180&lt;&gt;"Accepted",G180&lt;&gt;"Not Needed",Settings!$C$15="Yes"),", "&amp;G$1,"")&amp;IF(AND(H180&lt;&gt;"Accepted",H180&lt;&gt;"Not Needed",Settings!$D$15="Yes"),", "&amp;H$1,"")&amp;IF(AND(I180&lt;&gt;"Accepted",I180&lt;&gt;"Not Needed",Settings!$E$15="Yes"),", "&amp;I$1,"")&amp;IF(AND(J180&lt;&gt;"Accepted",J180&lt;&gt;"Not Needed",Settings!$F$15="Yes"),", "&amp;J$1,"")&amp;IF(AND(K180&lt;&gt;"Accepted",K180&lt;&gt;"Not Needed",Settings!$G$15="Yes"),", "&amp;K$1,"")&amp;IF(AND(L180&lt;&gt;"Accepted",L180&lt;&gt;"Not Needed",Settings!$H$15="Yes"),", "&amp;L$1,"")&amp;IF(AND(M180&lt;&gt;"Accepted",M180&lt;&gt;"Not Needed",Settings!$I$15="Yes"),", "&amp;M$1,"")&amp;IF(AND(N180&lt;&gt;"Accepted",N180&lt;&gt;"Not Needed",Settings!$J$15="Yes"),", "&amp;N$1,""),3,400))))</f>
        <v/>
      </c>
    </row>
    <row r="181" ht="15" customHeight="1" s="21">
      <c r="A181" s="31" t="inlineStr">
        <is>
          <t>2026-27</t>
        </is>
      </c>
      <c r="B181" s="31" t="inlineStr">
        <is>
          <t>Furr HS</t>
        </is>
      </c>
      <c r="C181" s="31" t="inlineStr">
        <is>
          <t>NES Secondary</t>
        </is>
      </c>
      <c r="D181" s="31" t="inlineStr">
        <is>
          <t>No</t>
        </is>
      </c>
      <c r="E181" s="31" t="n"/>
      <c r="F181" s="31" t="n"/>
      <c r="G181" s="31" t="inlineStr">
        <is>
          <t>Not Received</t>
        </is>
      </c>
      <c r="H181" s="31" t="inlineStr">
        <is>
          <t>Not Received</t>
        </is>
      </c>
      <c r="I181" s="31" t="inlineStr">
        <is>
          <t>Not Received</t>
        </is>
      </c>
      <c r="J181" s="31" t="inlineStr">
        <is>
          <t>Not Received</t>
        </is>
      </c>
      <c r="K181" s="31" t="inlineStr">
        <is>
          <t>Not Received</t>
        </is>
      </c>
      <c r="L181" s="31" t="inlineStr">
        <is>
          <t>Not Received</t>
        </is>
      </c>
      <c r="M181" s="31" t="inlineStr">
        <is>
          <t>Not Received</t>
        </is>
      </c>
      <c r="N181" s="31" t="inlineStr">
        <is>
          <t>Not Received</t>
        </is>
      </c>
      <c r="O181" s="32">
        <f>IF($B181="","",COUNTIF(G181:N181,"Accepted")+COUNTIF(G181:N181,"Received")+COUNTIF(G181:N181,"Needs Correction"))</f>
        <v/>
      </c>
      <c r="P181" s="32">
        <f>IF($B181="","",SUMPRODUCT(((G181:N181="Accepted")+(G181:N181="Not Needed"))*(Settings!$C$11:$J$11="Yes")))</f>
        <v/>
      </c>
      <c r="Q181" s="32">
        <f>IF($B181="","",SUMPRODUCT(((G181:N181="Accepted")+(G181:N181="Not Needed"))*(Settings!$C$15:$J$15="Yes")))</f>
        <v/>
      </c>
      <c r="R181" s="33">
        <f>IF($B181="","",IF($D181="No","No PTO/PTA",IF($D181&lt;&gt;"Yes","Not Yet Confirmed",IF($Q181&gt;=Settings!$C$13,"Legalized",IF($P181&gt;=Settings!$C$12,"Registered",IF($O181&gt;0,"In Progress","Not Started"))))))</f>
        <v/>
      </c>
      <c r="S181" s="32">
        <f>IF($B181="","",COUNTIF(G181:N181,"Received"))</f>
        <v/>
      </c>
      <c r="T181" s="32">
        <f>IF($B181="","",COUNTIF(G181:N181,"Needs Correction"))</f>
        <v/>
      </c>
      <c r="U181" s="33">
        <f>IF($B181="","",IF($D181&lt;&gt;"Yes","",IF($Q181&gt;=Settings!$C$13,"None",MID(IF(AND(G181&lt;&gt;"Accepted",G181&lt;&gt;"Not Needed",Settings!$C$15="Yes"),", "&amp;G$1,"")&amp;IF(AND(H181&lt;&gt;"Accepted",H181&lt;&gt;"Not Needed",Settings!$D$15="Yes"),", "&amp;H$1,"")&amp;IF(AND(I181&lt;&gt;"Accepted",I181&lt;&gt;"Not Needed",Settings!$E$15="Yes"),", "&amp;I$1,"")&amp;IF(AND(J181&lt;&gt;"Accepted",J181&lt;&gt;"Not Needed",Settings!$F$15="Yes"),", "&amp;J$1,"")&amp;IF(AND(K181&lt;&gt;"Accepted",K181&lt;&gt;"Not Needed",Settings!$G$15="Yes"),", "&amp;K$1,"")&amp;IF(AND(L181&lt;&gt;"Accepted",L181&lt;&gt;"Not Needed",Settings!$H$15="Yes"),", "&amp;L$1,"")&amp;IF(AND(M181&lt;&gt;"Accepted",M181&lt;&gt;"Not Needed",Settings!$I$15="Yes"),", "&amp;M$1,"")&amp;IF(AND(N181&lt;&gt;"Accepted",N181&lt;&gt;"Not Needed",Settings!$J$15="Yes"),", "&amp;N$1,""),3,400))))</f>
        <v/>
      </c>
    </row>
    <row r="182" ht="15" customHeight="1" s="21">
      <c r="A182" s="31" t="inlineStr">
        <is>
          <t>2026-27</t>
        </is>
      </c>
      <c r="B182" s="31" t="inlineStr">
        <is>
          <t>Garcia ES</t>
        </is>
      </c>
      <c r="C182" s="31" t="inlineStr">
        <is>
          <t>NES Elementary</t>
        </is>
      </c>
      <c r="D182" s="31" t="inlineStr">
        <is>
          <t>No</t>
        </is>
      </c>
      <c r="E182" s="31" t="n"/>
      <c r="F182" s="31" t="n"/>
      <c r="G182" s="31" t="inlineStr">
        <is>
          <t>Not Received</t>
        </is>
      </c>
      <c r="H182" s="31" t="inlineStr">
        <is>
          <t>Not Received</t>
        </is>
      </c>
      <c r="I182" s="31" t="inlineStr">
        <is>
          <t>Not Received</t>
        </is>
      </c>
      <c r="J182" s="31" t="inlineStr">
        <is>
          <t>Not Received</t>
        </is>
      </c>
      <c r="K182" s="31" t="inlineStr">
        <is>
          <t>Not Received</t>
        </is>
      </c>
      <c r="L182" s="31" t="inlineStr">
        <is>
          <t>Not Received</t>
        </is>
      </c>
      <c r="M182" s="31" t="inlineStr">
        <is>
          <t>Not Received</t>
        </is>
      </c>
      <c r="N182" s="31" t="inlineStr">
        <is>
          <t>Not Received</t>
        </is>
      </c>
      <c r="O182" s="32">
        <f>IF($B182="","",COUNTIF(G182:N182,"Accepted")+COUNTIF(G182:N182,"Received")+COUNTIF(G182:N182,"Needs Correction"))</f>
        <v/>
      </c>
      <c r="P182" s="32">
        <f>IF($B182="","",SUMPRODUCT(((G182:N182="Accepted")+(G182:N182="Not Needed"))*(Settings!$C$11:$J$11="Yes")))</f>
        <v/>
      </c>
      <c r="Q182" s="32">
        <f>IF($B182="","",SUMPRODUCT(((G182:N182="Accepted")+(G182:N182="Not Needed"))*(Settings!$C$15:$J$15="Yes")))</f>
        <v/>
      </c>
      <c r="R182" s="33">
        <f>IF($B182="","",IF($D182="No","No PTO/PTA",IF($D182&lt;&gt;"Yes","Not Yet Confirmed",IF($Q182&gt;=Settings!$C$13,"Legalized",IF($P182&gt;=Settings!$C$12,"Registered",IF($O182&gt;0,"In Progress","Not Started"))))))</f>
        <v/>
      </c>
      <c r="S182" s="32">
        <f>IF($B182="","",COUNTIF(G182:N182,"Received"))</f>
        <v/>
      </c>
      <c r="T182" s="32">
        <f>IF($B182="","",COUNTIF(G182:N182,"Needs Correction"))</f>
        <v/>
      </c>
      <c r="U182" s="33">
        <f>IF($B182="","",IF($D182&lt;&gt;"Yes","",IF($Q182&gt;=Settings!$C$13,"None",MID(IF(AND(G182&lt;&gt;"Accepted",G182&lt;&gt;"Not Needed",Settings!$C$15="Yes"),", "&amp;G$1,"")&amp;IF(AND(H182&lt;&gt;"Accepted",H182&lt;&gt;"Not Needed",Settings!$D$15="Yes"),", "&amp;H$1,"")&amp;IF(AND(I182&lt;&gt;"Accepted",I182&lt;&gt;"Not Needed",Settings!$E$15="Yes"),", "&amp;I$1,"")&amp;IF(AND(J182&lt;&gt;"Accepted",J182&lt;&gt;"Not Needed",Settings!$F$15="Yes"),", "&amp;J$1,"")&amp;IF(AND(K182&lt;&gt;"Accepted",K182&lt;&gt;"Not Needed",Settings!$G$15="Yes"),", "&amp;K$1,"")&amp;IF(AND(L182&lt;&gt;"Accepted",L182&lt;&gt;"Not Needed",Settings!$H$15="Yes"),", "&amp;L$1,"")&amp;IF(AND(M182&lt;&gt;"Accepted",M182&lt;&gt;"Not Needed",Settings!$I$15="Yes"),", "&amp;M$1,"")&amp;IF(AND(N182&lt;&gt;"Accepted",N182&lt;&gt;"Not Needed",Settings!$J$15="Yes"),", "&amp;N$1,""),3,400))))</f>
        <v/>
      </c>
    </row>
    <row r="183" ht="15" customHeight="1" s="21">
      <c r="A183" s="31" t="inlineStr">
        <is>
          <t>2026-27</t>
        </is>
      </c>
      <c r="B183" s="31" t="inlineStr">
        <is>
          <t>Gregg ES</t>
        </is>
      </c>
      <c r="C183" s="31" t="inlineStr">
        <is>
          <t>NES Elementary</t>
        </is>
      </c>
      <c r="D183" s="31" t="inlineStr">
        <is>
          <t>No</t>
        </is>
      </c>
      <c r="E183" s="31" t="n"/>
      <c r="F183" s="31" t="n"/>
      <c r="G183" s="31" t="inlineStr">
        <is>
          <t>Not Received</t>
        </is>
      </c>
      <c r="H183" s="31" t="inlineStr">
        <is>
          <t>Not Received</t>
        </is>
      </c>
      <c r="I183" s="31" t="inlineStr">
        <is>
          <t>Not Received</t>
        </is>
      </c>
      <c r="J183" s="31" t="inlineStr">
        <is>
          <t>Not Received</t>
        </is>
      </c>
      <c r="K183" s="31" t="inlineStr">
        <is>
          <t>Not Received</t>
        </is>
      </c>
      <c r="L183" s="31" t="inlineStr">
        <is>
          <t>Not Received</t>
        </is>
      </c>
      <c r="M183" s="31" t="inlineStr">
        <is>
          <t>Not Received</t>
        </is>
      </c>
      <c r="N183" s="31" t="inlineStr">
        <is>
          <t>Not Received</t>
        </is>
      </c>
      <c r="O183" s="32">
        <f>IF($B183="","",COUNTIF(G183:N183,"Accepted")+COUNTIF(G183:N183,"Received")+COUNTIF(G183:N183,"Needs Correction"))</f>
        <v/>
      </c>
      <c r="P183" s="32">
        <f>IF($B183="","",SUMPRODUCT(((G183:N183="Accepted")+(G183:N183="Not Needed"))*(Settings!$C$11:$J$11="Yes")))</f>
        <v/>
      </c>
      <c r="Q183" s="32">
        <f>IF($B183="","",SUMPRODUCT(((G183:N183="Accepted")+(G183:N183="Not Needed"))*(Settings!$C$15:$J$15="Yes")))</f>
        <v/>
      </c>
      <c r="R183" s="33">
        <f>IF($B183="","",IF($D183="No","No PTO/PTA",IF($D183&lt;&gt;"Yes","Not Yet Confirmed",IF($Q183&gt;=Settings!$C$13,"Legalized",IF($P183&gt;=Settings!$C$12,"Registered",IF($O183&gt;0,"In Progress","Not Started"))))))</f>
        <v/>
      </c>
      <c r="S183" s="32">
        <f>IF($B183="","",COUNTIF(G183:N183,"Received"))</f>
        <v/>
      </c>
      <c r="T183" s="32">
        <f>IF($B183="","",COUNTIF(G183:N183,"Needs Correction"))</f>
        <v/>
      </c>
      <c r="U183" s="33">
        <f>IF($B183="","",IF($D183&lt;&gt;"Yes","",IF($Q183&gt;=Settings!$C$13,"None",MID(IF(AND(G183&lt;&gt;"Accepted",G183&lt;&gt;"Not Needed",Settings!$C$15="Yes"),", "&amp;G$1,"")&amp;IF(AND(H183&lt;&gt;"Accepted",H183&lt;&gt;"Not Needed",Settings!$D$15="Yes"),", "&amp;H$1,"")&amp;IF(AND(I183&lt;&gt;"Accepted",I183&lt;&gt;"Not Needed",Settings!$E$15="Yes"),", "&amp;I$1,"")&amp;IF(AND(J183&lt;&gt;"Accepted",J183&lt;&gt;"Not Needed",Settings!$F$15="Yes"),", "&amp;J$1,"")&amp;IF(AND(K183&lt;&gt;"Accepted",K183&lt;&gt;"Not Needed",Settings!$G$15="Yes"),", "&amp;K$1,"")&amp;IF(AND(L183&lt;&gt;"Accepted",L183&lt;&gt;"Not Needed",Settings!$H$15="Yes"),", "&amp;L$1,"")&amp;IF(AND(M183&lt;&gt;"Accepted",M183&lt;&gt;"Not Needed",Settings!$I$15="Yes"),", "&amp;M$1,"")&amp;IF(AND(N183&lt;&gt;"Accepted",N183&lt;&gt;"Not Needed",Settings!$J$15="Yes"),", "&amp;N$1,""),3,400))))</f>
        <v/>
      </c>
    </row>
    <row r="184" ht="15" customHeight="1" s="21">
      <c r="A184" s="31" t="inlineStr">
        <is>
          <t>2026-27</t>
        </is>
      </c>
      <c r="B184" s="31" t="inlineStr">
        <is>
          <t>Gregory-Lincoln PK-8</t>
        </is>
      </c>
      <c r="C184" s="31" t="inlineStr">
        <is>
          <t>NES Elementary</t>
        </is>
      </c>
      <c r="D184" s="31" t="inlineStr">
        <is>
          <t>No</t>
        </is>
      </c>
      <c r="E184" s="31" t="n"/>
      <c r="F184" s="31" t="n"/>
      <c r="G184" s="31" t="inlineStr">
        <is>
          <t>Not Received</t>
        </is>
      </c>
      <c r="H184" s="31" t="inlineStr">
        <is>
          <t>Not Received</t>
        </is>
      </c>
      <c r="I184" s="31" t="inlineStr">
        <is>
          <t>Not Received</t>
        </is>
      </c>
      <c r="J184" s="31" t="inlineStr">
        <is>
          <t>Not Received</t>
        </is>
      </c>
      <c r="K184" s="31" t="inlineStr">
        <is>
          <t>Not Received</t>
        </is>
      </c>
      <c r="L184" s="31" t="inlineStr">
        <is>
          <t>Not Received</t>
        </is>
      </c>
      <c r="M184" s="31" t="inlineStr">
        <is>
          <t>Not Received</t>
        </is>
      </c>
      <c r="N184" s="31" t="inlineStr">
        <is>
          <t>Not Received</t>
        </is>
      </c>
      <c r="O184" s="32">
        <f>IF($B184="","",COUNTIF(G184:N184,"Accepted")+COUNTIF(G184:N184,"Received")+COUNTIF(G184:N184,"Needs Correction"))</f>
        <v/>
      </c>
      <c r="P184" s="32">
        <f>IF($B184="","",SUMPRODUCT(((G184:N184="Accepted")+(G184:N184="Not Needed"))*(Settings!$C$11:$J$11="Yes")))</f>
        <v/>
      </c>
      <c r="Q184" s="32">
        <f>IF($B184="","",SUMPRODUCT(((G184:N184="Accepted")+(G184:N184="Not Needed"))*(Settings!$C$15:$J$15="Yes")))</f>
        <v/>
      </c>
      <c r="R184" s="33">
        <f>IF($B184="","",IF($D184="No","No PTO/PTA",IF($D184&lt;&gt;"Yes","Not Yet Confirmed",IF($Q184&gt;=Settings!$C$13,"Legalized",IF($P184&gt;=Settings!$C$12,"Registered",IF($O184&gt;0,"In Progress","Not Started"))))))</f>
        <v/>
      </c>
      <c r="S184" s="32">
        <f>IF($B184="","",COUNTIF(G184:N184,"Received"))</f>
        <v/>
      </c>
      <c r="T184" s="32">
        <f>IF($B184="","",COUNTIF(G184:N184,"Needs Correction"))</f>
        <v/>
      </c>
      <c r="U184" s="33">
        <f>IF($B184="","",IF($D184&lt;&gt;"Yes","",IF($Q184&gt;=Settings!$C$13,"None",MID(IF(AND(G184&lt;&gt;"Accepted",G184&lt;&gt;"Not Needed",Settings!$C$15="Yes"),", "&amp;G$1,"")&amp;IF(AND(H184&lt;&gt;"Accepted",H184&lt;&gt;"Not Needed",Settings!$D$15="Yes"),", "&amp;H$1,"")&amp;IF(AND(I184&lt;&gt;"Accepted",I184&lt;&gt;"Not Needed",Settings!$E$15="Yes"),", "&amp;I$1,"")&amp;IF(AND(J184&lt;&gt;"Accepted",J184&lt;&gt;"Not Needed",Settings!$F$15="Yes"),", "&amp;J$1,"")&amp;IF(AND(K184&lt;&gt;"Accepted",K184&lt;&gt;"Not Needed",Settings!$G$15="Yes"),", "&amp;K$1,"")&amp;IF(AND(L184&lt;&gt;"Accepted",L184&lt;&gt;"Not Needed",Settings!$H$15="Yes"),", "&amp;L$1,"")&amp;IF(AND(M184&lt;&gt;"Accepted",M184&lt;&gt;"Not Needed",Settings!$I$15="Yes"),", "&amp;M$1,"")&amp;IF(AND(N184&lt;&gt;"Accepted",N184&lt;&gt;"Not Needed",Settings!$J$15="Yes"),", "&amp;N$1,""),3,400))))</f>
        <v/>
      </c>
    </row>
    <row r="185" ht="15" customHeight="1" s="21">
      <c r="A185" s="31" t="inlineStr">
        <is>
          <t>2026-27</t>
        </is>
      </c>
      <c r="B185" s="31" t="inlineStr">
        <is>
          <t>Grissom ES</t>
        </is>
      </c>
      <c r="C185" s="31" t="inlineStr">
        <is>
          <t>NES Elementary</t>
        </is>
      </c>
      <c r="D185" s="31" t="inlineStr">
        <is>
          <t>No</t>
        </is>
      </c>
      <c r="E185" s="31" t="n"/>
      <c r="F185" s="31" t="n"/>
      <c r="G185" s="31" t="inlineStr">
        <is>
          <t>Not Received</t>
        </is>
      </c>
      <c r="H185" s="31" t="inlineStr">
        <is>
          <t>Not Received</t>
        </is>
      </c>
      <c r="I185" s="31" t="inlineStr">
        <is>
          <t>Not Received</t>
        </is>
      </c>
      <c r="J185" s="31" t="inlineStr">
        <is>
          <t>Not Received</t>
        </is>
      </c>
      <c r="K185" s="31" t="inlineStr">
        <is>
          <t>Not Received</t>
        </is>
      </c>
      <c r="L185" s="31" t="inlineStr">
        <is>
          <t>Not Received</t>
        </is>
      </c>
      <c r="M185" s="31" t="inlineStr">
        <is>
          <t>Not Received</t>
        </is>
      </c>
      <c r="N185" s="31" t="inlineStr">
        <is>
          <t>Not Received</t>
        </is>
      </c>
      <c r="O185" s="32">
        <f>IF($B185="","",COUNTIF(G185:N185,"Accepted")+COUNTIF(G185:N185,"Received")+COUNTIF(G185:N185,"Needs Correction"))</f>
        <v/>
      </c>
      <c r="P185" s="32">
        <f>IF($B185="","",SUMPRODUCT(((G185:N185="Accepted")+(G185:N185="Not Needed"))*(Settings!$C$11:$J$11="Yes")))</f>
        <v/>
      </c>
      <c r="Q185" s="32">
        <f>IF($B185="","",SUMPRODUCT(((G185:N185="Accepted")+(G185:N185="Not Needed"))*(Settings!$C$15:$J$15="Yes")))</f>
        <v/>
      </c>
      <c r="R185" s="33">
        <f>IF($B185="","",IF($D185="No","No PTO/PTA",IF($D185&lt;&gt;"Yes","Not Yet Confirmed",IF($Q185&gt;=Settings!$C$13,"Legalized",IF($P185&gt;=Settings!$C$12,"Registered",IF($O185&gt;0,"In Progress","Not Started"))))))</f>
        <v/>
      </c>
      <c r="S185" s="32">
        <f>IF($B185="","",COUNTIF(G185:N185,"Received"))</f>
        <v/>
      </c>
      <c r="T185" s="32">
        <f>IF($B185="","",COUNTIF(G185:N185,"Needs Correction"))</f>
        <v/>
      </c>
      <c r="U185" s="33">
        <f>IF($B185="","",IF($D185&lt;&gt;"Yes","",IF($Q185&gt;=Settings!$C$13,"None",MID(IF(AND(G185&lt;&gt;"Accepted",G185&lt;&gt;"Not Needed",Settings!$C$15="Yes"),", "&amp;G$1,"")&amp;IF(AND(H185&lt;&gt;"Accepted",H185&lt;&gt;"Not Needed",Settings!$D$15="Yes"),", "&amp;H$1,"")&amp;IF(AND(I185&lt;&gt;"Accepted",I185&lt;&gt;"Not Needed",Settings!$E$15="Yes"),", "&amp;I$1,"")&amp;IF(AND(J185&lt;&gt;"Accepted",J185&lt;&gt;"Not Needed",Settings!$F$15="Yes"),", "&amp;J$1,"")&amp;IF(AND(K185&lt;&gt;"Accepted",K185&lt;&gt;"Not Needed",Settings!$G$15="Yes"),", "&amp;K$1,"")&amp;IF(AND(L185&lt;&gt;"Accepted",L185&lt;&gt;"Not Needed",Settings!$H$15="Yes"),", "&amp;L$1,"")&amp;IF(AND(M185&lt;&gt;"Accepted",M185&lt;&gt;"Not Needed",Settings!$I$15="Yes"),", "&amp;M$1,"")&amp;IF(AND(N185&lt;&gt;"Accepted",N185&lt;&gt;"Not Needed",Settings!$J$15="Yes"),", "&amp;N$1,""),3,400))))</f>
        <v/>
      </c>
    </row>
    <row r="186" ht="15" customHeight="1" s="21">
      <c r="A186" s="31" t="inlineStr">
        <is>
          <t>2026-27</t>
        </is>
      </c>
      <c r="B186" s="31" t="inlineStr">
        <is>
          <t>Halpin ECC</t>
        </is>
      </c>
      <c r="C186" s="31" t="inlineStr">
        <is>
          <t>EAS Elementary</t>
        </is>
      </c>
      <c r="D186" s="31" t="inlineStr">
        <is>
          <t>No</t>
        </is>
      </c>
      <c r="E186" s="31" t="n"/>
      <c r="F186" s="31" t="n"/>
      <c r="G186" s="31" t="inlineStr">
        <is>
          <t>Not Received</t>
        </is>
      </c>
      <c r="H186" s="31" t="inlineStr">
        <is>
          <t>Not Received</t>
        </is>
      </c>
      <c r="I186" s="31" t="inlineStr">
        <is>
          <t>Not Received</t>
        </is>
      </c>
      <c r="J186" s="31" t="inlineStr">
        <is>
          <t>Not Received</t>
        </is>
      </c>
      <c r="K186" s="31" t="inlineStr">
        <is>
          <t>Not Received</t>
        </is>
      </c>
      <c r="L186" s="31" t="inlineStr">
        <is>
          <t>Not Received</t>
        </is>
      </c>
      <c r="M186" s="31" t="inlineStr">
        <is>
          <t>Not Received</t>
        </is>
      </c>
      <c r="N186" s="31" t="inlineStr">
        <is>
          <t>Not Received</t>
        </is>
      </c>
      <c r="O186" s="32">
        <f>IF($B186="","",COUNTIF(G186:N186,"Accepted")+COUNTIF(G186:N186,"Received")+COUNTIF(G186:N186,"Needs Correction"))</f>
        <v/>
      </c>
      <c r="P186" s="32">
        <f>IF($B186="","",SUMPRODUCT(((G186:N186="Accepted")+(G186:N186="Not Needed"))*(Settings!$C$11:$J$11="Yes")))</f>
        <v/>
      </c>
      <c r="Q186" s="32">
        <f>IF($B186="","",SUMPRODUCT(((G186:N186="Accepted")+(G186:N186="Not Needed"))*(Settings!$C$15:$J$15="Yes")))</f>
        <v/>
      </c>
      <c r="R186" s="33">
        <f>IF($B186="","",IF($D186="No","No PTO/PTA",IF($D186&lt;&gt;"Yes","Not Yet Confirmed",IF($Q186&gt;=Settings!$C$13,"Legalized",IF($P186&gt;=Settings!$C$12,"Registered",IF($O186&gt;0,"In Progress","Not Started"))))))</f>
        <v/>
      </c>
      <c r="S186" s="32">
        <f>IF($B186="","",COUNTIF(G186:N186,"Received"))</f>
        <v/>
      </c>
      <c r="T186" s="32">
        <f>IF($B186="","",COUNTIF(G186:N186,"Needs Correction"))</f>
        <v/>
      </c>
      <c r="U186" s="33">
        <f>IF($B186="","",IF($D186&lt;&gt;"Yes","",IF($Q186&gt;=Settings!$C$13,"None",MID(IF(AND(G186&lt;&gt;"Accepted",G186&lt;&gt;"Not Needed",Settings!$C$15="Yes"),", "&amp;G$1,"")&amp;IF(AND(H186&lt;&gt;"Accepted",H186&lt;&gt;"Not Needed",Settings!$D$15="Yes"),", "&amp;H$1,"")&amp;IF(AND(I186&lt;&gt;"Accepted",I186&lt;&gt;"Not Needed",Settings!$E$15="Yes"),", "&amp;I$1,"")&amp;IF(AND(J186&lt;&gt;"Accepted",J186&lt;&gt;"Not Needed",Settings!$F$15="Yes"),", "&amp;J$1,"")&amp;IF(AND(K186&lt;&gt;"Accepted",K186&lt;&gt;"Not Needed",Settings!$G$15="Yes"),", "&amp;K$1,"")&amp;IF(AND(L186&lt;&gt;"Accepted",L186&lt;&gt;"Not Needed",Settings!$H$15="Yes"),", "&amp;L$1,"")&amp;IF(AND(M186&lt;&gt;"Accepted",M186&lt;&gt;"Not Needed",Settings!$I$15="Yes"),", "&amp;M$1,"")&amp;IF(AND(N186&lt;&gt;"Accepted",N186&lt;&gt;"Not Needed",Settings!$J$15="Yes"),", "&amp;N$1,""),3,400))))</f>
        <v/>
      </c>
    </row>
    <row r="187" ht="15" customHeight="1" s="21">
      <c r="A187" s="31" t="inlineStr">
        <is>
          <t>2026-27</t>
        </is>
      </c>
      <c r="B187" s="31" t="inlineStr">
        <is>
          <t>Secondary DAEP</t>
        </is>
      </c>
      <c r="C187" s="31" t="inlineStr">
        <is>
          <t>COSO</t>
        </is>
      </c>
      <c r="D187" s="31" t="inlineStr">
        <is>
          <t>No</t>
        </is>
      </c>
      <c r="E187" s="31" t="n"/>
      <c r="F187" s="31" t="n"/>
      <c r="G187" s="31" t="inlineStr">
        <is>
          <t>Not Received</t>
        </is>
      </c>
      <c r="H187" s="31" t="inlineStr">
        <is>
          <t>Not Received</t>
        </is>
      </c>
      <c r="I187" s="31" t="inlineStr">
        <is>
          <t>Not Received</t>
        </is>
      </c>
      <c r="J187" s="31" t="inlineStr">
        <is>
          <t>Not Received</t>
        </is>
      </c>
      <c r="K187" s="31" t="inlineStr">
        <is>
          <t>Not Received</t>
        </is>
      </c>
      <c r="L187" s="31" t="inlineStr">
        <is>
          <t>Not Received</t>
        </is>
      </c>
      <c r="M187" s="31" t="inlineStr">
        <is>
          <t>Not Received</t>
        </is>
      </c>
      <c r="N187" s="31" t="inlineStr">
        <is>
          <t>Not Received</t>
        </is>
      </c>
      <c r="O187" s="32">
        <f>IF($B187="","",COUNTIF(G187:N187,"Accepted")+COUNTIF(G187:N187,"Received")+COUNTIF(G187:N187,"Needs Correction"))</f>
        <v/>
      </c>
      <c r="P187" s="32">
        <f>IF($B187="","",SUMPRODUCT(((G187:N187="Accepted")+(G187:N187="Not Needed"))*(Settings!$C$11:$J$11="Yes")))</f>
        <v/>
      </c>
      <c r="Q187" s="32">
        <f>IF($B187="","",SUMPRODUCT(((G187:N187="Accepted")+(G187:N187="Not Needed"))*(Settings!$C$15:$J$15="Yes")))</f>
        <v/>
      </c>
      <c r="R187" s="33">
        <f>IF($B187="","",IF($D187="No","No PTO/PTA",IF($D187&lt;&gt;"Yes","Not Yet Confirmed",IF($Q187&gt;=Settings!$C$13,"Legalized",IF($P187&gt;=Settings!$C$12,"Registered",IF($O187&gt;0,"In Progress","Not Started"))))))</f>
        <v/>
      </c>
      <c r="S187" s="32">
        <f>IF($B187="","",COUNTIF(G187:N187,"Received"))</f>
        <v/>
      </c>
      <c r="T187" s="32">
        <f>IF($B187="","",COUNTIF(G187:N187,"Needs Correction"))</f>
        <v/>
      </c>
      <c r="U187" s="33">
        <f>IF($B187="","",IF($D187&lt;&gt;"Yes","",IF($Q187&gt;=Settings!$C$13,"None",MID(IF(AND(G187&lt;&gt;"Accepted",G187&lt;&gt;"Not Needed",Settings!$C$15="Yes"),", "&amp;G$1,"")&amp;IF(AND(H187&lt;&gt;"Accepted",H187&lt;&gt;"Not Needed",Settings!$D$15="Yes"),", "&amp;H$1,"")&amp;IF(AND(I187&lt;&gt;"Accepted",I187&lt;&gt;"Not Needed",Settings!$E$15="Yes"),", "&amp;I$1,"")&amp;IF(AND(J187&lt;&gt;"Accepted",J187&lt;&gt;"Not Needed",Settings!$F$15="Yes"),", "&amp;J$1,"")&amp;IF(AND(K187&lt;&gt;"Accepted",K187&lt;&gt;"Not Needed",Settings!$G$15="Yes"),", "&amp;K$1,"")&amp;IF(AND(L187&lt;&gt;"Accepted",L187&lt;&gt;"Not Needed",Settings!$H$15="Yes"),", "&amp;L$1,"")&amp;IF(AND(M187&lt;&gt;"Accepted",M187&lt;&gt;"Not Needed",Settings!$I$15="Yes"),", "&amp;M$1,"")&amp;IF(AND(N187&lt;&gt;"Accepted",N187&lt;&gt;"Not Needed",Settings!$J$15="Yes"),", "&amp;N$1,""),3,400))))</f>
        <v/>
      </c>
    </row>
    <row r="188" ht="15" customHeight="1" s="21">
      <c r="A188" s="31" t="inlineStr">
        <is>
          <t>2026-27</t>
        </is>
      </c>
      <c r="B188" s="31" t="inlineStr">
        <is>
          <t>Harris JR ES</t>
        </is>
      </c>
      <c r="C188" s="31" t="inlineStr">
        <is>
          <t>NES Elementary</t>
        </is>
      </c>
      <c r="D188" s="31" t="inlineStr">
        <is>
          <t>No</t>
        </is>
      </c>
      <c r="E188" s="31" t="n"/>
      <c r="F188" s="31" t="n"/>
      <c r="G188" s="31" t="inlineStr">
        <is>
          <t>Not Received</t>
        </is>
      </c>
      <c r="H188" s="31" t="inlineStr">
        <is>
          <t>Not Received</t>
        </is>
      </c>
      <c r="I188" s="31" t="inlineStr">
        <is>
          <t>Not Received</t>
        </is>
      </c>
      <c r="J188" s="31" t="inlineStr">
        <is>
          <t>Not Received</t>
        </is>
      </c>
      <c r="K188" s="31" t="inlineStr">
        <is>
          <t>Not Received</t>
        </is>
      </c>
      <c r="L188" s="31" t="inlineStr">
        <is>
          <t>Not Received</t>
        </is>
      </c>
      <c r="M188" s="31" t="inlineStr">
        <is>
          <t>Not Received</t>
        </is>
      </c>
      <c r="N188" s="31" t="inlineStr">
        <is>
          <t>Not Received</t>
        </is>
      </c>
      <c r="O188" s="32">
        <f>IF($B188="","",COUNTIF(G188:N188,"Accepted")+COUNTIF(G188:N188,"Received")+COUNTIF(G188:N188,"Needs Correction"))</f>
        <v/>
      </c>
      <c r="P188" s="32">
        <f>IF($B188="","",SUMPRODUCT(((G188:N188="Accepted")+(G188:N188="Not Needed"))*(Settings!$C$11:$J$11="Yes")))</f>
        <v/>
      </c>
      <c r="Q188" s="32">
        <f>IF($B188="","",SUMPRODUCT(((G188:N188="Accepted")+(G188:N188="Not Needed"))*(Settings!$C$15:$J$15="Yes")))</f>
        <v/>
      </c>
      <c r="R188" s="33">
        <f>IF($B188="","",IF($D188="No","No PTO/PTA",IF($D188&lt;&gt;"Yes","Not Yet Confirmed",IF($Q188&gt;=Settings!$C$13,"Legalized",IF($P188&gt;=Settings!$C$12,"Registered",IF($O188&gt;0,"In Progress","Not Started"))))))</f>
        <v/>
      </c>
      <c r="S188" s="32">
        <f>IF($B188="","",COUNTIF(G188:N188,"Received"))</f>
        <v/>
      </c>
      <c r="T188" s="32">
        <f>IF($B188="","",COUNTIF(G188:N188,"Needs Correction"))</f>
        <v/>
      </c>
      <c r="U188" s="33">
        <f>IF($B188="","",IF($D188&lt;&gt;"Yes","",IF($Q188&gt;=Settings!$C$13,"None",MID(IF(AND(G188&lt;&gt;"Accepted",G188&lt;&gt;"Not Needed",Settings!$C$15="Yes"),", "&amp;G$1,"")&amp;IF(AND(H188&lt;&gt;"Accepted",H188&lt;&gt;"Not Needed",Settings!$D$15="Yes"),", "&amp;H$1,"")&amp;IF(AND(I188&lt;&gt;"Accepted",I188&lt;&gt;"Not Needed",Settings!$E$15="Yes"),", "&amp;I$1,"")&amp;IF(AND(J188&lt;&gt;"Accepted",J188&lt;&gt;"Not Needed",Settings!$F$15="Yes"),", "&amp;J$1,"")&amp;IF(AND(K188&lt;&gt;"Accepted",K188&lt;&gt;"Not Needed",Settings!$G$15="Yes"),", "&amp;K$1,"")&amp;IF(AND(L188&lt;&gt;"Accepted",L188&lt;&gt;"Not Needed",Settings!$H$15="Yes"),", "&amp;L$1,"")&amp;IF(AND(M188&lt;&gt;"Accepted",M188&lt;&gt;"Not Needed",Settings!$I$15="Yes"),", "&amp;M$1,"")&amp;IF(AND(N188&lt;&gt;"Accepted",N188&lt;&gt;"Not Needed",Settings!$J$15="Yes"),", "&amp;N$1,""),3,400))))</f>
        <v/>
      </c>
    </row>
    <row r="189" ht="15" customHeight="1" s="21">
      <c r="A189" s="31" t="inlineStr">
        <is>
          <t>2026-27</t>
        </is>
      </c>
      <c r="B189" s="31" t="inlineStr">
        <is>
          <t>Hartman MS</t>
        </is>
      </c>
      <c r="C189" s="31" t="inlineStr">
        <is>
          <t>NES Secondary</t>
        </is>
      </c>
      <c r="D189" s="31" t="inlineStr">
        <is>
          <t>No</t>
        </is>
      </c>
      <c r="E189" s="31" t="n"/>
      <c r="F189" s="31" t="n"/>
      <c r="G189" s="31" t="inlineStr">
        <is>
          <t>Not Received</t>
        </is>
      </c>
      <c r="H189" s="31" t="inlineStr">
        <is>
          <t>Not Received</t>
        </is>
      </c>
      <c r="I189" s="31" t="inlineStr">
        <is>
          <t>Not Received</t>
        </is>
      </c>
      <c r="J189" s="31" t="inlineStr">
        <is>
          <t>Not Received</t>
        </is>
      </c>
      <c r="K189" s="31" t="inlineStr">
        <is>
          <t>Not Received</t>
        </is>
      </c>
      <c r="L189" s="31" t="inlineStr">
        <is>
          <t>Not Received</t>
        </is>
      </c>
      <c r="M189" s="31" t="inlineStr">
        <is>
          <t>Not Received</t>
        </is>
      </c>
      <c r="N189" s="31" t="inlineStr">
        <is>
          <t>Not Received</t>
        </is>
      </c>
      <c r="O189" s="32">
        <f>IF($B189="","",COUNTIF(G189:N189,"Accepted")+COUNTIF(G189:N189,"Received")+COUNTIF(G189:N189,"Needs Correction"))</f>
        <v/>
      </c>
      <c r="P189" s="32">
        <f>IF($B189="","",SUMPRODUCT(((G189:N189="Accepted")+(G189:N189="Not Needed"))*(Settings!$C$11:$J$11="Yes")))</f>
        <v/>
      </c>
      <c r="Q189" s="32">
        <f>IF($B189="","",SUMPRODUCT(((G189:N189="Accepted")+(G189:N189="Not Needed"))*(Settings!$C$15:$J$15="Yes")))</f>
        <v/>
      </c>
      <c r="R189" s="33">
        <f>IF($B189="","",IF($D189="No","No PTO/PTA",IF($D189&lt;&gt;"Yes","Not Yet Confirmed",IF($Q189&gt;=Settings!$C$13,"Legalized",IF($P189&gt;=Settings!$C$12,"Registered",IF($O189&gt;0,"In Progress","Not Started"))))))</f>
        <v/>
      </c>
      <c r="S189" s="32">
        <f>IF($B189="","",COUNTIF(G189:N189,"Received"))</f>
        <v/>
      </c>
      <c r="T189" s="32">
        <f>IF($B189="","",COUNTIF(G189:N189,"Needs Correction"))</f>
        <v/>
      </c>
      <c r="U189" s="33">
        <f>IF($B189="","",IF($D189&lt;&gt;"Yes","",IF($Q189&gt;=Settings!$C$13,"None",MID(IF(AND(G189&lt;&gt;"Accepted",G189&lt;&gt;"Not Needed",Settings!$C$15="Yes"),", "&amp;G$1,"")&amp;IF(AND(H189&lt;&gt;"Accepted",H189&lt;&gt;"Not Needed",Settings!$D$15="Yes"),", "&amp;H$1,"")&amp;IF(AND(I189&lt;&gt;"Accepted",I189&lt;&gt;"Not Needed",Settings!$E$15="Yes"),", "&amp;I$1,"")&amp;IF(AND(J189&lt;&gt;"Accepted",J189&lt;&gt;"Not Needed",Settings!$F$15="Yes"),", "&amp;J$1,"")&amp;IF(AND(K189&lt;&gt;"Accepted",K189&lt;&gt;"Not Needed",Settings!$G$15="Yes"),", "&amp;K$1,"")&amp;IF(AND(L189&lt;&gt;"Accepted",L189&lt;&gt;"Not Needed",Settings!$H$15="Yes"),", "&amp;L$1,"")&amp;IF(AND(M189&lt;&gt;"Accepted",M189&lt;&gt;"Not Needed",Settings!$I$15="Yes"),", "&amp;M$1,"")&amp;IF(AND(N189&lt;&gt;"Accepted",N189&lt;&gt;"Not Needed",Settings!$J$15="Yes"),", "&amp;N$1,""),3,400))))</f>
        <v/>
      </c>
    </row>
    <row r="190" ht="15" customHeight="1" s="21">
      <c r="A190" s="31" t="inlineStr">
        <is>
          <t>2026-27</t>
        </is>
      </c>
      <c r="B190" s="31" t="inlineStr">
        <is>
          <t>Henry MS</t>
        </is>
      </c>
      <c r="C190" s="31" t="inlineStr">
        <is>
          <t>NES Secondary</t>
        </is>
      </c>
      <c r="D190" s="31" t="inlineStr">
        <is>
          <t>No</t>
        </is>
      </c>
      <c r="E190" s="31" t="n"/>
      <c r="F190" s="31" t="n"/>
      <c r="G190" s="31" t="inlineStr">
        <is>
          <t>Not Received</t>
        </is>
      </c>
      <c r="H190" s="31" t="inlineStr">
        <is>
          <t>Not Received</t>
        </is>
      </c>
      <c r="I190" s="31" t="inlineStr">
        <is>
          <t>Not Received</t>
        </is>
      </c>
      <c r="J190" s="31" t="inlineStr">
        <is>
          <t>Not Received</t>
        </is>
      </c>
      <c r="K190" s="31" t="inlineStr">
        <is>
          <t>Not Received</t>
        </is>
      </c>
      <c r="L190" s="31" t="inlineStr">
        <is>
          <t>Not Received</t>
        </is>
      </c>
      <c r="M190" s="31" t="inlineStr">
        <is>
          <t>Not Received</t>
        </is>
      </c>
      <c r="N190" s="31" t="inlineStr">
        <is>
          <t>Not Received</t>
        </is>
      </c>
      <c r="O190" s="32">
        <f>IF($B190="","",COUNTIF(G190:N190,"Accepted")+COUNTIF(G190:N190,"Received")+COUNTIF(G190:N190,"Needs Correction"))</f>
        <v/>
      </c>
      <c r="P190" s="32">
        <f>IF($B190="","",SUMPRODUCT(((G190:N190="Accepted")+(G190:N190="Not Needed"))*(Settings!$C$11:$J$11="Yes")))</f>
        <v/>
      </c>
      <c r="Q190" s="32">
        <f>IF($B190="","",SUMPRODUCT(((G190:N190="Accepted")+(G190:N190="Not Needed"))*(Settings!$C$15:$J$15="Yes")))</f>
        <v/>
      </c>
      <c r="R190" s="33">
        <f>IF($B190="","",IF($D190="No","No PTO/PTA",IF($D190&lt;&gt;"Yes","Not Yet Confirmed",IF($Q190&gt;=Settings!$C$13,"Legalized",IF($P190&gt;=Settings!$C$12,"Registered",IF($O190&gt;0,"In Progress","Not Started"))))))</f>
        <v/>
      </c>
      <c r="S190" s="32">
        <f>IF($B190="","",COUNTIF(G190:N190,"Received"))</f>
        <v/>
      </c>
      <c r="T190" s="32">
        <f>IF($B190="","",COUNTIF(G190:N190,"Needs Correction"))</f>
        <v/>
      </c>
      <c r="U190" s="33">
        <f>IF($B190="","",IF($D190&lt;&gt;"Yes","",IF($Q190&gt;=Settings!$C$13,"None",MID(IF(AND(G190&lt;&gt;"Accepted",G190&lt;&gt;"Not Needed",Settings!$C$15="Yes"),", "&amp;G$1,"")&amp;IF(AND(H190&lt;&gt;"Accepted",H190&lt;&gt;"Not Needed",Settings!$D$15="Yes"),", "&amp;H$1,"")&amp;IF(AND(I190&lt;&gt;"Accepted",I190&lt;&gt;"Not Needed",Settings!$E$15="Yes"),", "&amp;I$1,"")&amp;IF(AND(J190&lt;&gt;"Accepted",J190&lt;&gt;"Not Needed",Settings!$F$15="Yes"),", "&amp;J$1,"")&amp;IF(AND(K190&lt;&gt;"Accepted",K190&lt;&gt;"Not Needed",Settings!$G$15="Yes"),", "&amp;K$1,"")&amp;IF(AND(L190&lt;&gt;"Accepted",L190&lt;&gt;"Not Needed",Settings!$H$15="Yes"),", "&amp;L$1,"")&amp;IF(AND(M190&lt;&gt;"Accepted",M190&lt;&gt;"Not Needed",Settings!$I$15="Yes"),", "&amp;M$1,"")&amp;IF(AND(N190&lt;&gt;"Accepted",N190&lt;&gt;"Not Needed",Settings!$J$15="Yes"),", "&amp;N$1,""),3,400))))</f>
        <v/>
      </c>
    </row>
    <row r="191" ht="15" customHeight="1" s="21">
      <c r="A191" s="31" t="inlineStr">
        <is>
          <t>2026-27</t>
        </is>
      </c>
      <c r="B191" s="31" t="inlineStr">
        <is>
          <t>Hobby ES</t>
        </is>
      </c>
      <c r="C191" s="31" t="inlineStr">
        <is>
          <t>NES Elementary</t>
        </is>
      </c>
      <c r="D191" s="31" t="inlineStr">
        <is>
          <t>No</t>
        </is>
      </c>
      <c r="E191" s="31" t="n"/>
      <c r="F191" s="31" t="n"/>
      <c r="G191" s="31" t="inlineStr">
        <is>
          <t>Not Received</t>
        </is>
      </c>
      <c r="H191" s="31" t="inlineStr">
        <is>
          <t>Not Received</t>
        </is>
      </c>
      <c r="I191" s="31" t="inlineStr">
        <is>
          <t>Not Received</t>
        </is>
      </c>
      <c r="J191" s="31" t="inlineStr">
        <is>
          <t>Not Received</t>
        </is>
      </c>
      <c r="K191" s="31" t="inlineStr">
        <is>
          <t>Not Received</t>
        </is>
      </c>
      <c r="L191" s="31" t="inlineStr">
        <is>
          <t>Not Received</t>
        </is>
      </c>
      <c r="M191" s="31" t="inlineStr">
        <is>
          <t>Not Received</t>
        </is>
      </c>
      <c r="N191" s="31" t="inlineStr">
        <is>
          <t>Not Received</t>
        </is>
      </c>
      <c r="O191" s="32">
        <f>IF($B191="","",COUNTIF(G191:N191,"Accepted")+COUNTIF(G191:N191,"Received")+COUNTIF(G191:N191,"Needs Correction"))</f>
        <v/>
      </c>
      <c r="P191" s="32">
        <f>IF($B191="","",SUMPRODUCT(((G191:N191="Accepted")+(G191:N191="Not Needed"))*(Settings!$C$11:$J$11="Yes")))</f>
        <v/>
      </c>
      <c r="Q191" s="32">
        <f>IF($B191="","",SUMPRODUCT(((G191:N191="Accepted")+(G191:N191="Not Needed"))*(Settings!$C$15:$J$15="Yes")))</f>
        <v/>
      </c>
      <c r="R191" s="33">
        <f>IF($B191="","",IF($D191="No","No PTO/PTA",IF($D191&lt;&gt;"Yes","Not Yet Confirmed",IF($Q191&gt;=Settings!$C$13,"Legalized",IF($P191&gt;=Settings!$C$12,"Registered",IF($O191&gt;0,"In Progress","Not Started"))))))</f>
        <v/>
      </c>
      <c r="S191" s="32">
        <f>IF($B191="","",COUNTIF(G191:N191,"Received"))</f>
        <v/>
      </c>
      <c r="T191" s="32">
        <f>IF($B191="","",COUNTIF(G191:N191,"Needs Correction"))</f>
        <v/>
      </c>
      <c r="U191" s="33">
        <f>IF($B191="","",IF($D191&lt;&gt;"Yes","",IF($Q191&gt;=Settings!$C$13,"None",MID(IF(AND(G191&lt;&gt;"Accepted",G191&lt;&gt;"Not Needed",Settings!$C$15="Yes"),", "&amp;G$1,"")&amp;IF(AND(H191&lt;&gt;"Accepted",H191&lt;&gt;"Not Needed",Settings!$D$15="Yes"),", "&amp;H$1,"")&amp;IF(AND(I191&lt;&gt;"Accepted",I191&lt;&gt;"Not Needed",Settings!$E$15="Yes"),", "&amp;I$1,"")&amp;IF(AND(J191&lt;&gt;"Accepted",J191&lt;&gt;"Not Needed",Settings!$F$15="Yes"),", "&amp;J$1,"")&amp;IF(AND(K191&lt;&gt;"Accepted",K191&lt;&gt;"Not Needed",Settings!$G$15="Yes"),", "&amp;K$1,"")&amp;IF(AND(L191&lt;&gt;"Accepted",L191&lt;&gt;"Not Needed",Settings!$H$15="Yes"),", "&amp;L$1,"")&amp;IF(AND(M191&lt;&gt;"Accepted",M191&lt;&gt;"Not Needed",Settings!$I$15="Yes"),", "&amp;M$1,"")&amp;IF(AND(N191&lt;&gt;"Accepted",N191&lt;&gt;"Not Needed",Settings!$J$15="Yes"),", "&amp;N$1,""),3,400))))</f>
        <v/>
      </c>
    </row>
    <row r="192" ht="15" customHeight="1" s="21">
      <c r="A192" s="31" t="inlineStr">
        <is>
          <t>2026-27</t>
        </is>
      </c>
      <c r="B192" s="31" t="inlineStr">
        <is>
          <t>Holland MS</t>
        </is>
      </c>
      <c r="C192" s="31" t="inlineStr">
        <is>
          <t>NES Secondary</t>
        </is>
      </c>
      <c r="D192" s="31" t="inlineStr">
        <is>
          <t>No</t>
        </is>
      </c>
      <c r="E192" s="31" t="n"/>
      <c r="F192" s="31" t="n"/>
      <c r="G192" s="31" t="inlineStr">
        <is>
          <t>Not Received</t>
        </is>
      </c>
      <c r="H192" s="31" t="inlineStr">
        <is>
          <t>Not Received</t>
        </is>
      </c>
      <c r="I192" s="31" t="inlineStr">
        <is>
          <t>Not Received</t>
        </is>
      </c>
      <c r="J192" s="31" t="inlineStr">
        <is>
          <t>Not Received</t>
        </is>
      </c>
      <c r="K192" s="31" t="inlineStr">
        <is>
          <t>Not Received</t>
        </is>
      </c>
      <c r="L192" s="31" t="inlineStr">
        <is>
          <t>Not Received</t>
        </is>
      </c>
      <c r="M192" s="31" t="inlineStr">
        <is>
          <t>Not Received</t>
        </is>
      </c>
      <c r="N192" s="31" t="inlineStr">
        <is>
          <t>Not Received</t>
        </is>
      </c>
      <c r="O192" s="32">
        <f>IF($B192="","",COUNTIF(G192:N192,"Accepted")+COUNTIF(G192:N192,"Received")+COUNTIF(G192:N192,"Needs Correction"))</f>
        <v/>
      </c>
      <c r="P192" s="32">
        <f>IF($B192="","",SUMPRODUCT(((G192:N192="Accepted")+(G192:N192="Not Needed"))*(Settings!$C$11:$J$11="Yes")))</f>
        <v/>
      </c>
      <c r="Q192" s="32">
        <f>IF($B192="","",SUMPRODUCT(((G192:N192="Accepted")+(G192:N192="Not Needed"))*(Settings!$C$15:$J$15="Yes")))</f>
        <v/>
      </c>
      <c r="R192" s="33">
        <f>IF($B192="","",IF($D192="No","No PTO/PTA",IF($D192&lt;&gt;"Yes","Not Yet Confirmed",IF($Q192&gt;=Settings!$C$13,"Legalized",IF($P192&gt;=Settings!$C$12,"Registered",IF($O192&gt;0,"In Progress","Not Started"))))))</f>
        <v/>
      </c>
      <c r="S192" s="32">
        <f>IF($B192="","",COUNTIF(G192:N192,"Received"))</f>
        <v/>
      </c>
      <c r="T192" s="32">
        <f>IF($B192="","",COUNTIF(G192:N192,"Needs Correction"))</f>
        <v/>
      </c>
      <c r="U192" s="33">
        <f>IF($B192="","",IF($D192&lt;&gt;"Yes","",IF($Q192&gt;=Settings!$C$13,"None",MID(IF(AND(G192&lt;&gt;"Accepted",G192&lt;&gt;"Not Needed",Settings!$C$15="Yes"),", "&amp;G$1,"")&amp;IF(AND(H192&lt;&gt;"Accepted",H192&lt;&gt;"Not Needed",Settings!$D$15="Yes"),", "&amp;H$1,"")&amp;IF(AND(I192&lt;&gt;"Accepted",I192&lt;&gt;"Not Needed",Settings!$E$15="Yes"),", "&amp;I$1,"")&amp;IF(AND(J192&lt;&gt;"Accepted",J192&lt;&gt;"Not Needed",Settings!$F$15="Yes"),", "&amp;J$1,"")&amp;IF(AND(K192&lt;&gt;"Accepted",K192&lt;&gt;"Not Needed",Settings!$G$15="Yes"),", "&amp;K$1,"")&amp;IF(AND(L192&lt;&gt;"Accepted",L192&lt;&gt;"Not Needed",Settings!$H$15="Yes"),", "&amp;L$1,"")&amp;IF(AND(M192&lt;&gt;"Accepted",M192&lt;&gt;"Not Needed",Settings!$I$15="Yes"),", "&amp;M$1,"")&amp;IF(AND(N192&lt;&gt;"Accepted",N192&lt;&gt;"Not Needed",Settings!$J$15="Yes"),", "&amp;N$1,""),3,400))))</f>
        <v/>
      </c>
    </row>
    <row r="193" ht="15" customHeight="1" s="21">
      <c r="A193" s="31" t="inlineStr">
        <is>
          <t>2026-27</t>
        </is>
      </c>
      <c r="B193" s="31" t="inlineStr">
        <is>
          <t>Isaacs ES</t>
        </is>
      </c>
      <c r="C193" s="31" t="inlineStr">
        <is>
          <t>NES Elementary</t>
        </is>
      </c>
      <c r="D193" s="31" t="inlineStr">
        <is>
          <t>No</t>
        </is>
      </c>
      <c r="E193" s="31" t="n"/>
      <c r="F193" s="31" t="n"/>
      <c r="G193" s="31" t="inlineStr">
        <is>
          <t>Not Received</t>
        </is>
      </c>
      <c r="H193" s="31" t="inlineStr">
        <is>
          <t>Not Received</t>
        </is>
      </c>
      <c r="I193" s="31" t="inlineStr">
        <is>
          <t>Not Received</t>
        </is>
      </c>
      <c r="J193" s="31" t="inlineStr">
        <is>
          <t>Not Received</t>
        </is>
      </c>
      <c r="K193" s="31" t="inlineStr">
        <is>
          <t>Not Received</t>
        </is>
      </c>
      <c r="L193" s="31" t="inlineStr">
        <is>
          <t>Not Received</t>
        </is>
      </c>
      <c r="M193" s="31" t="inlineStr">
        <is>
          <t>Not Received</t>
        </is>
      </c>
      <c r="N193" s="31" t="inlineStr">
        <is>
          <t>Not Received</t>
        </is>
      </c>
      <c r="O193" s="32">
        <f>IF($B193="","",COUNTIF(G193:N193,"Accepted")+COUNTIF(G193:N193,"Received")+COUNTIF(G193:N193,"Needs Correction"))</f>
        <v/>
      </c>
      <c r="P193" s="32">
        <f>IF($B193="","",SUMPRODUCT(((G193:N193="Accepted")+(G193:N193="Not Needed"))*(Settings!$C$11:$J$11="Yes")))</f>
        <v/>
      </c>
      <c r="Q193" s="32">
        <f>IF($B193="","",SUMPRODUCT(((G193:N193="Accepted")+(G193:N193="Not Needed"))*(Settings!$C$15:$J$15="Yes")))</f>
        <v/>
      </c>
      <c r="R193" s="33">
        <f>IF($B193="","",IF($D193="No","No PTO/PTA",IF($D193&lt;&gt;"Yes","Not Yet Confirmed",IF($Q193&gt;=Settings!$C$13,"Legalized",IF($P193&gt;=Settings!$C$12,"Registered",IF($O193&gt;0,"In Progress","Not Started"))))))</f>
        <v/>
      </c>
      <c r="S193" s="32">
        <f>IF($B193="","",COUNTIF(G193:N193,"Received"))</f>
        <v/>
      </c>
      <c r="T193" s="32">
        <f>IF($B193="","",COUNTIF(G193:N193,"Needs Correction"))</f>
        <v/>
      </c>
      <c r="U193" s="33">
        <f>IF($B193="","",IF($D193&lt;&gt;"Yes","",IF($Q193&gt;=Settings!$C$13,"None",MID(IF(AND(G193&lt;&gt;"Accepted",G193&lt;&gt;"Not Needed",Settings!$C$15="Yes"),", "&amp;G$1,"")&amp;IF(AND(H193&lt;&gt;"Accepted",H193&lt;&gt;"Not Needed",Settings!$D$15="Yes"),", "&amp;H$1,"")&amp;IF(AND(I193&lt;&gt;"Accepted",I193&lt;&gt;"Not Needed",Settings!$E$15="Yes"),", "&amp;I$1,"")&amp;IF(AND(J193&lt;&gt;"Accepted",J193&lt;&gt;"Not Needed",Settings!$F$15="Yes"),", "&amp;J$1,"")&amp;IF(AND(K193&lt;&gt;"Accepted",K193&lt;&gt;"Not Needed",Settings!$G$15="Yes"),", "&amp;K$1,"")&amp;IF(AND(L193&lt;&gt;"Accepted",L193&lt;&gt;"Not Needed",Settings!$H$15="Yes"),", "&amp;L$1,"")&amp;IF(AND(M193&lt;&gt;"Accepted",M193&lt;&gt;"Not Needed",Settings!$I$15="Yes"),", "&amp;M$1,"")&amp;IF(AND(N193&lt;&gt;"Accepted",N193&lt;&gt;"Not Needed",Settings!$J$15="Yes"),", "&amp;N$1,""),3,400))))</f>
        <v/>
      </c>
    </row>
    <row r="194" ht="15" customHeight="1" s="21">
      <c r="A194" s="31" t="inlineStr">
        <is>
          <t>2026-27</t>
        </is>
      </c>
      <c r="B194" s="31" t="inlineStr">
        <is>
          <t>Janowski ES</t>
        </is>
      </c>
      <c r="C194" s="31" t="inlineStr">
        <is>
          <t>EAS Elementary</t>
        </is>
      </c>
      <c r="D194" s="31" t="inlineStr">
        <is>
          <t>No</t>
        </is>
      </c>
      <c r="E194" s="31" t="n"/>
      <c r="F194" s="31" t="n"/>
      <c r="G194" s="31" t="inlineStr">
        <is>
          <t>Not Received</t>
        </is>
      </c>
      <c r="H194" s="31" t="inlineStr">
        <is>
          <t>Not Received</t>
        </is>
      </c>
      <c r="I194" s="31" t="inlineStr">
        <is>
          <t>Not Received</t>
        </is>
      </c>
      <c r="J194" s="31" t="inlineStr">
        <is>
          <t>Not Received</t>
        </is>
      </c>
      <c r="K194" s="31" t="inlineStr">
        <is>
          <t>Not Received</t>
        </is>
      </c>
      <c r="L194" s="31" t="inlineStr">
        <is>
          <t>Not Received</t>
        </is>
      </c>
      <c r="M194" s="31" t="inlineStr">
        <is>
          <t>Not Received</t>
        </is>
      </c>
      <c r="N194" s="31" t="inlineStr">
        <is>
          <t>Not Received</t>
        </is>
      </c>
      <c r="O194" s="32">
        <f>IF($B194="","",COUNTIF(G194:N194,"Accepted")+COUNTIF(G194:N194,"Received")+COUNTIF(G194:N194,"Needs Correction"))</f>
        <v/>
      </c>
      <c r="P194" s="32">
        <f>IF($B194="","",SUMPRODUCT(((G194:N194="Accepted")+(G194:N194="Not Needed"))*(Settings!$C$11:$J$11="Yes")))</f>
        <v/>
      </c>
      <c r="Q194" s="32">
        <f>IF($B194="","",SUMPRODUCT(((G194:N194="Accepted")+(G194:N194="Not Needed"))*(Settings!$C$15:$J$15="Yes")))</f>
        <v/>
      </c>
      <c r="R194" s="33">
        <f>IF($B194="","",IF($D194="No","No PTO/PTA",IF($D194&lt;&gt;"Yes","Not Yet Confirmed",IF($Q194&gt;=Settings!$C$13,"Legalized",IF($P194&gt;=Settings!$C$12,"Registered",IF($O194&gt;0,"In Progress","Not Started"))))))</f>
        <v/>
      </c>
      <c r="S194" s="32">
        <f>IF($B194="","",COUNTIF(G194:N194,"Received"))</f>
        <v/>
      </c>
      <c r="T194" s="32">
        <f>IF($B194="","",COUNTIF(G194:N194,"Needs Correction"))</f>
        <v/>
      </c>
      <c r="U194" s="33">
        <f>IF($B194="","",IF($D194&lt;&gt;"Yes","",IF($Q194&gt;=Settings!$C$13,"None",MID(IF(AND(G194&lt;&gt;"Accepted",G194&lt;&gt;"Not Needed",Settings!$C$15="Yes"),", "&amp;G$1,"")&amp;IF(AND(H194&lt;&gt;"Accepted",H194&lt;&gt;"Not Needed",Settings!$D$15="Yes"),", "&amp;H$1,"")&amp;IF(AND(I194&lt;&gt;"Accepted",I194&lt;&gt;"Not Needed",Settings!$E$15="Yes"),", "&amp;I$1,"")&amp;IF(AND(J194&lt;&gt;"Accepted",J194&lt;&gt;"Not Needed",Settings!$F$15="Yes"),", "&amp;J$1,"")&amp;IF(AND(K194&lt;&gt;"Accepted",K194&lt;&gt;"Not Needed",Settings!$G$15="Yes"),", "&amp;K$1,"")&amp;IF(AND(L194&lt;&gt;"Accepted",L194&lt;&gt;"Not Needed",Settings!$H$15="Yes"),", "&amp;L$1,"")&amp;IF(AND(M194&lt;&gt;"Accepted",M194&lt;&gt;"Not Needed",Settings!$I$15="Yes"),", "&amp;M$1,"")&amp;IF(AND(N194&lt;&gt;"Accepted",N194&lt;&gt;"Not Needed",Settings!$J$15="Yes"),", "&amp;N$1,""),3,400))))</f>
        <v/>
      </c>
    </row>
    <row r="195" ht="15" customHeight="1" s="21">
      <c r="A195" s="31" t="inlineStr">
        <is>
          <t>2026-27</t>
        </is>
      </c>
      <c r="B195" s="31" t="inlineStr">
        <is>
          <t>Jefferson ES</t>
        </is>
      </c>
      <c r="C195" s="31" t="inlineStr">
        <is>
          <t>NES Elementary</t>
        </is>
      </c>
      <c r="D195" s="31" t="inlineStr">
        <is>
          <t>No</t>
        </is>
      </c>
      <c r="E195" s="31" t="n"/>
      <c r="F195" s="31" t="n"/>
      <c r="G195" s="31" t="inlineStr">
        <is>
          <t>Not Received</t>
        </is>
      </c>
      <c r="H195" s="31" t="inlineStr">
        <is>
          <t>Not Received</t>
        </is>
      </c>
      <c r="I195" s="31" t="inlineStr">
        <is>
          <t>Not Received</t>
        </is>
      </c>
      <c r="J195" s="31" t="inlineStr">
        <is>
          <t>Not Received</t>
        </is>
      </c>
      <c r="K195" s="31" t="inlineStr">
        <is>
          <t>Not Received</t>
        </is>
      </c>
      <c r="L195" s="31" t="inlineStr">
        <is>
          <t>Not Received</t>
        </is>
      </c>
      <c r="M195" s="31" t="inlineStr">
        <is>
          <t>Not Received</t>
        </is>
      </c>
      <c r="N195" s="31" t="inlineStr">
        <is>
          <t>Not Received</t>
        </is>
      </c>
      <c r="O195" s="32">
        <f>IF($B195="","",COUNTIF(G195:N195,"Accepted")+COUNTIF(G195:N195,"Received")+COUNTIF(G195:N195,"Needs Correction"))</f>
        <v/>
      </c>
      <c r="P195" s="32">
        <f>IF($B195="","",SUMPRODUCT(((G195:N195="Accepted")+(G195:N195="Not Needed"))*(Settings!$C$11:$J$11="Yes")))</f>
        <v/>
      </c>
      <c r="Q195" s="32">
        <f>IF($B195="","",SUMPRODUCT(((G195:N195="Accepted")+(G195:N195="Not Needed"))*(Settings!$C$15:$J$15="Yes")))</f>
        <v/>
      </c>
      <c r="R195" s="33">
        <f>IF($B195="","",IF($D195="No","No PTO/PTA",IF($D195&lt;&gt;"Yes","Not Yet Confirmed",IF($Q195&gt;=Settings!$C$13,"Legalized",IF($P195&gt;=Settings!$C$12,"Registered",IF($O195&gt;0,"In Progress","Not Started"))))))</f>
        <v/>
      </c>
      <c r="S195" s="32">
        <f>IF($B195="","",COUNTIF(G195:N195,"Received"))</f>
        <v/>
      </c>
      <c r="T195" s="32">
        <f>IF($B195="","",COUNTIF(G195:N195,"Needs Correction"))</f>
        <v/>
      </c>
      <c r="U195" s="33">
        <f>IF($B195="","",IF($D195&lt;&gt;"Yes","",IF($Q195&gt;=Settings!$C$13,"None",MID(IF(AND(G195&lt;&gt;"Accepted",G195&lt;&gt;"Not Needed",Settings!$C$15="Yes"),", "&amp;G$1,"")&amp;IF(AND(H195&lt;&gt;"Accepted",H195&lt;&gt;"Not Needed",Settings!$D$15="Yes"),", "&amp;H$1,"")&amp;IF(AND(I195&lt;&gt;"Accepted",I195&lt;&gt;"Not Needed",Settings!$E$15="Yes"),", "&amp;I$1,"")&amp;IF(AND(J195&lt;&gt;"Accepted",J195&lt;&gt;"Not Needed",Settings!$F$15="Yes"),", "&amp;J$1,"")&amp;IF(AND(K195&lt;&gt;"Accepted",K195&lt;&gt;"Not Needed",Settings!$G$15="Yes"),", "&amp;K$1,"")&amp;IF(AND(L195&lt;&gt;"Accepted",L195&lt;&gt;"Not Needed",Settings!$H$15="Yes"),", "&amp;L$1,"")&amp;IF(AND(M195&lt;&gt;"Accepted",M195&lt;&gt;"Not Needed",Settings!$I$15="Yes"),", "&amp;M$1,"")&amp;IF(AND(N195&lt;&gt;"Accepted",N195&lt;&gt;"Not Needed",Settings!$J$15="Yes"),", "&amp;N$1,""),3,400))))</f>
        <v/>
      </c>
    </row>
    <row r="196" ht="15" customHeight="1" s="21">
      <c r="A196" s="31" t="inlineStr">
        <is>
          <t>2026-27</t>
        </is>
      </c>
      <c r="B196" s="31" t="inlineStr">
        <is>
          <t>JJAEP</t>
        </is>
      </c>
      <c r="C196" s="31" t="inlineStr">
        <is>
          <t>COSO</t>
        </is>
      </c>
      <c r="D196" s="31" t="inlineStr">
        <is>
          <t>No</t>
        </is>
      </c>
      <c r="E196" s="31" t="n"/>
      <c r="F196" s="31" t="n"/>
      <c r="G196" s="31" t="inlineStr">
        <is>
          <t>Not Received</t>
        </is>
      </c>
      <c r="H196" s="31" t="inlineStr">
        <is>
          <t>Not Received</t>
        </is>
      </c>
      <c r="I196" s="31" t="inlineStr">
        <is>
          <t>Not Received</t>
        </is>
      </c>
      <c r="J196" s="31" t="inlineStr">
        <is>
          <t>Not Received</t>
        </is>
      </c>
      <c r="K196" s="31" t="inlineStr">
        <is>
          <t>Not Received</t>
        </is>
      </c>
      <c r="L196" s="31" t="inlineStr">
        <is>
          <t>Not Received</t>
        </is>
      </c>
      <c r="M196" s="31" t="inlineStr">
        <is>
          <t>Not Received</t>
        </is>
      </c>
      <c r="N196" s="31" t="inlineStr">
        <is>
          <t>Not Received</t>
        </is>
      </c>
      <c r="O196" s="32">
        <f>IF($B196="","",COUNTIF(G196:N196,"Accepted")+COUNTIF(G196:N196,"Received")+COUNTIF(G196:N196,"Needs Correction"))</f>
        <v/>
      </c>
      <c r="P196" s="32">
        <f>IF($B196="","",SUMPRODUCT(((G196:N196="Accepted")+(G196:N196="Not Needed"))*(Settings!$C$11:$J$11="Yes")))</f>
        <v/>
      </c>
      <c r="Q196" s="32">
        <f>IF($B196="","",SUMPRODUCT(((G196:N196="Accepted")+(G196:N196="Not Needed"))*(Settings!$C$15:$J$15="Yes")))</f>
        <v/>
      </c>
      <c r="R196" s="33">
        <f>IF($B196="","",IF($D196="No","No PTO/PTA",IF($D196&lt;&gt;"Yes","Not Yet Confirmed",IF($Q196&gt;=Settings!$C$13,"Legalized",IF($P196&gt;=Settings!$C$12,"Registered",IF($O196&gt;0,"In Progress","Not Started"))))))</f>
        <v/>
      </c>
      <c r="S196" s="32">
        <f>IF($B196="","",COUNTIF(G196:N196,"Received"))</f>
        <v/>
      </c>
      <c r="T196" s="32">
        <f>IF($B196="","",COUNTIF(G196:N196,"Needs Correction"))</f>
        <v/>
      </c>
      <c r="U196" s="33">
        <f>IF($B196="","",IF($D196&lt;&gt;"Yes","",IF($Q196&gt;=Settings!$C$13,"None",MID(IF(AND(G196&lt;&gt;"Accepted",G196&lt;&gt;"Not Needed",Settings!$C$15="Yes"),", "&amp;G$1,"")&amp;IF(AND(H196&lt;&gt;"Accepted",H196&lt;&gt;"Not Needed",Settings!$D$15="Yes"),", "&amp;H$1,"")&amp;IF(AND(I196&lt;&gt;"Accepted",I196&lt;&gt;"Not Needed",Settings!$E$15="Yes"),", "&amp;I$1,"")&amp;IF(AND(J196&lt;&gt;"Accepted",J196&lt;&gt;"Not Needed",Settings!$F$15="Yes"),", "&amp;J$1,"")&amp;IF(AND(K196&lt;&gt;"Accepted",K196&lt;&gt;"Not Needed",Settings!$G$15="Yes"),", "&amp;K$1,"")&amp;IF(AND(L196&lt;&gt;"Accepted",L196&lt;&gt;"Not Needed",Settings!$H$15="Yes"),", "&amp;L$1,"")&amp;IF(AND(M196&lt;&gt;"Accepted",M196&lt;&gt;"Not Needed",Settings!$I$15="Yes"),", "&amp;M$1,"")&amp;IF(AND(N196&lt;&gt;"Accepted",N196&lt;&gt;"Not Needed",Settings!$J$15="Yes"),", "&amp;N$1,""),3,400))))</f>
        <v/>
      </c>
    </row>
    <row r="197" ht="15" customHeight="1" s="21">
      <c r="A197" s="31" t="inlineStr">
        <is>
          <t>2026-27</t>
        </is>
      </c>
      <c r="B197" s="31" t="inlineStr">
        <is>
          <t>Jones HS</t>
        </is>
      </c>
      <c r="C197" s="31" t="inlineStr">
        <is>
          <t>EAS Secondary</t>
        </is>
      </c>
      <c r="D197" s="31" t="inlineStr">
        <is>
          <t>No</t>
        </is>
      </c>
      <c r="E197" s="31" t="n"/>
      <c r="F197" s="31" t="n"/>
      <c r="G197" s="31" t="inlineStr">
        <is>
          <t>Not Received</t>
        </is>
      </c>
      <c r="H197" s="31" t="inlineStr">
        <is>
          <t>Not Received</t>
        </is>
      </c>
      <c r="I197" s="31" t="inlineStr">
        <is>
          <t>Not Received</t>
        </is>
      </c>
      <c r="J197" s="31" t="inlineStr">
        <is>
          <t>Not Received</t>
        </is>
      </c>
      <c r="K197" s="31" t="inlineStr">
        <is>
          <t>Not Received</t>
        </is>
      </c>
      <c r="L197" s="31" t="inlineStr">
        <is>
          <t>Not Received</t>
        </is>
      </c>
      <c r="M197" s="31" t="inlineStr">
        <is>
          <t>Not Received</t>
        </is>
      </c>
      <c r="N197" s="31" t="inlineStr">
        <is>
          <t>Not Received</t>
        </is>
      </c>
      <c r="O197" s="32">
        <f>IF($B197="","",COUNTIF(G197:N197,"Accepted")+COUNTIF(G197:N197,"Received")+COUNTIF(G197:N197,"Needs Correction"))</f>
        <v/>
      </c>
      <c r="P197" s="32">
        <f>IF($B197="","",SUMPRODUCT(((G197:N197="Accepted")+(G197:N197="Not Needed"))*(Settings!$C$11:$J$11="Yes")))</f>
        <v/>
      </c>
      <c r="Q197" s="32">
        <f>IF($B197="","",SUMPRODUCT(((G197:N197="Accepted")+(G197:N197="Not Needed"))*(Settings!$C$15:$J$15="Yes")))</f>
        <v/>
      </c>
      <c r="R197" s="33">
        <f>IF($B197="","",IF($D197="No","No PTO/PTA",IF($D197&lt;&gt;"Yes","Not Yet Confirmed",IF($Q197&gt;=Settings!$C$13,"Legalized",IF($P197&gt;=Settings!$C$12,"Registered",IF($O197&gt;0,"In Progress","Not Started"))))))</f>
        <v/>
      </c>
      <c r="S197" s="32">
        <f>IF($B197="","",COUNTIF(G197:N197,"Received"))</f>
        <v/>
      </c>
      <c r="T197" s="32">
        <f>IF($B197="","",COUNTIF(G197:N197,"Needs Correction"))</f>
        <v/>
      </c>
      <c r="U197" s="33">
        <f>IF($B197="","",IF($D197&lt;&gt;"Yes","",IF($Q197&gt;=Settings!$C$13,"None",MID(IF(AND(G197&lt;&gt;"Accepted",G197&lt;&gt;"Not Needed",Settings!$C$15="Yes"),", "&amp;G$1,"")&amp;IF(AND(H197&lt;&gt;"Accepted",H197&lt;&gt;"Not Needed",Settings!$D$15="Yes"),", "&amp;H$1,"")&amp;IF(AND(I197&lt;&gt;"Accepted",I197&lt;&gt;"Not Needed",Settings!$E$15="Yes"),", "&amp;I$1,"")&amp;IF(AND(J197&lt;&gt;"Accepted",J197&lt;&gt;"Not Needed",Settings!$F$15="Yes"),", "&amp;J$1,"")&amp;IF(AND(K197&lt;&gt;"Accepted",K197&lt;&gt;"Not Needed",Settings!$G$15="Yes"),", "&amp;K$1,"")&amp;IF(AND(L197&lt;&gt;"Accepted",L197&lt;&gt;"Not Needed",Settings!$H$15="Yes"),", "&amp;L$1,"")&amp;IF(AND(M197&lt;&gt;"Accepted",M197&lt;&gt;"Not Needed",Settings!$I$15="Yes"),", "&amp;M$1,"")&amp;IF(AND(N197&lt;&gt;"Accepted",N197&lt;&gt;"Not Needed",Settings!$J$15="Yes"),", "&amp;N$1,""),3,400))))</f>
        <v/>
      </c>
    </row>
    <row r="198" ht="15" customHeight="1" s="21">
      <c r="A198" s="31" t="inlineStr">
        <is>
          <t>2026-27</t>
        </is>
      </c>
      <c r="B198" s="31" t="inlineStr">
        <is>
          <t>Kashmere Gardens ES</t>
        </is>
      </c>
      <c r="C198" s="31" t="inlineStr">
        <is>
          <t>NES Elementary</t>
        </is>
      </c>
      <c r="D198" s="31" t="inlineStr">
        <is>
          <t>No</t>
        </is>
      </c>
      <c r="E198" s="31" t="n"/>
      <c r="F198" s="31" t="n"/>
      <c r="G198" s="31" t="inlineStr">
        <is>
          <t>Not Received</t>
        </is>
      </c>
      <c r="H198" s="31" t="inlineStr">
        <is>
          <t>Not Received</t>
        </is>
      </c>
      <c r="I198" s="31" t="inlineStr">
        <is>
          <t>Not Received</t>
        </is>
      </c>
      <c r="J198" s="31" t="inlineStr">
        <is>
          <t>Not Received</t>
        </is>
      </c>
      <c r="K198" s="31" t="inlineStr">
        <is>
          <t>Not Received</t>
        </is>
      </c>
      <c r="L198" s="31" t="inlineStr">
        <is>
          <t>Not Received</t>
        </is>
      </c>
      <c r="M198" s="31" t="inlineStr">
        <is>
          <t>Not Received</t>
        </is>
      </c>
      <c r="N198" s="31" t="inlineStr">
        <is>
          <t>Not Received</t>
        </is>
      </c>
      <c r="O198" s="32">
        <f>IF($B198="","",COUNTIF(G198:N198,"Accepted")+COUNTIF(G198:N198,"Received")+COUNTIF(G198:N198,"Needs Correction"))</f>
        <v/>
      </c>
      <c r="P198" s="32">
        <f>IF($B198="","",SUMPRODUCT(((G198:N198="Accepted")+(G198:N198="Not Needed"))*(Settings!$C$11:$J$11="Yes")))</f>
        <v/>
      </c>
      <c r="Q198" s="32">
        <f>IF($B198="","",SUMPRODUCT(((G198:N198="Accepted")+(G198:N198="Not Needed"))*(Settings!$C$15:$J$15="Yes")))</f>
        <v/>
      </c>
      <c r="R198" s="33">
        <f>IF($B198="","",IF($D198="No","No PTO/PTA",IF($D198&lt;&gt;"Yes","Not Yet Confirmed",IF($Q198&gt;=Settings!$C$13,"Legalized",IF($P198&gt;=Settings!$C$12,"Registered",IF($O198&gt;0,"In Progress","Not Started"))))))</f>
        <v/>
      </c>
      <c r="S198" s="32">
        <f>IF($B198="","",COUNTIF(G198:N198,"Received"))</f>
        <v/>
      </c>
      <c r="T198" s="32">
        <f>IF($B198="","",COUNTIF(G198:N198,"Needs Correction"))</f>
        <v/>
      </c>
      <c r="U198" s="33">
        <f>IF($B198="","",IF($D198&lt;&gt;"Yes","",IF($Q198&gt;=Settings!$C$13,"None",MID(IF(AND(G198&lt;&gt;"Accepted",G198&lt;&gt;"Not Needed",Settings!$C$15="Yes"),", "&amp;G$1,"")&amp;IF(AND(H198&lt;&gt;"Accepted",H198&lt;&gt;"Not Needed",Settings!$D$15="Yes"),", "&amp;H$1,"")&amp;IF(AND(I198&lt;&gt;"Accepted",I198&lt;&gt;"Not Needed",Settings!$E$15="Yes"),", "&amp;I$1,"")&amp;IF(AND(J198&lt;&gt;"Accepted",J198&lt;&gt;"Not Needed",Settings!$F$15="Yes"),", "&amp;J$1,"")&amp;IF(AND(K198&lt;&gt;"Accepted",K198&lt;&gt;"Not Needed",Settings!$G$15="Yes"),", "&amp;K$1,"")&amp;IF(AND(L198&lt;&gt;"Accepted",L198&lt;&gt;"Not Needed",Settings!$H$15="Yes"),", "&amp;L$1,"")&amp;IF(AND(M198&lt;&gt;"Accepted",M198&lt;&gt;"Not Needed",Settings!$I$15="Yes"),", "&amp;M$1,"")&amp;IF(AND(N198&lt;&gt;"Accepted",N198&lt;&gt;"Not Needed",Settings!$J$15="Yes"),", "&amp;N$1,""),3,400))))</f>
        <v/>
      </c>
    </row>
    <row r="199" ht="15" customHeight="1" s="21">
      <c r="A199" s="31" t="inlineStr">
        <is>
          <t>2026-27</t>
        </is>
      </c>
      <c r="B199" s="31" t="inlineStr">
        <is>
          <t>Kashmere HS</t>
        </is>
      </c>
      <c r="C199" s="31" t="inlineStr">
        <is>
          <t>NES Secondary</t>
        </is>
      </c>
      <c r="D199" s="31" t="inlineStr">
        <is>
          <t>No</t>
        </is>
      </c>
      <c r="E199" s="31" t="n"/>
      <c r="F199" s="31" t="n"/>
      <c r="G199" s="31" t="inlineStr">
        <is>
          <t>Not Received</t>
        </is>
      </c>
      <c r="H199" s="31" t="inlineStr">
        <is>
          <t>Not Received</t>
        </is>
      </c>
      <c r="I199" s="31" t="inlineStr">
        <is>
          <t>Not Received</t>
        </is>
      </c>
      <c r="J199" s="31" t="inlineStr">
        <is>
          <t>Not Received</t>
        </is>
      </c>
      <c r="K199" s="31" t="inlineStr">
        <is>
          <t>Not Received</t>
        </is>
      </c>
      <c r="L199" s="31" t="inlineStr">
        <is>
          <t>Not Received</t>
        </is>
      </c>
      <c r="M199" s="31" t="inlineStr">
        <is>
          <t>Not Received</t>
        </is>
      </c>
      <c r="N199" s="31" t="inlineStr">
        <is>
          <t>Not Received</t>
        </is>
      </c>
      <c r="O199" s="32">
        <f>IF($B199="","",COUNTIF(G199:N199,"Accepted")+COUNTIF(G199:N199,"Received")+COUNTIF(G199:N199,"Needs Correction"))</f>
        <v/>
      </c>
      <c r="P199" s="32">
        <f>IF($B199="","",SUMPRODUCT(((G199:N199="Accepted")+(G199:N199="Not Needed"))*(Settings!$C$11:$J$11="Yes")))</f>
        <v/>
      </c>
      <c r="Q199" s="32">
        <f>IF($B199="","",SUMPRODUCT(((G199:N199="Accepted")+(G199:N199="Not Needed"))*(Settings!$C$15:$J$15="Yes")))</f>
        <v/>
      </c>
      <c r="R199" s="33">
        <f>IF($B199="","",IF($D199="No","No PTO/PTA",IF($D199&lt;&gt;"Yes","Not Yet Confirmed",IF($Q199&gt;=Settings!$C$13,"Legalized",IF($P199&gt;=Settings!$C$12,"Registered",IF($O199&gt;0,"In Progress","Not Started"))))))</f>
        <v/>
      </c>
      <c r="S199" s="32">
        <f>IF($B199="","",COUNTIF(G199:N199,"Received"))</f>
        <v/>
      </c>
      <c r="T199" s="32">
        <f>IF($B199="","",COUNTIF(G199:N199,"Needs Correction"))</f>
        <v/>
      </c>
      <c r="U199" s="33">
        <f>IF($B199="","",IF($D199&lt;&gt;"Yes","",IF($Q199&gt;=Settings!$C$13,"None",MID(IF(AND(G199&lt;&gt;"Accepted",G199&lt;&gt;"Not Needed",Settings!$C$15="Yes"),", "&amp;G$1,"")&amp;IF(AND(H199&lt;&gt;"Accepted",H199&lt;&gt;"Not Needed",Settings!$D$15="Yes"),", "&amp;H$1,"")&amp;IF(AND(I199&lt;&gt;"Accepted",I199&lt;&gt;"Not Needed",Settings!$E$15="Yes"),", "&amp;I$1,"")&amp;IF(AND(J199&lt;&gt;"Accepted",J199&lt;&gt;"Not Needed",Settings!$F$15="Yes"),", "&amp;J$1,"")&amp;IF(AND(K199&lt;&gt;"Accepted",K199&lt;&gt;"Not Needed",Settings!$G$15="Yes"),", "&amp;K$1,"")&amp;IF(AND(L199&lt;&gt;"Accepted",L199&lt;&gt;"Not Needed",Settings!$H$15="Yes"),", "&amp;L$1,"")&amp;IF(AND(M199&lt;&gt;"Accepted",M199&lt;&gt;"Not Needed",Settings!$I$15="Yes"),", "&amp;M$1,"")&amp;IF(AND(N199&lt;&gt;"Accepted",N199&lt;&gt;"Not Needed",Settings!$J$15="Yes"),", "&amp;N$1,""),3,400))))</f>
        <v/>
      </c>
    </row>
    <row r="200" ht="15" customHeight="1" s="21">
      <c r="A200" s="31" t="inlineStr">
        <is>
          <t>2026-27</t>
        </is>
      </c>
      <c r="B200" s="31" t="inlineStr">
        <is>
          <t>Kelso ES</t>
        </is>
      </c>
      <c r="C200" s="31" t="inlineStr">
        <is>
          <t>NES Elementary</t>
        </is>
      </c>
      <c r="D200" s="31" t="inlineStr">
        <is>
          <t>No</t>
        </is>
      </c>
      <c r="E200" s="31" t="n"/>
      <c r="F200" s="31" t="n"/>
      <c r="G200" s="31" t="inlineStr">
        <is>
          <t>Not Received</t>
        </is>
      </c>
      <c r="H200" s="31" t="inlineStr">
        <is>
          <t>Not Received</t>
        </is>
      </c>
      <c r="I200" s="31" t="inlineStr">
        <is>
          <t>Not Received</t>
        </is>
      </c>
      <c r="J200" s="31" t="inlineStr">
        <is>
          <t>Not Received</t>
        </is>
      </c>
      <c r="K200" s="31" t="inlineStr">
        <is>
          <t>Not Received</t>
        </is>
      </c>
      <c r="L200" s="31" t="inlineStr">
        <is>
          <t>Not Received</t>
        </is>
      </c>
      <c r="M200" s="31" t="inlineStr">
        <is>
          <t>Not Received</t>
        </is>
      </c>
      <c r="N200" s="31" t="inlineStr">
        <is>
          <t>Not Received</t>
        </is>
      </c>
      <c r="O200" s="32">
        <f>IF($B200="","",COUNTIF(G200:N200,"Accepted")+COUNTIF(G200:N200,"Received")+COUNTIF(G200:N200,"Needs Correction"))</f>
        <v/>
      </c>
      <c r="P200" s="32">
        <f>IF($B200="","",SUMPRODUCT(((G200:N200="Accepted")+(G200:N200="Not Needed"))*(Settings!$C$11:$J$11="Yes")))</f>
        <v/>
      </c>
      <c r="Q200" s="32">
        <f>IF($B200="","",SUMPRODUCT(((G200:N200="Accepted")+(G200:N200="Not Needed"))*(Settings!$C$15:$J$15="Yes")))</f>
        <v/>
      </c>
      <c r="R200" s="33">
        <f>IF($B200="","",IF($D200="No","No PTO/PTA",IF($D200&lt;&gt;"Yes","Not Yet Confirmed",IF($Q200&gt;=Settings!$C$13,"Legalized",IF($P200&gt;=Settings!$C$12,"Registered",IF($O200&gt;0,"In Progress","Not Started"))))))</f>
        <v/>
      </c>
      <c r="S200" s="32">
        <f>IF($B200="","",COUNTIF(G200:N200,"Received"))</f>
        <v/>
      </c>
      <c r="T200" s="32">
        <f>IF($B200="","",COUNTIF(G200:N200,"Needs Correction"))</f>
        <v/>
      </c>
      <c r="U200" s="33">
        <f>IF($B200="","",IF($D200&lt;&gt;"Yes","",IF($Q200&gt;=Settings!$C$13,"None",MID(IF(AND(G200&lt;&gt;"Accepted",G200&lt;&gt;"Not Needed",Settings!$C$15="Yes"),", "&amp;G$1,"")&amp;IF(AND(H200&lt;&gt;"Accepted",H200&lt;&gt;"Not Needed",Settings!$D$15="Yes"),", "&amp;H$1,"")&amp;IF(AND(I200&lt;&gt;"Accepted",I200&lt;&gt;"Not Needed",Settings!$E$15="Yes"),", "&amp;I$1,"")&amp;IF(AND(J200&lt;&gt;"Accepted",J200&lt;&gt;"Not Needed",Settings!$F$15="Yes"),", "&amp;J$1,"")&amp;IF(AND(K200&lt;&gt;"Accepted",K200&lt;&gt;"Not Needed",Settings!$G$15="Yes"),", "&amp;K$1,"")&amp;IF(AND(L200&lt;&gt;"Accepted",L200&lt;&gt;"Not Needed",Settings!$H$15="Yes"),", "&amp;L$1,"")&amp;IF(AND(M200&lt;&gt;"Accepted",M200&lt;&gt;"Not Needed",Settings!$I$15="Yes"),", "&amp;M$1,"")&amp;IF(AND(N200&lt;&gt;"Accepted",N200&lt;&gt;"Not Needed",Settings!$J$15="Yes"),", "&amp;N$1,""),3,400))))</f>
        <v/>
      </c>
    </row>
    <row r="201" ht="15" customHeight="1" s="21">
      <c r="A201" s="31" t="inlineStr">
        <is>
          <t>2026-27</t>
        </is>
      </c>
      <c r="B201" s="31" t="inlineStr">
        <is>
          <t>Key MS</t>
        </is>
      </c>
      <c r="C201" s="31" t="inlineStr">
        <is>
          <t>NES Secondary</t>
        </is>
      </c>
      <c r="D201" s="31" t="inlineStr">
        <is>
          <t>No</t>
        </is>
      </c>
      <c r="E201" s="31" t="n"/>
      <c r="F201" s="31" t="n"/>
      <c r="G201" s="31" t="inlineStr">
        <is>
          <t>Not Received</t>
        </is>
      </c>
      <c r="H201" s="31" t="inlineStr">
        <is>
          <t>Not Received</t>
        </is>
      </c>
      <c r="I201" s="31" t="inlineStr">
        <is>
          <t>Not Received</t>
        </is>
      </c>
      <c r="J201" s="31" t="inlineStr">
        <is>
          <t>Not Received</t>
        </is>
      </c>
      <c r="K201" s="31" t="inlineStr">
        <is>
          <t>Not Received</t>
        </is>
      </c>
      <c r="L201" s="31" t="inlineStr">
        <is>
          <t>Not Received</t>
        </is>
      </c>
      <c r="M201" s="31" t="inlineStr">
        <is>
          <t>Not Received</t>
        </is>
      </c>
      <c r="N201" s="31" t="inlineStr">
        <is>
          <t>Not Received</t>
        </is>
      </c>
      <c r="O201" s="32">
        <f>IF($B201="","",COUNTIF(G201:N201,"Accepted")+COUNTIF(G201:N201,"Received")+COUNTIF(G201:N201,"Needs Correction"))</f>
        <v/>
      </c>
      <c r="P201" s="32">
        <f>IF($B201="","",SUMPRODUCT(((G201:N201="Accepted")+(G201:N201="Not Needed"))*(Settings!$C$11:$J$11="Yes")))</f>
        <v/>
      </c>
      <c r="Q201" s="32">
        <f>IF($B201="","",SUMPRODUCT(((G201:N201="Accepted")+(G201:N201="Not Needed"))*(Settings!$C$15:$J$15="Yes")))</f>
        <v/>
      </c>
      <c r="R201" s="33">
        <f>IF($B201="","",IF($D201="No","No PTO/PTA",IF($D201&lt;&gt;"Yes","Not Yet Confirmed",IF($Q201&gt;=Settings!$C$13,"Legalized",IF($P201&gt;=Settings!$C$12,"Registered",IF($O201&gt;0,"In Progress","Not Started"))))))</f>
        <v/>
      </c>
      <c r="S201" s="32">
        <f>IF($B201="","",COUNTIF(G201:N201,"Received"))</f>
        <v/>
      </c>
      <c r="T201" s="32">
        <f>IF($B201="","",COUNTIF(G201:N201,"Needs Correction"))</f>
        <v/>
      </c>
      <c r="U201" s="33">
        <f>IF($B201="","",IF($D201&lt;&gt;"Yes","",IF($Q201&gt;=Settings!$C$13,"None",MID(IF(AND(G201&lt;&gt;"Accepted",G201&lt;&gt;"Not Needed",Settings!$C$15="Yes"),", "&amp;G$1,"")&amp;IF(AND(H201&lt;&gt;"Accepted",H201&lt;&gt;"Not Needed",Settings!$D$15="Yes"),", "&amp;H$1,"")&amp;IF(AND(I201&lt;&gt;"Accepted",I201&lt;&gt;"Not Needed",Settings!$E$15="Yes"),", "&amp;I$1,"")&amp;IF(AND(J201&lt;&gt;"Accepted",J201&lt;&gt;"Not Needed",Settings!$F$15="Yes"),", "&amp;J$1,"")&amp;IF(AND(K201&lt;&gt;"Accepted",K201&lt;&gt;"Not Needed",Settings!$G$15="Yes"),", "&amp;K$1,"")&amp;IF(AND(L201&lt;&gt;"Accepted",L201&lt;&gt;"Not Needed",Settings!$H$15="Yes"),", "&amp;L$1,"")&amp;IF(AND(M201&lt;&gt;"Accepted",M201&lt;&gt;"Not Needed",Settings!$I$15="Yes"),", "&amp;M$1,"")&amp;IF(AND(N201&lt;&gt;"Accepted",N201&lt;&gt;"Not Needed",Settings!$J$15="Yes"),", "&amp;N$1,""),3,400))))</f>
        <v/>
      </c>
    </row>
    <row r="202" ht="15" customHeight="1" s="21">
      <c r="A202" s="31" t="inlineStr">
        <is>
          <t>2026-27</t>
        </is>
      </c>
      <c r="B202" s="31" t="inlineStr">
        <is>
          <t>HSLJ</t>
        </is>
      </c>
      <c r="C202" s="31" t="inlineStr">
        <is>
          <t>EAS Secondary</t>
        </is>
      </c>
      <c r="D202" s="31" t="inlineStr">
        <is>
          <t>No</t>
        </is>
      </c>
      <c r="E202" s="31" t="n"/>
      <c r="F202" s="31" t="n"/>
      <c r="G202" s="31" t="inlineStr">
        <is>
          <t>Not Received</t>
        </is>
      </c>
      <c r="H202" s="31" t="inlineStr">
        <is>
          <t>Not Received</t>
        </is>
      </c>
      <c r="I202" s="31" t="inlineStr">
        <is>
          <t>Not Received</t>
        </is>
      </c>
      <c r="J202" s="31" t="inlineStr">
        <is>
          <t>Not Received</t>
        </is>
      </c>
      <c r="K202" s="31" t="inlineStr">
        <is>
          <t>Not Received</t>
        </is>
      </c>
      <c r="L202" s="31" t="inlineStr">
        <is>
          <t>Not Received</t>
        </is>
      </c>
      <c r="M202" s="31" t="inlineStr">
        <is>
          <t>Not Received</t>
        </is>
      </c>
      <c r="N202" s="31" t="inlineStr">
        <is>
          <t>Not Received</t>
        </is>
      </c>
      <c r="O202" s="32">
        <f>IF($B202="","",COUNTIF(G202:N202,"Accepted")+COUNTIF(G202:N202,"Received")+COUNTIF(G202:N202,"Needs Correction"))</f>
        <v/>
      </c>
      <c r="P202" s="32">
        <f>IF($B202="","",SUMPRODUCT(((G202:N202="Accepted")+(G202:N202="Not Needed"))*(Settings!$C$11:$J$11="Yes")))</f>
        <v/>
      </c>
      <c r="Q202" s="32">
        <f>IF($B202="","",SUMPRODUCT(((G202:N202="Accepted")+(G202:N202="Not Needed"))*(Settings!$C$15:$J$15="Yes")))</f>
        <v/>
      </c>
      <c r="R202" s="33">
        <f>IF($B202="","",IF($D202="No","No PTO/PTA",IF($D202&lt;&gt;"Yes","Not Yet Confirmed",IF($Q202&gt;=Settings!$C$13,"Legalized",IF($P202&gt;=Settings!$C$12,"Registered",IF($O202&gt;0,"In Progress","Not Started"))))))</f>
        <v/>
      </c>
      <c r="S202" s="32">
        <f>IF($B202="","",COUNTIF(G202:N202,"Received"))</f>
        <v/>
      </c>
      <c r="T202" s="32">
        <f>IF($B202="","",COUNTIF(G202:N202,"Needs Correction"))</f>
        <v/>
      </c>
      <c r="U202" s="33">
        <f>IF($B202="","",IF($D202&lt;&gt;"Yes","",IF($Q202&gt;=Settings!$C$13,"None",MID(IF(AND(G202&lt;&gt;"Accepted",G202&lt;&gt;"Not Needed",Settings!$C$15="Yes"),", "&amp;G$1,"")&amp;IF(AND(H202&lt;&gt;"Accepted",H202&lt;&gt;"Not Needed",Settings!$D$15="Yes"),", "&amp;H$1,"")&amp;IF(AND(I202&lt;&gt;"Accepted",I202&lt;&gt;"Not Needed",Settings!$E$15="Yes"),", "&amp;I$1,"")&amp;IF(AND(J202&lt;&gt;"Accepted",J202&lt;&gt;"Not Needed",Settings!$F$15="Yes"),", "&amp;J$1,"")&amp;IF(AND(K202&lt;&gt;"Accepted",K202&lt;&gt;"Not Needed",Settings!$G$15="Yes"),", "&amp;K$1,"")&amp;IF(AND(L202&lt;&gt;"Accepted",L202&lt;&gt;"Not Needed",Settings!$H$15="Yes"),", "&amp;L$1,"")&amp;IF(AND(M202&lt;&gt;"Accepted",M202&lt;&gt;"Not Needed",Settings!$I$15="Yes"),", "&amp;M$1,"")&amp;IF(AND(N202&lt;&gt;"Accepted",N202&lt;&gt;"Not Needed",Settings!$J$15="Yes"),", "&amp;N$1,""),3,400))))</f>
        <v/>
      </c>
    </row>
    <row r="203" ht="15" customHeight="1" s="21">
      <c r="A203" s="31" t="inlineStr">
        <is>
          <t>2026-27</t>
        </is>
      </c>
      <c r="B203" s="31" t="inlineStr">
        <is>
          <t>Law ES</t>
        </is>
      </c>
      <c r="C203" s="31" t="inlineStr">
        <is>
          <t>NES Elementary</t>
        </is>
      </c>
      <c r="D203" s="31" t="inlineStr">
        <is>
          <t>No</t>
        </is>
      </c>
      <c r="E203" s="31" t="n"/>
      <c r="F203" s="31" t="n"/>
      <c r="G203" s="31" t="inlineStr">
        <is>
          <t>Not Received</t>
        </is>
      </c>
      <c r="H203" s="31" t="inlineStr">
        <is>
          <t>Not Received</t>
        </is>
      </c>
      <c r="I203" s="31" t="inlineStr">
        <is>
          <t>Not Received</t>
        </is>
      </c>
      <c r="J203" s="31" t="inlineStr">
        <is>
          <t>Not Received</t>
        </is>
      </c>
      <c r="K203" s="31" t="inlineStr">
        <is>
          <t>Not Received</t>
        </is>
      </c>
      <c r="L203" s="31" t="inlineStr">
        <is>
          <t>Not Received</t>
        </is>
      </c>
      <c r="M203" s="31" t="inlineStr">
        <is>
          <t>Not Received</t>
        </is>
      </c>
      <c r="N203" s="31" t="inlineStr">
        <is>
          <t>Not Received</t>
        </is>
      </c>
      <c r="O203" s="32">
        <f>IF($B203="","",COUNTIF(G203:N203,"Accepted")+COUNTIF(G203:N203,"Received")+COUNTIF(G203:N203,"Needs Correction"))</f>
        <v/>
      </c>
      <c r="P203" s="32">
        <f>IF($B203="","",SUMPRODUCT(((G203:N203="Accepted")+(G203:N203="Not Needed"))*(Settings!$C$11:$J$11="Yes")))</f>
        <v/>
      </c>
      <c r="Q203" s="32">
        <f>IF($B203="","",SUMPRODUCT(((G203:N203="Accepted")+(G203:N203="Not Needed"))*(Settings!$C$15:$J$15="Yes")))</f>
        <v/>
      </c>
      <c r="R203" s="33">
        <f>IF($B203="","",IF($D203="No","No PTO/PTA",IF($D203&lt;&gt;"Yes","Not Yet Confirmed",IF($Q203&gt;=Settings!$C$13,"Legalized",IF($P203&gt;=Settings!$C$12,"Registered",IF($O203&gt;0,"In Progress","Not Started"))))))</f>
        <v/>
      </c>
      <c r="S203" s="32">
        <f>IF($B203="","",COUNTIF(G203:N203,"Received"))</f>
        <v/>
      </c>
      <c r="T203" s="32">
        <f>IF($B203="","",COUNTIF(G203:N203,"Needs Correction"))</f>
        <v/>
      </c>
      <c r="U203" s="33">
        <f>IF($B203="","",IF($D203&lt;&gt;"Yes","",IF($Q203&gt;=Settings!$C$13,"None",MID(IF(AND(G203&lt;&gt;"Accepted",G203&lt;&gt;"Not Needed",Settings!$C$15="Yes"),", "&amp;G$1,"")&amp;IF(AND(H203&lt;&gt;"Accepted",H203&lt;&gt;"Not Needed",Settings!$D$15="Yes"),", "&amp;H$1,"")&amp;IF(AND(I203&lt;&gt;"Accepted",I203&lt;&gt;"Not Needed",Settings!$E$15="Yes"),", "&amp;I$1,"")&amp;IF(AND(J203&lt;&gt;"Accepted",J203&lt;&gt;"Not Needed",Settings!$F$15="Yes"),", "&amp;J$1,"")&amp;IF(AND(K203&lt;&gt;"Accepted",K203&lt;&gt;"Not Needed",Settings!$G$15="Yes"),", "&amp;K$1,"")&amp;IF(AND(L203&lt;&gt;"Accepted",L203&lt;&gt;"Not Needed",Settings!$H$15="Yes"),", "&amp;L$1,"")&amp;IF(AND(M203&lt;&gt;"Accepted",M203&lt;&gt;"Not Needed",Settings!$I$15="Yes"),", "&amp;M$1,"")&amp;IF(AND(N203&lt;&gt;"Accepted",N203&lt;&gt;"Not Needed",Settings!$J$15="Yes"),", "&amp;N$1,""),3,400))))</f>
        <v/>
      </c>
    </row>
    <row r="204" ht="15" customHeight="1" s="21">
      <c r="A204" s="31" t="inlineStr">
        <is>
          <t>2026-27</t>
        </is>
      </c>
      <c r="B204" s="31" t="inlineStr">
        <is>
          <t>Lawson MS</t>
        </is>
      </c>
      <c r="C204" s="31" t="inlineStr">
        <is>
          <t>NES Secondary</t>
        </is>
      </c>
      <c r="D204" s="31" t="inlineStr">
        <is>
          <t>No</t>
        </is>
      </c>
      <c r="E204" s="31" t="n"/>
      <c r="F204" s="31" t="n"/>
      <c r="G204" s="31" t="inlineStr">
        <is>
          <t>Not Received</t>
        </is>
      </c>
      <c r="H204" s="31" t="inlineStr">
        <is>
          <t>Not Received</t>
        </is>
      </c>
      <c r="I204" s="31" t="inlineStr">
        <is>
          <t>Not Received</t>
        </is>
      </c>
      <c r="J204" s="31" t="inlineStr">
        <is>
          <t>Not Received</t>
        </is>
      </c>
      <c r="K204" s="31" t="inlineStr">
        <is>
          <t>Not Received</t>
        </is>
      </c>
      <c r="L204" s="31" t="inlineStr">
        <is>
          <t>Not Received</t>
        </is>
      </c>
      <c r="M204" s="31" t="inlineStr">
        <is>
          <t>Not Received</t>
        </is>
      </c>
      <c r="N204" s="31" t="inlineStr">
        <is>
          <t>Not Received</t>
        </is>
      </c>
      <c r="O204" s="32">
        <f>IF($B204="","",COUNTIF(G204:N204,"Accepted")+COUNTIF(G204:N204,"Received")+COUNTIF(G204:N204,"Needs Correction"))</f>
        <v/>
      </c>
      <c r="P204" s="32">
        <f>IF($B204="","",SUMPRODUCT(((G204:N204="Accepted")+(G204:N204="Not Needed"))*(Settings!$C$11:$J$11="Yes")))</f>
        <v/>
      </c>
      <c r="Q204" s="32">
        <f>IF($B204="","",SUMPRODUCT(((G204:N204="Accepted")+(G204:N204="Not Needed"))*(Settings!$C$15:$J$15="Yes")))</f>
        <v/>
      </c>
      <c r="R204" s="33">
        <f>IF($B204="","",IF($D204="No","No PTO/PTA",IF($D204&lt;&gt;"Yes","Not Yet Confirmed",IF($Q204&gt;=Settings!$C$13,"Legalized",IF($P204&gt;=Settings!$C$12,"Registered",IF($O204&gt;0,"In Progress","Not Started"))))))</f>
        <v/>
      </c>
      <c r="S204" s="32">
        <f>IF($B204="","",COUNTIF(G204:N204,"Received"))</f>
        <v/>
      </c>
      <c r="T204" s="32">
        <f>IF($B204="","",COUNTIF(G204:N204,"Needs Correction"))</f>
        <v/>
      </c>
      <c r="U204" s="33">
        <f>IF($B204="","",IF($D204&lt;&gt;"Yes","",IF($Q204&gt;=Settings!$C$13,"None",MID(IF(AND(G204&lt;&gt;"Accepted",G204&lt;&gt;"Not Needed",Settings!$C$15="Yes"),", "&amp;G$1,"")&amp;IF(AND(H204&lt;&gt;"Accepted",H204&lt;&gt;"Not Needed",Settings!$D$15="Yes"),", "&amp;H$1,"")&amp;IF(AND(I204&lt;&gt;"Accepted",I204&lt;&gt;"Not Needed",Settings!$E$15="Yes"),", "&amp;I$1,"")&amp;IF(AND(J204&lt;&gt;"Accepted",J204&lt;&gt;"Not Needed",Settings!$F$15="Yes"),", "&amp;J$1,"")&amp;IF(AND(K204&lt;&gt;"Accepted",K204&lt;&gt;"Not Needed",Settings!$G$15="Yes"),", "&amp;K$1,"")&amp;IF(AND(L204&lt;&gt;"Accepted",L204&lt;&gt;"Not Needed",Settings!$H$15="Yes"),", "&amp;L$1,"")&amp;IF(AND(M204&lt;&gt;"Accepted",M204&lt;&gt;"Not Needed",Settings!$I$15="Yes"),", "&amp;M$1,"")&amp;IF(AND(N204&lt;&gt;"Accepted",N204&lt;&gt;"Not Needed",Settings!$J$15="Yes"),", "&amp;N$1,""),3,400))))</f>
        <v/>
      </c>
    </row>
    <row r="205" ht="15" customHeight="1" s="21">
      <c r="A205" s="31" t="inlineStr">
        <is>
          <t>2026-27</t>
        </is>
      </c>
      <c r="B205" s="31" t="inlineStr">
        <is>
          <t>Lewis ES</t>
        </is>
      </c>
      <c r="C205" s="31" t="inlineStr">
        <is>
          <t>NES Elementary</t>
        </is>
      </c>
      <c r="D205" s="31" t="inlineStr">
        <is>
          <t>Not Yet Confirmed</t>
        </is>
      </c>
      <c r="E205" s="31" t="n"/>
      <c r="F205" s="31" t="n"/>
      <c r="G205" s="31" t="inlineStr">
        <is>
          <t>Not Received</t>
        </is>
      </c>
      <c r="H205" s="31" t="inlineStr">
        <is>
          <t>Not Received</t>
        </is>
      </c>
      <c r="I205" s="31" t="inlineStr">
        <is>
          <t>Not Received</t>
        </is>
      </c>
      <c r="J205" s="31" t="inlineStr">
        <is>
          <t>Not Received</t>
        </is>
      </c>
      <c r="K205" s="31" t="inlineStr">
        <is>
          <t>Not Received</t>
        </is>
      </c>
      <c r="L205" s="31" t="inlineStr">
        <is>
          <t>Not Received</t>
        </is>
      </c>
      <c r="M205" s="31" t="inlineStr">
        <is>
          <t>Not Received</t>
        </is>
      </c>
      <c r="N205" s="31" t="inlineStr">
        <is>
          <t>Not Received</t>
        </is>
      </c>
      <c r="O205" s="32">
        <f>IF($B205="","",COUNTIF(G205:N205,"Accepted")+COUNTIF(G205:N205,"Received")+COUNTIF(G205:N205,"Needs Correction"))</f>
        <v/>
      </c>
      <c r="P205" s="32">
        <f>IF($B205="","",SUMPRODUCT(((G205:N205="Accepted")+(G205:N205="Not Needed"))*(Settings!$C$11:$J$11="Yes")))</f>
        <v/>
      </c>
      <c r="Q205" s="32">
        <f>IF($B205="","",SUMPRODUCT(((G205:N205="Accepted")+(G205:N205="Not Needed"))*(Settings!$C$15:$J$15="Yes")))</f>
        <v/>
      </c>
      <c r="R205" s="33">
        <f>IF($B205="","",IF($D205="No","No PTO/PTA",IF($D205&lt;&gt;"Yes","Not Yet Confirmed",IF($Q205&gt;=Settings!$C$13,"Legalized",IF($P205&gt;=Settings!$C$12,"Registered",IF($O205&gt;0,"In Progress","Not Started"))))))</f>
        <v/>
      </c>
      <c r="S205" s="32">
        <f>IF($B205="","",COUNTIF(G205:N205,"Received"))</f>
        <v/>
      </c>
      <c r="T205" s="32">
        <f>IF($B205="","",COUNTIF(G205:N205,"Needs Correction"))</f>
        <v/>
      </c>
      <c r="U205" s="33">
        <f>IF($B205="","",IF($D205&lt;&gt;"Yes","",IF($Q205&gt;=Settings!$C$13,"None",MID(IF(AND(G205&lt;&gt;"Accepted",G205&lt;&gt;"Not Needed",Settings!$C$15="Yes"),", "&amp;G$1,"")&amp;IF(AND(H205&lt;&gt;"Accepted",H205&lt;&gt;"Not Needed",Settings!$D$15="Yes"),", "&amp;H$1,"")&amp;IF(AND(I205&lt;&gt;"Accepted",I205&lt;&gt;"Not Needed",Settings!$E$15="Yes"),", "&amp;I$1,"")&amp;IF(AND(J205&lt;&gt;"Accepted",J205&lt;&gt;"Not Needed",Settings!$F$15="Yes"),", "&amp;J$1,"")&amp;IF(AND(K205&lt;&gt;"Accepted",K205&lt;&gt;"Not Needed",Settings!$G$15="Yes"),", "&amp;K$1,"")&amp;IF(AND(L205&lt;&gt;"Accepted",L205&lt;&gt;"Not Needed",Settings!$H$15="Yes"),", "&amp;L$1,"")&amp;IF(AND(M205&lt;&gt;"Accepted",M205&lt;&gt;"Not Needed",Settings!$I$15="Yes"),", "&amp;M$1,"")&amp;IF(AND(N205&lt;&gt;"Accepted",N205&lt;&gt;"Not Needed",Settings!$J$15="Yes"),", "&amp;N$1,""),3,400))))</f>
        <v/>
      </c>
    </row>
    <row r="206" ht="15" customHeight="1" s="21">
      <c r="A206" s="31" t="inlineStr">
        <is>
          <t>2026-27</t>
        </is>
      </c>
      <c r="B206" s="31" t="inlineStr">
        <is>
          <t>Long Acad</t>
        </is>
      </c>
      <c r="C206" s="31" t="inlineStr">
        <is>
          <t>NES Secondary</t>
        </is>
      </c>
      <c r="D206" s="31" t="inlineStr">
        <is>
          <t>No</t>
        </is>
      </c>
      <c r="E206" s="31" t="n"/>
      <c r="F206" s="31" t="n"/>
      <c r="G206" s="31" t="inlineStr">
        <is>
          <t>Not Received</t>
        </is>
      </c>
      <c r="H206" s="31" t="inlineStr">
        <is>
          <t>Not Received</t>
        </is>
      </c>
      <c r="I206" s="31" t="inlineStr">
        <is>
          <t>Not Received</t>
        </is>
      </c>
      <c r="J206" s="31" t="inlineStr">
        <is>
          <t>Not Received</t>
        </is>
      </c>
      <c r="K206" s="31" t="inlineStr">
        <is>
          <t>Not Received</t>
        </is>
      </c>
      <c r="L206" s="31" t="inlineStr">
        <is>
          <t>Not Received</t>
        </is>
      </c>
      <c r="M206" s="31" t="inlineStr">
        <is>
          <t>Not Received</t>
        </is>
      </c>
      <c r="N206" s="31" t="inlineStr">
        <is>
          <t>Not Received</t>
        </is>
      </c>
      <c r="O206" s="32">
        <f>IF($B206="","",COUNTIF(G206:N206,"Accepted")+COUNTIF(G206:N206,"Received")+COUNTIF(G206:N206,"Needs Correction"))</f>
        <v/>
      </c>
      <c r="P206" s="32">
        <f>IF($B206="","",SUMPRODUCT(((G206:N206="Accepted")+(G206:N206="Not Needed"))*(Settings!$C$11:$J$11="Yes")))</f>
        <v/>
      </c>
      <c r="Q206" s="32">
        <f>IF($B206="","",SUMPRODUCT(((G206:N206="Accepted")+(G206:N206="Not Needed"))*(Settings!$C$15:$J$15="Yes")))</f>
        <v/>
      </c>
      <c r="R206" s="33">
        <f>IF($B206="","",IF($D206="No","No PTO/PTA",IF($D206&lt;&gt;"Yes","Not Yet Confirmed",IF($Q206&gt;=Settings!$C$13,"Legalized",IF($P206&gt;=Settings!$C$12,"Registered",IF($O206&gt;0,"In Progress","Not Started"))))))</f>
        <v/>
      </c>
      <c r="S206" s="32">
        <f>IF($B206="","",COUNTIF(G206:N206,"Received"))</f>
        <v/>
      </c>
      <c r="T206" s="32">
        <f>IF($B206="","",COUNTIF(G206:N206,"Needs Correction"))</f>
        <v/>
      </c>
      <c r="U206" s="33">
        <f>IF($B206="","",IF($D206&lt;&gt;"Yes","",IF($Q206&gt;=Settings!$C$13,"None",MID(IF(AND(G206&lt;&gt;"Accepted",G206&lt;&gt;"Not Needed",Settings!$C$15="Yes"),", "&amp;G$1,"")&amp;IF(AND(H206&lt;&gt;"Accepted",H206&lt;&gt;"Not Needed",Settings!$D$15="Yes"),", "&amp;H$1,"")&amp;IF(AND(I206&lt;&gt;"Accepted",I206&lt;&gt;"Not Needed",Settings!$E$15="Yes"),", "&amp;I$1,"")&amp;IF(AND(J206&lt;&gt;"Accepted",J206&lt;&gt;"Not Needed",Settings!$F$15="Yes"),", "&amp;J$1,"")&amp;IF(AND(K206&lt;&gt;"Accepted",K206&lt;&gt;"Not Needed",Settings!$G$15="Yes"),", "&amp;K$1,"")&amp;IF(AND(L206&lt;&gt;"Accepted",L206&lt;&gt;"Not Needed",Settings!$H$15="Yes"),", "&amp;L$1,"")&amp;IF(AND(M206&lt;&gt;"Accepted",M206&lt;&gt;"Not Needed",Settings!$I$15="Yes"),", "&amp;M$1,"")&amp;IF(AND(N206&lt;&gt;"Accepted",N206&lt;&gt;"Not Needed",Settings!$J$15="Yes"),", "&amp;N$1,""),3,400))))</f>
        <v/>
      </c>
    </row>
    <row r="207" ht="15" customHeight="1" s="21">
      <c r="A207" s="31" t="inlineStr">
        <is>
          <t>2026-27</t>
        </is>
      </c>
      <c r="B207" s="31" t="inlineStr">
        <is>
          <t>Looscan ES</t>
        </is>
      </c>
      <c r="C207" s="31" t="inlineStr">
        <is>
          <t>NES Elementary</t>
        </is>
      </c>
      <c r="D207" s="31" t="inlineStr">
        <is>
          <t>No</t>
        </is>
      </c>
      <c r="E207" s="31" t="n"/>
      <c r="F207" s="31" t="n"/>
      <c r="G207" s="31" t="inlineStr">
        <is>
          <t>Not Received</t>
        </is>
      </c>
      <c r="H207" s="31" t="inlineStr">
        <is>
          <t>Not Received</t>
        </is>
      </c>
      <c r="I207" s="31" t="inlineStr">
        <is>
          <t>Not Received</t>
        </is>
      </c>
      <c r="J207" s="31" t="inlineStr">
        <is>
          <t>Not Received</t>
        </is>
      </c>
      <c r="K207" s="31" t="inlineStr">
        <is>
          <t>Not Received</t>
        </is>
      </c>
      <c r="L207" s="31" t="inlineStr">
        <is>
          <t>Not Received</t>
        </is>
      </c>
      <c r="M207" s="31" t="inlineStr">
        <is>
          <t>Not Received</t>
        </is>
      </c>
      <c r="N207" s="31" t="inlineStr">
        <is>
          <t>Not Received</t>
        </is>
      </c>
      <c r="O207" s="32">
        <f>IF($B207="","",COUNTIF(G207:N207,"Accepted")+COUNTIF(G207:N207,"Received")+COUNTIF(G207:N207,"Needs Correction"))</f>
        <v/>
      </c>
      <c r="P207" s="32">
        <f>IF($B207="","",SUMPRODUCT(((G207:N207="Accepted")+(G207:N207="Not Needed"))*(Settings!$C$11:$J$11="Yes")))</f>
        <v/>
      </c>
      <c r="Q207" s="32">
        <f>IF($B207="","",SUMPRODUCT(((G207:N207="Accepted")+(G207:N207="Not Needed"))*(Settings!$C$15:$J$15="Yes")))</f>
        <v/>
      </c>
      <c r="R207" s="33">
        <f>IF($B207="","",IF($D207="No","No PTO/PTA",IF($D207&lt;&gt;"Yes","Not Yet Confirmed",IF($Q207&gt;=Settings!$C$13,"Legalized",IF($P207&gt;=Settings!$C$12,"Registered",IF($O207&gt;0,"In Progress","Not Started"))))))</f>
        <v/>
      </c>
      <c r="S207" s="32">
        <f>IF($B207="","",COUNTIF(G207:N207,"Received"))</f>
        <v/>
      </c>
      <c r="T207" s="32">
        <f>IF($B207="","",COUNTIF(G207:N207,"Needs Correction"))</f>
        <v/>
      </c>
      <c r="U207" s="33">
        <f>IF($B207="","",IF($D207&lt;&gt;"Yes","",IF($Q207&gt;=Settings!$C$13,"None",MID(IF(AND(G207&lt;&gt;"Accepted",G207&lt;&gt;"Not Needed",Settings!$C$15="Yes"),", "&amp;G$1,"")&amp;IF(AND(H207&lt;&gt;"Accepted",H207&lt;&gt;"Not Needed",Settings!$D$15="Yes"),", "&amp;H$1,"")&amp;IF(AND(I207&lt;&gt;"Accepted",I207&lt;&gt;"Not Needed",Settings!$E$15="Yes"),", "&amp;I$1,"")&amp;IF(AND(J207&lt;&gt;"Accepted",J207&lt;&gt;"Not Needed",Settings!$F$15="Yes"),", "&amp;J$1,"")&amp;IF(AND(K207&lt;&gt;"Accepted",K207&lt;&gt;"Not Needed",Settings!$G$15="Yes"),", "&amp;K$1,"")&amp;IF(AND(L207&lt;&gt;"Accepted",L207&lt;&gt;"Not Needed",Settings!$H$15="Yes"),", "&amp;L$1,"")&amp;IF(AND(M207&lt;&gt;"Accepted",M207&lt;&gt;"Not Needed",Settings!$I$15="Yes"),", "&amp;M$1,"")&amp;IF(AND(N207&lt;&gt;"Accepted",N207&lt;&gt;"Not Needed",Settings!$J$15="Yes"),", "&amp;N$1,""),3,400))))</f>
        <v/>
      </c>
    </row>
    <row r="208" ht="15" customHeight="1" s="21">
      <c r="A208" s="31" t="inlineStr">
        <is>
          <t>2026-27</t>
        </is>
      </c>
      <c r="B208" s="31" t="inlineStr">
        <is>
          <t>Mading ES</t>
        </is>
      </c>
      <c r="C208" s="31" t="inlineStr">
        <is>
          <t>NES Elementary</t>
        </is>
      </c>
      <c r="D208" s="31" t="inlineStr">
        <is>
          <t>No</t>
        </is>
      </c>
      <c r="E208" s="31" t="n"/>
      <c r="F208" s="31" t="n"/>
      <c r="G208" s="31" t="inlineStr">
        <is>
          <t>Not Received</t>
        </is>
      </c>
      <c r="H208" s="31" t="inlineStr">
        <is>
          <t>Not Received</t>
        </is>
      </c>
      <c r="I208" s="31" t="inlineStr">
        <is>
          <t>Not Received</t>
        </is>
      </c>
      <c r="J208" s="31" t="inlineStr">
        <is>
          <t>Not Received</t>
        </is>
      </c>
      <c r="K208" s="31" t="inlineStr">
        <is>
          <t>Not Received</t>
        </is>
      </c>
      <c r="L208" s="31" t="inlineStr">
        <is>
          <t>Not Received</t>
        </is>
      </c>
      <c r="M208" s="31" t="inlineStr">
        <is>
          <t>Not Received</t>
        </is>
      </c>
      <c r="N208" s="31" t="inlineStr">
        <is>
          <t>Not Received</t>
        </is>
      </c>
      <c r="O208" s="32">
        <f>IF($B208="","",COUNTIF(G208:N208,"Accepted")+COUNTIF(G208:N208,"Received")+COUNTIF(G208:N208,"Needs Correction"))</f>
        <v/>
      </c>
      <c r="P208" s="32">
        <f>IF($B208="","",SUMPRODUCT(((G208:N208="Accepted")+(G208:N208="Not Needed"))*(Settings!$C$11:$J$11="Yes")))</f>
        <v/>
      </c>
      <c r="Q208" s="32">
        <f>IF($B208="","",SUMPRODUCT(((G208:N208="Accepted")+(G208:N208="Not Needed"))*(Settings!$C$15:$J$15="Yes")))</f>
        <v/>
      </c>
      <c r="R208" s="33">
        <f>IF($B208="","",IF($D208="No","No PTO/PTA",IF($D208&lt;&gt;"Yes","Not Yet Confirmed",IF($Q208&gt;=Settings!$C$13,"Legalized",IF($P208&gt;=Settings!$C$12,"Registered",IF($O208&gt;0,"In Progress","Not Started"))))))</f>
        <v/>
      </c>
      <c r="S208" s="32">
        <f>IF($B208="","",COUNTIF(G208:N208,"Received"))</f>
        <v/>
      </c>
      <c r="T208" s="32">
        <f>IF($B208="","",COUNTIF(G208:N208,"Needs Correction"))</f>
        <v/>
      </c>
      <c r="U208" s="33">
        <f>IF($B208="","",IF($D208&lt;&gt;"Yes","",IF($Q208&gt;=Settings!$C$13,"None",MID(IF(AND(G208&lt;&gt;"Accepted",G208&lt;&gt;"Not Needed",Settings!$C$15="Yes"),", "&amp;G$1,"")&amp;IF(AND(H208&lt;&gt;"Accepted",H208&lt;&gt;"Not Needed",Settings!$D$15="Yes"),", "&amp;H$1,"")&amp;IF(AND(I208&lt;&gt;"Accepted",I208&lt;&gt;"Not Needed",Settings!$E$15="Yes"),", "&amp;I$1,"")&amp;IF(AND(J208&lt;&gt;"Accepted",J208&lt;&gt;"Not Needed",Settings!$F$15="Yes"),", "&amp;J$1,"")&amp;IF(AND(K208&lt;&gt;"Accepted",K208&lt;&gt;"Not Needed",Settings!$G$15="Yes"),", "&amp;K$1,"")&amp;IF(AND(L208&lt;&gt;"Accepted",L208&lt;&gt;"Not Needed",Settings!$H$15="Yes"),", "&amp;L$1,"")&amp;IF(AND(M208&lt;&gt;"Accepted",M208&lt;&gt;"Not Needed",Settings!$I$15="Yes"),", "&amp;M$1,"")&amp;IF(AND(N208&lt;&gt;"Accepted",N208&lt;&gt;"Not Needed",Settings!$J$15="Yes"),", "&amp;N$1,""),3,400))))</f>
        <v/>
      </c>
    </row>
    <row r="209" ht="15" customHeight="1" s="21">
      <c r="A209" s="31" t="inlineStr">
        <is>
          <t>2026-27</t>
        </is>
      </c>
      <c r="B209" s="31" t="inlineStr">
        <is>
          <t>Madison HS</t>
        </is>
      </c>
      <c r="C209" s="31" t="inlineStr">
        <is>
          <t>NES Secondary</t>
        </is>
      </c>
      <c r="D209" s="31" t="inlineStr">
        <is>
          <t>No</t>
        </is>
      </c>
      <c r="E209" s="31" t="n"/>
      <c r="F209" s="31" t="n"/>
      <c r="G209" s="31" t="inlineStr">
        <is>
          <t>Not Received</t>
        </is>
      </c>
      <c r="H209" s="31" t="inlineStr">
        <is>
          <t>Not Received</t>
        </is>
      </c>
      <c r="I209" s="31" t="inlineStr">
        <is>
          <t>Not Received</t>
        </is>
      </c>
      <c r="J209" s="31" t="inlineStr">
        <is>
          <t>Not Received</t>
        </is>
      </c>
      <c r="K209" s="31" t="inlineStr">
        <is>
          <t>Not Received</t>
        </is>
      </c>
      <c r="L209" s="31" t="inlineStr">
        <is>
          <t>Not Received</t>
        </is>
      </c>
      <c r="M209" s="31" t="inlineStr">
        <is>
          <t>Not Received</t>
        </is>
      </c>
      <c r="N209" s="31" t="inlineStr">
        <is>
          <t>Not Received</t>
        </is>
      </c>
      <c r="O209" s="32">
        <f>IF($B209="","",COUNTIF(G209:N209,"Accepted")+COUNTIF(G209:N209,"Received")+COUNTIF(G209:N209,"Needs Correction"))</f>
        <v/>
      </c>
      <c r="P209" s="32">
        <f>IF($B209="","",SUMPRODUCT(((G209:N209="Accepted")+(G209:N209="Not Needed"))*(Settings!$C$11:$J$11="Yes")))</f>
        <v/>
      </c>
      <c r="Q209" s="32">
        <f>IF($B209="","",SUMPRODUCT(((G209:N209="Accepted")+(G209:N209="Not Needed"))*(Settings!$C$15:$J$15="Yes")))</f>
        <v/>
      </c>
      <c r="R209" s="33">
        <f>IF($B209="","",IF($D209="No","No PTO/PTA",IF($D209&lt;&gt;"Yes","Not Yet Confirmed",IF($Q209&gt;=Settings!$C$13,"Legalized",IF($P209&gt;=Settings!$C$12,"Registered",IF($O209&gt;0,"In Progress","Not Started"))))))</f>
        <v/>
      </c>
      <c r="S209" s="32">
        <f>IF($B209="","",COUNTIF(G209:N209,"Received"))</f>
        <v/>
      </c>
      <c r="T209" s="32">
        <f>IF($B209="","",COUNTIF(G209:N209,"Needs Correction"))</f>
        <v/>
      </c>
      <c r="U209" s="33">
        <f>IF($B209="","",IF($D209&lt;&gt;"Yes","",IF($Q209&gt;=Settings!$C$13,"None",MID(IF(AND(G209&lt;&gt;"Accepted",G209&lt;&gt;"Not Needed",Settings!$C$15="Yes"),", "&amp;G$1,"")&amp;IF(AND(H209&lt;&gt;"Accepted",H209&lt;&gt;"Not Needed",Settings!$D$15="Yes"),", "&amp;H$1,"")&amp;IF(AND(I209&lt;&gt;"Accepted",I209&lt;&gt;"Not Needed",Settings!$E$15="Yes"),", "&amp;I$1,"")&amp;IF(AND(J209&lt;&gt;"Accepted",J209&lt;&gt;"Not Needed",Settings!$F$15="Yes"),", "&amp;J$1,"")&amp;IF(AND(K209&lt;&gt;"Accepted",K209&lt;&gt;"Not Needed",Settings!$G$15="Yes"),", "&amp;K$1,"")&amp;IF(AND(L209&lt;&gt;"Accepted",L209&lt;&gt;"Not Needed",Settings!$H$15="Yes"),", "&amp;L$1,"")&amp;IF(AND(M209&lt;&gt;"Accepted",M209&lt;&gt;"Not Needed",Settings!$I$15="Yes"),", "&amp;M$1,"")&amp;IF(AND(N209&lt;&gt;"Accepted",N209&lt;&gt;"Not Needed",Settings!$J$15="Yes"),", "&amp;N$1,""),3,400))))</f>
        <v/>
      </c>
    </row>
    <row r="210" ht="15" customHeight="1" s="21">
      <c r="A210" s="31" t="inlineStr">
        <is>
          <t>2026-27</t>
        </is>
      </c>
      <c r="B210" s="31" t="inlineStr">
        <is>
          <t>Marshall ES</t>
        </is>
      </c>
      <c r="C210" s="31" t="inlineStr">
        <is>
          <t>NES Elementary</t>
        </is>
      </c>
      <c r="D210" s="31" t="inlineStr">
        <is>
          <t>No</t>
        </is>
      </c>
      <c r="E210" s="31" t="n"/>
      <c r="F210" s="31" t="n"/>
      <c r="G210" s="31" t="inlineStr">
        <is>
          <t>Not Received</t>
        </is>
      </c>
      <c r="H210" s="31" t="inlineStr">
        <is>
          <t>Not Received</t>
        </is>
      </c>
      <c r="I210" s="31" t="inlineStr">
        <is>
          <t>Not Received</t>
        </is>
      </c>
      <c r="J210" s="31" t="inlineStr">
        <is>
          <t>Not Received</t>
        </is>
      </c>
      <c r="K210" s="31" t="inlineStr">
        <is>
          <t>Not Received</t>
        </is>
      </c>
      <c r="L210" s="31" t="inlineStr">
        <is>
          <t>Not Received</t>
        </is>
      </c>
      <c r="M210" s="31" t="inlineStr">
        <is>
          <t>Not Received</t>
        </is>
      </c>
      <c r="N210" s="31" t="inlineStr">
        <is>
          <t>Not Received</t>
        </is>
      </c>
      <c r="O210" s="32">
        <f>IF($B210="","",COUNTIF(G210:N210,"Accepted")+COUNTIF(G210:N210,"Received")+COUNTIF(G210:N210,"Needs Correction"))</f>
        <v/>
      </c>
      <c r="P210" s="32">
        <f>IF($B210="","",SUMPRODUCT(((G210:N210="Accepted")+(G210:N210="Not Needed"))*(Settings!$C$11:$J$11="Yes")))</f>
        <v/>
      </c>
      <c r="Q210" s="32">
        <f>IF($B210="","",SUMPRODUCT(((G210:N210="Accepted")+(G210:N210="Not Needed"))*(Settings!$C$15:$J$15="Yes")))</f>
        <v/>
      </c>
      <c r="R210" s="33">
        <f>IF($B210="","",IF($D210="No","No PTO/PTA",IF($D210&lt;&gt;"Yes","Not Yet Confirmed",IF($Q210&gt;=Settings!$C$13,"Legalized",IF($P210&gt;=Settings!$C$12,"Registered",IF($O210&gt;0,"In Progress","Not Started"))))))</f>
        <v/>
      </c>
      <c r="S210" s="32">
        <f>IF($B210="","",COUNTIF(G210:N210,"Received"))</f>
        <v/>
      </c>
      <c r="T210" s="32">
        <f>IF($B210="","",COUNTIF(G210:N210,"Needs Correction"))</f>
        <v/>
      </c>
      <c r="U210" s="33">
        <f>IF($B210="","",IF($D210&lt;&gt;"Yes","",IF($Q210&gt;=Settings!$C$13,"None",MID(IF(AND(G210&lt;&gt;"Accepted",G210&lt;&gt;"Not Needed",Settings!$C$15="Yes"),", "&amp;G$1,"")&amp;IF(AND(H210&lt;&gt;"Accepted",H210&lt;&gt;"Not Needed",Settings!$D$15="Yes"),", "&amp;H$1,"")&amp;IF(AND(I210&lt;&gt;"Accepted",I210&lt;&gt;"Not Needed",Settings!$E$15="Yes"),", "&amp;I$1,"")&amp;IF(AND(J210&lt;&gt;"Accepted",J210&lt;&gt;"Not Needed",Settings!$F$15="Yes"),", "&amp;J$1,"")&amp;IF(AND(K210&lt;&gt;"Accepted",K210&lt;&gt;"Not Needed",Settings!$G$15="Yes"),", "&amp;K$1,"")&amp;IF(AND(L210&lt;&gt;"Accepted",L210&lt;&gt;"Not Needed",Settings!$H$15="Yes"),", "&amp;L$1,"")&amp;IF(AND(M210&lt;&gt;"Accepted",M210&lt;&gt;"Not Needed",Settings!$I$15="Yes"),", "&amp;M$1,"")&amp;IF(AND(N210&lt;&gt;"Accepted",N210&lt;&gt;"Not Needed",Settings!$J$15="Yes"),", "&amp;N$1,""),3,400))))</f>
        <v/>
      </c>
    </row>
    <row r="211" ht="15" customHeight="1" s="21">
      <c r="A211" s="31" t="inlineStr">
        <is>
          <t>2026-27</t>
        </is>
      </c>
      <c r="B211" s="31" t="inlineStr">
        <is>
          <t>Marshall MS</t>
        </is>
      </c>
      <c r="C211" s="31" t="inlineStr">
        <is>
          <t>NES Secondary</t>
        </is>
      </c>
      <c r="D211" s="31" t="inlineStr">
        <is>
          <t>No</t>
        </is>
      </c>
      <c r="E211" s="31" t="n"/>
      <c r="F211" s="31" t="n"/>
      <c r="G211" s="31" t="inlineStr">
        <is>
          <t>Not Received</t>
        </is>
      </c>
      <c r="H211" s="31" t="inlineStr">
        <is>
          <t>Not Received</t>
        </is>
      </c>
      <c r="I211" s="31" t="inlineStr">
        <is>
          <t>Not Received</t>
        </is>
      </c>
      <c r="J211" s="31" t="inlineStr">
        <is>
          <t>Not Received</t>
        </is>
      </c>
      <c r="K211" s="31" t="inlineStr">
        <is>
          <t>Not Received</t>
        </is>
      </c>
      <c r="L211" s="31" t="inlineStr">
        <is>
          <t>Not Received</t>
        </is>
      </c>
      <c r="M211" s="31" t="inlineStr">
        <is>
          <t>Not Received</t>
        </is>
      </c>
      <c r="N211" s="31" t="inlineStr">
        <is>
          <t>Not Received</t>
        </is>
      </c>
      <c r="O211" s="32">
        <f>IF($B211="","",COUNTIF(G211:N211,"Accepted")+COUNTIF(G211:N211,"Received")+COUNTIF(G211:N211,"Needs Correction"))</f>
        <v/>
      </c>
      <c r="P211" s="32">
        <f>IF($B211="","",SUMPRODUCT(((G211:N211="Accepted")+(G211:N211="Not Needed"))*(Settings!$C$11:$J$11="Yes")))</f>
        <v/>
      </c>
      <c r="Q211" s="32">
        <f>IF($B211="","",SUMPRODUCT(((G211:N211="Accepted")+(G211:N211="Not Needed"))*(Settings!$C$15:$J$15="Yes")))</f>
        <v/>
      </c>
      <c r="R211" s="33">
        <f>IF($B211="","",IF($D211="No","No PTO/PTA",IF($D211&lt;&gt;"Yes","Not Yet Confirmed",IF($Q211&gt;=Settings!$C$13,"Legalized",IF($P211&gt;=Settings!$C$12,"Registered",IF($O211&gt;0,"In Progress","Not Started"))))))</f>
        <v/>
      </c>
      <c r="S211" s="32">
        <f>IF($B211="","",COUNTIF(G211:N211,"Received"))</f>
        <v/>
      </c>
      <c r="T211" s="32">
        <f>IF($B211="","",COUNTIF(G211:N211,"Needs Correction"))</f>
        <v/>
      </c>
      <c r="U211" s="33">
        <f>IF($B211="","",IF($D211&lt;&gt;"Yes","",IF($Q211&gt;=Settings!$C$13,"None",MID(IF(AND(G211&lt;&gt;"Accepted",G211&lt;&gt;"Not Needed",Settings!$C$15="Yes"),", "&amp;G$1,"")&amp;IF(AND(H211&lt;&gt;"Accepted",H211&lt;&gt;"Not Needed",Settings!$D$15="Yes"),", "&amp;H$1,"")&amp;IF(AND(I211&lt;&gt;"Accepted",I211&lt;&gt;"Not Needed",Settings!$E$15="Yes"),", "&amp;I$1,"")&amp;IF(AND(J211&lt;&gt;"Accepted",J211&lt;&gt;"Not Needed",Settings!$F$15="Yes"),", "&amp;J$1,"")&amp;IF(AND(K211&lt;&gt;"Accepted",K211&lt;&gt;"Not Needed",Settings!$G$15="Yes"),", "&amp;K$1,"")&amp;IF(AND(L211&lt;&gt;"Accepted",L211&lt;&gt;"Not Needed",Settings!$H$15="Yes"),", "&amp;L$1,"")&amp;IF(AND(M211&lt;&gt;"Accepted",M211&lt;&gt;"Not Needed",Settings!$I$15="Yes"),", "&amp;M$1,"")&amp;IF(AND(N211&lt;&gt;"Accepted",N211&lt;&gt;"Not Needed",Settings!$J$15="Yes"),", "&amp;N$1,""),3,400))))</f>
        <v/>
      </c>
    </row>
    <row r="212" ht="15" customHeight="1" s="21">
      <c r="A212" s="31" t="inlineStr">
        <is>
          <t>2026-27</t>
        </is>
      </c>
      <c r="B212" s="31" t="inlineStr">
        <is>
          <t>Martinez C ES</t>
        </is>
      </c>
      <c r="C212" s="31" t="inlineStr">
        <is>
          <t>NES Elementary</t>
        </is>
      </c>
      <c r="D212" s="31" t="inlineStr">
        <is>
          <t>No</t>
        </is>
      </c>
      <c r="E212" s="31" t="n"/>
      <c r="F212" s="31" t="n"/>
      <c r="G212" s="31" t="inlineStr">
        <is>
          <t>Not Received</t>
        </is>
      </c>
      <c r="H212" s="31" t="inlineStr">
        <is>
          <t>Not Received</t>
        </is>
      </c>
      <c r="I212" s="31" t="inlineStr">
        <is>
          <t>Not Received</t>
        </is>
      </c>
      <c r="J212" s="31" t="inlineStr">
        <is>
          <t>Not Received</t>
        </is>
      </c>
      <c r="K212" s="31" t="inlineStr">
        <is>
          <t>Not Received</t>
        </is>
      </c>
      <c r="L212" s="31" t="inlineStr">
        <is>
          <t>Not Received</t>
        </is>
      </c>
      <c r="M212" s="31" t="inlineStr">
        <is>
          <t>Not Received</t>
        </is>
      </c>
      <c r="N212" s="31" t="inlineStr">
        <is>
          <t>Not Received</t>
        </is>
      </c>
      <c r="O212" s="32">
        <f>IF($B212="","",COUNTIF(G212:N212,"Accepted")+COUNTIF(G212:N212,"Received")+COUNTIF(G212:N212,"Needs Correction"))</f>
        <v/>
      </c>
      <c r="P212" s="32">
        <f>IF($B212="","",SUMPRODUCT(((G212:N212="Accepted")+(G212:N212="Not Needed"))*(Settings!$C$11:$J$11="Yes")))</f>
        <v/>
      </c>
      <c r="Q212" s="32">
        <f>IF($B212="","",SUMPRODUCT(((G212:N212="Accepted")+(G212:N212="Not Needed"))*(Settings!$C$15:$J$15="Yes")))</f>
        <v/>
      </c>
      <c r="R212" s="33">
        <f>IF($B212="","",IF($D212="No","No PTO/PTA",IF($D212&lt;&gt;"Yes","Not Yet Confirmed",IF($Q212&gt;=Settings!$C$13,"Legalized",IF($P212&gt;=Settings!$C$12,"Registered",IF($O212&gt;0,"In Progress","Not Started"))))))</f>
        <v/>
      </c>
      <c r="S212" s="32">
        <f>IF($B212="","",COUNTIF(G212:N212,"Received"))</f>
        <v/>
      </c>
      <c r="T212" s="32">
        <f>IF($B212="","",COUNTIF(G212:N212,"Needs Correction"))</f>
        <v/>
      </c>
      <c r="U212" s="33">
        <f>IF($B212="","",IF($D212&lt;&gt;"Yes","",IF($Q212&gt;=Settings!$C$13,"None",MID(IF(AND(G212&lt;&gt;"Accepted",G212&lt;&gt;"Not Needed",Settings!$C$15="Yes"),", "&amp;G$1,"")&amp;IF(AND(H212&lt;&gt;"Accepted",H212&lt;&gt;"Not Needed",Settings!$D$15="Yes"),", "&amp;H$1,"")&amp;IF(AND(I212&lt;&gt;"Accepted",I212&lt;&gt;"Not Needed",Settings!$E$15="Yes"),", "&amp;I$1,"")&amp;IF(AND(J212&lt;&gt;"Accepted",J212&lt;&gt;"Not Needed",Settings!$F$15="Yes"),", "&amp;J$1,"")&amp;IF(AND(K212&lt;&gt;"Accepted",K212&lt;&gt;"Not Needed",Settings!$G$15="Yes"),", "&amp;K$1,"")&amp;IF(AND(L212&lt;&gt;"Accepted",L212&lt;&gt;"Not Needed",Settings!$H$15="Yes"),", "&amp;L$1,"")&amp;IF(AND(M212&lt;&gt;"Accepted",M212&lt;&gt;"Not Needed",Settings!$I$15="Yes"),", "&amp;M$1,"")&amp;IF(AND(N212&lt;&gt;"Accepted",N212&lt;&gt;"Not Needed",Settings!$J$15="Yes"),", "&amp;N$1,""),3,400))))</f>
        <v/>
      </c>
    </row>
    <row r="213" ht="15" customHeight="1" s="21">
      <c r="A213" s="31" t="inlineStr">
        <is>
          <t>2026-27</t>
        </is>
      </c>
      <c r="B213" s="31" t="inlineStr">
        <is>
          <t>Middle College HS - Fraga</t>
        </is>
      </c>
      <c r="C213" s="31" t="inlineStr">
        <is>
          <t>EAS Secondary</t>
        </is>
      </c>
      <c r="D213" s="31" t="inlineStr">
        <is>
          <t>Not Yet Confirmed</t>
        </is>
      </c>
      <c r="E213" s="31" t="n"/>
      <c r="F213" s="31" t="n"/>
      <c r="G213" s="31" t="inlineStr">
        <is>
          <t>Not Received</t>
        </is>
      </c>
      <c r="H213" s="31" t="inlineStr">
        <is>
          <t>Not Received</t>
        </is>
      </c>
      <c r="I213" s="31" t="inlineStr">
        <is>
          <t>Not Received</t>
        </is>
      </c>
      <c r="J213" s="31" t="inlineStr">
        <is>
          <t>Not Received</t>
        </is>
      </c>
      <c r="K213" s="31" t="inlineStr">
        <is>
          <t>Not Received</t>
        </is>
      </c>
      <c r="L213" s="31" t="inlineStr">
        <is>
          <t>Not Received</t>
        </is>
      </c>
      <c r="M213" s="31" t="inlineStr">
        <is>
          <t>Not Received</t>
        </is>
      </c>
      <c r="N213" s="31" t="inlineStr">
        <is>
          <t>Not Received</t>
        </is>
      </c>
      <c r="O213" s="32">
        <f>IF($B213="","",COUNTIF(G213:N213,"Accepted")+COUNTIF(G213:N213,"Received")+COUNTIF(G213:N213,"Needs Correction"))</f>
        <v/>
      </c>
      <c r="P213" s="32">
        <f>IF($B213="","",SUMPRODUCT(((G213:N213="Accepted")+(G213:N213="Not Needed"))*(Settings!$C$11:$J$11="Yes")))</f>
        <v/>
      </c>
      <c r="Q213" s="32">
        <f>IF($B213="","",SUMPRODUCT(((G213:N213="Accepted")+(G213:N213="Not Needed"))*(Settings!$C$15:$J$15="Yes")))</f>
        <v/>
      </c>
      <c r="R213" s="33">
        <f>IF($B213="","",IF($D213="No","No PTO/PTA",IF($D213&lt;&gt;"Yes","Not Yet Confirmed",IF($Q213&gt;=Settings!$C$13,"Legalized",IF($P213&gt;=Settings!$C$12,"Registered",IF($O213&gt;0,"In Progress","Not Started"))))))</f>
        <v/>
      </c>
      <c r="S213" s="32">
        <f>IF($B213="","",COUNTIF(G213:N213,"Received"))</f>
        <v/>
      </c>
      <c r="T213" s="32">
        <f>IF($B213="","",COUNTIF(G213:N213,"Needs Correction"))</f>
        <v/>
      </c>
      <c r="U213" s="33">
        <f>IF($B213="","",IF($D213&lt;&gt;"Yes","",IF($Q213&gt;=Settings!$C$13,"None",MID(IF(AND(G213&lt;&gt;"Accepted",G213&lt;&gt;"Not Needed",Settings!$C$15="Yes"),", "&amp;G$1,"")&amp;IF(AND(H213&lt;&gt;"Accepted",H213&lt;&gt;"Not Needed",Settings!$D$15="Yes"),", "&amp;H$1,"")&amp;IF(AND(I213&lt;&gt;"Accepted",I213&lt;&gt;"Not Needed",Settings!$E$15="Yes"),", "&amp;I$1,"")&amp;IF(AND(J213&lt;&gt;"Accepted",J213&lt;&gt;"Not Needed",Settings!$F$15="Yes"),", "&amp;J$1,"")&amp;IF(AND(K213&lt;&gt;"Accepted",K213&lt;&gt;"Not Needed",Settings!$G$15="Yes"),", "&amp;K$1,"")&amp;IF(AND(L213&lt;&gt;"Accepted",L213&lt;&gt;"Not Needed",Settings!$H$15="Yes"),", "&amp;L$1,"")&amp;IF(AND(M213&lt;&gt;"Accepted",M213&lt;&gt;"Not Needed",Settings!$I$15="Yes"),", "&amp;M$1,"")&amp;IF(AND(N213&lt;&gt;"Accepted",N213&lt;&gt;"Not Needed",Settings!$J$15="Yes"),", "&amp;N$1,""),3,400))))</f>
        <v/>
      </c>
    </row>
    <row r="214" ht="15" customHeight="1" s="21">
      <c r="A214" s="31" t="inlineStr">
        <is>
          <t>2026-27</t>
        </is>
      </c>
      <c r="B214" s="31" t="inlineStr">
        <is>
          <t>McGowen ES</t>
        </is>
      </c>
      <c r="C214" s="31" t="inlineStr">
        <is>
          <t>NES Elementary</t>
        </is>
      </c>
      <c r="D214" s="31" t="inlineStr">
        <is>
          <t>No</t>
        </is>
      </c>
      <c r="E214" s="31" t="n"/>
      <c r="F214" s="31" t="n"/>
      <c r="G214" s="31" t="inlineStr">
        <is>
          <t>Not Received</t>
        </is>
      </c>
      <c r="H214" s="31" t="inlineStr">
        <is>
          <t>Not Received</t>
        </is>
      </c>
      <c r="I214" s="31" t="inlineStr">
        <is>
          <t>Not Received</t>
        </is>
      </c>
      <c r="J214" s="31" t="inlineStr">
        <is>
          <t>Not Received</t>
        </is>
      </c>
      <c r="K214" s="31" t="inlineStr">
        <is>
          <t>Not Received</t>
        </is>
      </c>
      <c r="L214" s="31" t="inlineStr">
        <is>
          <t>Not Received</t>
        </is>
      </c>
      <c r="M214" s="31" t="inlineStr">
        <is>
          <t>Not Received</t>
        </is>
      </c>
      <c r="N214" s="31" t="inlineStr">
        <is>
          <t>Not Received</t>
        </is>
      </c>
      <c r="O214" s="32">
        <f>IF($B214="","",COUNTIF(G214:N214,"Accepted")+COUNTIF(G214:N214,"Received")+COUNTIF(G214:N214,"Needs Correction"))</f>
        <v/>
      </c>
      <c r="P214" s="32">
        <f>IF($B214="","",SUMPRODUCT(((G214:N214="Accepted")+(G214:N214="Not Needed"))*(Settings!$C$11:$J$11="Yes")))</f>
        <v/>
      </c>
      <c r="Q214" s="32">
        <f>IF($B214="","",SUMPRODUCT(((G214:N214="Accepted")+(G214:N214="Not Needed"))*(Settings!$C$15:$J$15="Yes")))</f>
        <v/>
      </c>
      <c r="R214" s="33">
        <f>IF($B214="","",IF($D214="No","No PTO/PTA",IF($D214&lt;&gt;"Yes","Not Yet Confirmed",IF($Q214&gt;=Settings!$C$13,"Legalized",IF($P214&gt;=Settings!$C$12,"Registered",IF($O214&gt;0,"In Progress","Not Started"))))))</f>
        <v/>
      </c>
      <c r="S214" s="32">
        <f>IF($B214="","",COUNTIF(G214:N214,"Received"))</f>
        <v/>
      </c>
      <c r="T214" s="32">
        <f>IF($B214="","",COUNTIF(G214:N214,"Needs Correction"))</f>
        <v/>
      </c>
      <c r="U214" s="33">
        <f>IF($B214="","",IF($D214&lt;&gt;"Yes","",IF($Q214&gt;=Settings!$C$13,"None",MID(IF(AND(G214&lt;&gt;"Accepted",G214&lt;&gt;"Not Needed",Settings!$C$15="Yes"),", "&amp;G$1,"")&amp;IF(AND(H214&lt;&gt;"Accepted",H214&lt;&gt;"Not Needed",Settings!$D$15="Yes"),", "&amp;H$1,"")&amp;IF(AND(I214&lt;&gt;"Accepted",I214&lt;&gt;"Not Needed",Settings!$E$15="Yes"),", "&amp;I$1,"")&amp;IF(AND(J214&lt;&gt;"Accepted",J214&lt;&gt;"Not Needed",Settings!$F$15="Yes"),", "&amp;J$1,"")&amp;IF(AND(K214&lt;&gt;"Accepted",K214&lt;&gt;"Not Needed",Settings!$G$15="Yes"),", "&amp;K$1,"")&amp;IF(AND(L214&lt;&gt;"Accepted",L214&lt;&gt;"Not Needed",Settings!$H$15="Yes"),", "&amp;L$1,"")&amp;IF(AND(M214&lt;&gt;"Accepted",M214&lt;&gt;"Not Needed",Settings!$I$15="Yes"),", "&amp;M$1,"")&amp;IF(AND(N214&lt;&gt;"Accepted",N214&lt;&gt;"Not Needed",Settings!$J$15="Yes"),", "&amp;N$1,""),3,400))))</f>
        <v/>
      </c>
    </row>
    <row r="215" ht="15" customHeight="1" s="21">
      <c r="A215" s="31" t="inlineStr">
        <is>
          <t>2026-27</t>
        </is>
      </c>
      <c r="B215" s="31" t="inlineStr">
        <is>
          <t>Milne ES</t>
        </is>
      </c>
      <c r="C215" s="31" t="inlineStr">
        <is>
          <t>NES Elementary</t>
        </is>
      </c>
      <c r="D215" s="31" t="inlineStr">
        <is>
          <t>No</t>
        </is>
      </c>
      <c r="E215" s="31" t="n"/>
      <c r="F215" s="31" t="n"/>
      <c r="G215" s="31" t="inlineStr">
        <is>
          <t>Not Received</t>
        </is>
      </c>
      <c r="H215" s="31" t="inlineStr">
        <is>
          <t>Not Received</t>
        </is>
      </c>
      <c r="I215" s="31" t="inlineStr">
        <is>
          <t>Not Received</t>
        </is>
      </c>
      <c r="J215" s="31" t="inlineStr">
        <is>
          <t>Not Received</t>
        </is>
      </c>
      <c r="K215" s="31" t="inlineStr">
        <is>
          <t>Not Received</t>
        </is>
      </c>
      <c r="L215" s="31" t="inlineStr">
        <is>
          <t>Not Received</t>
        </is>
      </c>
      <c r="M215" s="31" t="inlineStr">
        <is>
          <t>Not Received</t>
        </is>
      </c>
      <c r="N215" s="31" t="inlineStr">
        <is>
          <t>Not Received</t>
        </is>
      </c>
      <c r="O215" s="32">
        <f>IF($B215="","",COUNTIF(G215:N215,"Accepted")+COUNTIF(G215:N215,"Received")+COUNTIF(G215:N215,"Needs Correction"))</f>
        <v/>
      </c>
      <c r="P215" s="32">
        <f>IF($B215="","",SUMPRODUCT(((G215:N215="Accepted")+(G215:N215="Not Needed"))*(Settings!$C$11:$J$11="Yes")))</f>
        <v/>
      </c>
      <c r="Q215" s="32">
        <f>IF($B215="","",SUMPRODUCT(((G215:N215="Accepted")+(G215:N215="Not Needed"))*(Settings!$C$15:$J$15="Yes")))</f>
        <v/>
      </c>
      <c r="R215" s="33">
        <f>IF($B215="","",IF($D215="No","No PTO/PTA",IF($D215&lt;&gt;"Yes","Not Yet Confirmed",IF($Q215&gt;=Settings!$C$13,"Legalized",IF($P215&gt;=Settings!$C$12,"Registered",IF($O215&gt;0,"In Progress","Not Started"))))))</f>
        <v/>
      </c>
      <c r="S215" s="32">
        <f>IF($B215="","",COUNTIF(G215:N215,"Received"))</f>
        <v/>
      </c>
      <c r="T215" s="32">
        <f>IF($B215="","",COUNTIF(G215:N215,"Needs Correction"))</f>
        <v/>
      </c>
      <c r="U215" s="33">
        <f>IF($B215="","",IF($D215&lt;&gt;"Yes","",IF($Q215&gt;=Settings!$C$13,"None",MID(IF(AND(G215&lt;&gt;"Accepted",G215&lt;&gt;"Not Needed",Settings!$C$15="Yes"),", "&amp;G$1,"")&amp;IF(AND(H215&lt;&gt;"Accepted",H215&lt;&gt;"Not Needed",Settings!$D$15="Yes"),", "&amp;H$1,"")&amp;IF(AND(I215&lt;&gt;"Accepted",I215&lt;&gt;"Not Needed",Settings!$E$15="Yes"),", "&amp;I$1,"")&amp;IF(AND(J215&lt;&gt;"Accepted",J215&lt;&gt;"Not Needed",Settings!$F$15="Yes"),", "&amp;J$1,"")&amp;IF(AND(K215&lt;&gt;"Accepted",K215&lt;&gt;"Not Needed",Settings!$G$15="Yes"),", "&amp;K$1,"")&amp;IF(AND(L215&lt;&gt;"Accepted",L215&lt;&gt;"Not Needed",Settings!$H$15="Yes"),", "&amp;L$1,"")&amp;IF(AND(M215&lt;&gt;"Accepted",M215&lt;&gt;"Not Needed",Settings!$I$15="Yes"),", "&amp;M$1,"")&amp;IF(AND(N215&lt;&gt;"Accepted",N215&lt;&gt;"Not Needed",Settings!$J$15="Yes"),", "&amp;N$1,""),3,400))))</f>
        <v/>
      </c>
    </row>
    <row r="216" ht="15" customHeight="1" s="21">
      <c r="A216" s="31" t="inlineStr">
        <is>
          <t>2026-27</t>
        </is>
      </c>
      <c r="B216" s="31" t="inlineStr">
        <is>
          <t>MLK ECC</t>
        </is>
      </c>
      <c r="C216" s="31" t="inlineStr">
        <is>
          <t>EAS Elementary</t>
        </is>
      </c>
      <c r="D216" s="31" t="inlineStr">
        <is>
          <t>No</t>
        </is>
      </c>
      <c r="E216" s="31" t="n"/>
      <c r="F216" s="31" t="n"/>
      <c r="G216" s="31" t="inlineStr">
        <is>
          <t>Not Received</t>
        </is>
      </c>
      <c r="H216" s="31" t="inlineStr">
        <is>
          <t>Not Received</t>
        </is>
      </c>
      <c r="I216" s="31" t="inlineStr">
        <is>
          <t>Not Received</t>
        </is>
      </c>
      <c r="J216" s="31" t="inlineStr">
        <is>
          <t>Not Received</t>
        </is>
      </c>
      <c r="K216" s="31" t="inlineStr">
        <is>
          <t>Not Received</t>
        </is>
      </c>
      <c r="L216" s="31" t="inlineStr">
        <is>
          <t>Not Received</t>
        </is>
      </c>
      <c r="M216" s="31" t="inlineStr">
        <is>
          <t>Not Received</t>
        </is>
      </c>
      <c r="N216" s="31" t="inlineStr">
        <is>
          <t>Not Received</t>
        </is>
      </c>
      <c r="O216" s="32">
        <f>IF($B216="","",COUNTIF(G216:N216,"Accepted")+COUNTIF(G216:N216,"Received")+COUNTIF(G216:N216,"Needs Correction"))</f>
        <v/>
      </c>
      <c r="P216" s="32">
        <f>IF($B216="","",SUMPRODUCT(((G216:N216="Accepted")+(G216:N216="Not Needed"))*(Settings!$C$11:$J$11="Yes")))</f>
        <v/>
      </c>
      <c r="Q216" s="32">
        <f>IF($B216="","",SUMPRODUCT(((G216:N216="Accepted")+(G216:N216="Not Needed"))*(Settings!$C$15:$J$15="Yes")))</f>
        <v/>
      </c>
      <c r="R216" s="33">
        <f>IF($B216="","",IF($D216="No","No PTO/PTA",IF($D216&lt;&gt;"Yes","Not Yet Confirmed",IF($Q216&gt;=Settings!$C$13,"Legalized",IF($P216&gt;=Settings!$C$12,"Registered",IF($O216&gt;0,"In Progress","Not Started"))))))</f>
        <v/>
      </c>
      <c r="S216" s="32">
        <f>IF($B216="","",COUNTIF(G216:N216,"Received"))</f>
        <v/>
      </c>
      <c r="T216" s="32">
        <f>IF($B216="","",COUNTIF(G216:N216,"Needs Correction"))</f>
        <v/>
      </c>
      <c r="U216" s="33">
        <f>IF($B216="","",IF($D216&lt;&gt;"Yes","",IF($Q216&gt;=Settings!$C$13,"None",MID(IF(AND(G216&lt;&gt;"Accepted",G216&lt;&gt;"Not Needed",Settings!$C$15="Yes"),", "&amp;G$1,"")&amp;IF(AND(H216&lt;&gt;"Accepted",H216&lt;&gt;"Not Needed",Settings!$D$15="Yes"),", "&amp;H$1,"")&amp;IF(AND(I216&lt;&gt;"Accepted",I216&lt;&gt;"Not Needed",Settings!$E$15="Yes"),", "&amp;I$1,"")&amp;IF(AND(J216&lt;&gt;"Accepted",J216&lt;&gt;"Not Needed",Settings!$F$15="Yes"),", "&amp;J$1,"")&amp;IF(AND(K216&lt;&gt;"Accepted",K216&lt;&gt;"Not Needed",Settings!$G$15="Yes"),", "&amp;K$1,"")&amp;IF(AND(L216&lt;&gt;"Accepted",L216&lt;&gt;"Not Needed",Settings!$H$15="Yes"),", "&amp;L$1,"")&amp;IF(AND(M216&lt;&gt;"Accepted",M216&lt;&gt;"Not Needed",Settings!$I$15="Yes"),", "&amp;M$1,"")&amp;IF(AND(N216&lt;&gt;"Accepted",N216&lt;&gt;"Not Needed",Settings!$J$15="Yes"),", "&amp;N$1,""),3,400))))</f>
        <v/>
      </c>
    </row>
    <row r="217" ht="15" customHeight="1" s="21">
      <c r="A217" s="31" t="inlineStr">
        <is>
          <t>2026-27</t>
        </is>
      </c>
      <c r="B217" s="31" t="inlineStr">
        <is>
          <t>Montgomery ES</t>
        </is>
      </c>
      <c r="C217" s="31" t="inlineStr">
        <is>
          <t>NES Elementary</t>
        </is>
      </c>
      <c r="D217" s="31" t="inlineStr">
        <is>
          <t>No</t>
        </is>
      </c>
      <c r="E217" s="31" t="n"/>
      <c r="F217" s="31" t="n"/>
      <c r="G217" s="31" t="inlineStr">
        <is>
          <t>Not Received</t>
        </is>
      </c>
      <c r="H217" s="31" t="inlineStr">
        <is>
          <t>Not Received</t>
        </is>
      </c>
      <c r="I217" s="31" t="inlineStr">
        <is>
          <t>Not Received</t>
        </is>
      </c>
      <c r="J217" s="31" t="inlineStr">
        <is>
          <t>Not Received</t>
        </is>
      </c>
      <c r="K217" s="31" t="inlineStr">
        <is>
          <t>Not Received</t>
        </is>
      </c>
      <c r="L217" s="31" t="inlineStr">
        <is>
          <t>Not Received</t>
        </is>
      </c>
      <c r="M217" s="31" t="inlineStr">
        <is>
          <t>Not Received</t>
        </is>
      </c>
      <c r="N217" s="31" t="inlineStr">
        <is>
          <t>Not Received</t>
        </is>
      </c>
      <c r="O217" s="32">
        <f>IF($B217="","",COUNTIF(G217:N217,"Accepted")+COUNTIF(G217:N217,"Received")+COUNTIF(G217:N217,"Needs Correction"))</f>
        <v/>
      </c>
      <c r="P217" s="32">
        <f>IF($B217="","",SUMPRODUCT(((G217:N217="Accepted")+(G217:N217="Not Needed"))*(Settings!$C$11:$J$11="Yes")))</f>
        <v/>
      </c>
      <c r="Q217" s="32">
        <f>IF($B217="","",SUMPRODUCT(((G217:N217="Accepted")+(G217:N217="Not Needed"))*(Settings!$C$15:$J$15="Yes")))</f>
        <v/>
      </c>
      <c r="R217" s="33">
        <f>IF($B217="","",IF($D217="No","No PTO/PTA",IF($D217&lt;&gt;"Yes","Not Yet Confirmed",IF($Q217&gt;=Settings!$C$13,"Legalized",IF($P217&gt;=Settings!$C$12,"Registered",IF($O217&gt;0,"In Progress","Not Started"))))))</f>
        <v/>
      </c>
      <c r="S217" s="32">
        <f>IF($B217="","",COUNTIF(G217:N217,"Received"))</f>
        <v/>
      </c>
      <c r="T217" s="32">
        <f>IF($B217="","",COUNTIF(G217:N217,"Needs Correction"))</f>
        <v/>
      </c>
      <c r="U217" s="33">
        <f>IF($B217="","",IF($D217&lt;&gt;"Yes","",IF($Q217&gt;=Settings!$C$13,"None",MID(IF(AND(G217&lt;&gt;"Accepted",G217&lt;&gt;"Not Needed",Settings!$C$15="Yes"),", "&amp;G$1,"")&amp;IF(AND(H217&lt;&gt;"Accepted",H217&lt;&gt;"Not Needed",Settings!$D$15="Yes"),", "&amp;H$1,"")&amp;IF(AND(I217&lt;&gt;"Accepted",I217&lt;&gt;"Not Needed",Settings!$E$15="Yes"),", "&amp;I$1,"")&amp;IF(AND(J217&lt;&gt;"Accepted",J217&lt;&gt;"Not Needed",Settings!$F$15="Yes"),", "&amp;J$1,"")&amp;IF(AND(K217&lt;&gt;"Accepted",K217&lt;&gt;"Not Needed",Settings!$G$15="Yes"),", "&amp;K$1,"")&amp;IF(AND(L217&lt;&gt;"Accepted",L217&lt;&gt;"Not Needed",Settings!$H$15="Yes"),", "&amp;L$1,"")&amp;IF(AND(M217&lt;&gt;"Accepted",M217&lt;&gt;"Not Needed",Settings!$I$15="Yes"),", "&amp;M$1,"")&amp;IF(AND(N217&lt;&gt;"Accepted",N217&lt;&gt;"Not Needed",Settings!$J$15="Yes"),", "&amp;N$1,""),3,400))))</f>
        <v/>
      </c>
    </row>
    <row r="218" ht="15" customHeight="1" s="21">
      <c r="A218" s="31" t="inlineStr">
        <is>
          <t>2026-27</t>
        </is>
      </c>
      <c r="B218" s="31" t="inlineStr">
        <is>
          <t>Navarro MS</t>
        </is>
      </c>
      <c r="C218" s="31" t="inlineStr">
        <is>
          <t>NES Secondary</t>
        </is>
      </c>
      <c r="D218" s="31" t="inlineStr">
        <is>
          <t>No</t>
        </is>
      </c>
      <c r="E218" s="31" t="n"/>
      <c r="F218" s="31" t="n"/>
      <c r="G218" s="31" t="inlineStr">
        <is>
          <t>Not Received</t>
        </is>
      </c>
      <c r="H218" s="31" t="inlineStr">
        <is>
          <t>Not Received</t>
        </is>
      </c>
      <c r="I218" s="31" t="inlineStr">
        <is>
          <t>Not Received</t>
        </is>
      </c>
      <c r="J218" s="31" t="inlineStr">
        <is>
          <t>Not Received</t>
        </is>
      </c>
      <c r="K218" s="31" t="inlineStr">
        <is>
          <t>Not Received</t>
        </is>
      </c>
      <c r="L218" s="31" t="inlineStr">
        <is>
          <t>Not Received</t>
        </is>
      </c>
      <c r="M218" s="31" t="inlineStr">
        <is>
          <t>Not Received</t>
        </is>
      </c>
      <c r="N218" s="31" t="inlineStr">
        <is>
          <t>Not Received</t>
        </is>
      </c>
      <c r="O218" s="32">
        <f>IF($B218="","",COUNTIF(G218:N218,"Accepted")+COUNTIF(G218:N218,"Received")+COUNTIF(G218:N218,"Needs Correction"))</f>
        <v/>
      </c>
      <c r="P218" s="32">
        <f>IF($B218="","",SUMPRODUCT(((G218:N218="Accepted")+(G218:N218="Not Needed"))*(Settings!$C$11:$J$11="Yes")))</f>
        <v/>
      </c>
      <c r="Q218" s="32">
        <f>IF($B218="","",SUMPRODUCT(((G218:N218="Accepted")+(G218:N218="Not Needed"))*(Settings!$C$15:$J$15="Yes")))</f>
        <v/>
      </c>
      <c r="R218" s="33">
        <f>IF($B218="","",IF($D218="No","No PTO/PTA",IF($D218&lt;&gt;"Yes","Not Yet Confirmed",IF($Q218&gt;=Settings!$C$13,"Legalized",IF($P218&gt;=Settings!$C$12,"Registered",IF($O218&gt;0,"In Progress","Not Started"))))))</f>
        <v/>
      </c>
      <c r="S218" s="32">
        <f>IF($B218="","",COUNTIF(G218:N218,"Received"))</f>
        <v/>
      </c>
      <c r="T218" s="32">
        <f>IF($B218="","",COUNTIF(G218:N218,"Needs Correction"))</f>
        <v/>
      </c>
      <c r="U218" s="33">
        <f>IF($B218="","",IF($D218&lt;&gt;"Yes","",IF($Q218&gt;=Settings!$C$13,"None",MID(IF(AND(G218&lt;&gt;"Accepted",G218&lt;&gt;"Not Needed",Settings!$C$15="Yes"),", "&amp;G$1,"")&amp;IF(AND(H218&lt;&gt;"Accepted",H218&lt;&gt;"Not Needed",Settings!$D$15="Yes"),", "&amp;H$1,"")&amp;IF(AND(I218&lt;&gt;"Accepted",I218&lt;&gt;"Not Needed",Settings!$E$15="Yes"),", "&amp;I$1,"")&amp;IF(AND(J218&lt;&gt;"Accepted",J218&lt;&gt;"Not Needed",Settings!$F$15="Yes"),", "&amp;J$1,"")&amp;IF(AND(K218&lt;&gt;"Accepted",K218&lt;&gt;"Not Needed",Settings!$G$15="Yes"),", "&amp;K$1,"")&amp;IF(AND(L218&lt;&gt;"Accepted",L218&lt;&gt;"Not Needed",Settings!$H$15="Yes"),", "&amp;L$1,"")&amp;IF(AND(M218&lt;&gt;"Accepted",M218&lt;&gt;"Not Needed",Settings!$I$15="Yes"),", "&amp;M$1,"")&amp;IF(AND(N218&lt;&gt;"Accepted",N218&lt;&gt;"Not Needed",Settings!$J$15="Yes"),", "&amp;N$1,""),3,400))))</f>
        <v/>
      </c>
    </row>
    <row r="219" ht="15" customHeight="1" s="21">
      <c r="A219" s="31" t="inlineStr">
        <is>
          <t>2026-27</t>
        </is>
      </c>
      <c r="B219" s="31" t="inlineStr">
        <is>
          <t>Neff ES</t>
        </is>
      </c>
      <c r="C219" s="31" t="inlineStr">
        <is>
          <t>NES Elementary</t>
        </is>
      </c>
      <c r="D219" s="31" t="inlineStr">
        <is>
          <t>No</t>
        </is>
      </c>
      <c r="E219" s="31" t="n"/>
      <c r="F219" s="31" t="n"/>
      <c r="G219" s="31" t="inlineStr">
        <is>
          <t>Not Received</t>
        </is>
      </c>
      <c r="H219" s="31" t="inlineStr">
        <is>
          <t>Not Received</t>
        </is>
      </c>
      <c r="I219" s="31" t="inlineStr">
        <is>
          <t>Not Received</t>
        </is>
      </c>
      <c r="J219" s="31" t="inlineStr">
        <is>
          <t>Not Received</t>
        </is>
      </c>
      <c r="K219" s="31" t="inlineStr">
        <is>
          <t>Not Received</t>
        </is>
      </c>
      <c r="L219" s="31" t="inlineStr">
        <is>
          <t>Not Received</t>
        </is>
      </c>
      <c r="M219" s="31" t="inlineStr">
        <is>
          <t>Not Received</t>
        </is>
      </c>
      <c r="N219" s="31" t="inlineStr">
        <is>
          <t>Not Received</t>
        </is>
      </c>
      <c r="O219" s="32">
        <f>IF($B219="","",COUNTIF(G219:N219,"Accepted")+COUNTIF(G219:N219,"Received")+COUNTIF(G219:N219,"Needs Correction"))</f>
        <v/>
      </c>
      <c r="P219" s="32">
        <f>IF($B219="","",SUMPRODUCT(((G219:N219="Accepted")+(G219:N219="Not Needed"))*(Settings!$C$11:$J$11="Yes")))</f>
        <v/>
      </c>
      <c r="Q219" s="32">
        <f>IF($B219="","",SUMPRODUCT(((G219:N219="Accepted")+(G219:N219="Not Needed"))*(Settings!$C$15:$J$15="Yes")))</f>
        <v/>
      </c>
      <c r="R219" s="33">
        <f>IF($B219="","",IF($D219="No","No PTO/PTA",IF($D219&lt;&gt;"Yes","Not Yet Confirmed",IF($Q219&gt;=Settings!$C$13,"Legalized",IF($P219&gt;=Settings!$C$12,"Registered",IF($O219&gt;0,"In Progress","Not Started"))))))</f>
        <v/>
      </c>
      <c r="S219" s="32">
        <f>IF($B219="","",COUNTIF(G219:N219,"Received"))</f>
        <v/>
      </c>
      <c r="T219" s="32">
        <f>IF($B219="","",COUNTIF(G219:N219,"Needs Correction"))</f>
        <v/>
      </c>
      <c r="U219" s="33">
        <f>IF($B219="","",IF($D219&lt;&gt;"Yes","",IF($Q219&gt;=Settings!$C$13,"None",MID(IF(AND(G219&lt;&gt;"Accepted",G219&lt;&gt;"Not Needed",Settings!$C$15="Yes"),", "&amp;G$1,"")&amp;IF(AND(H219&lt;&gt;"Accepted",H219&lt;&gt;"Not Needed",Settings!$D$15="Yes"),", "&amp;H$1,"")&amp;IF(AND(I219&lt;&gt;"Accepted",I219&lt;&gt;"Not Needed",Settings!$E$15="Yes"),", "&amp;I$1,"")&amp;IF(AND(J219&lt;&gt;"Accepted",J219&lt;&gt;"Not Needed",Settings!$F$15="Yes"),", "&amp;J$1,"")&amp;IF(AND(K219&lt;&gt;"Accepted",K219&lt;&gt;"Not Needed",Settings!$G$15="Yes"),", "&amp;K$1,"")&amp;IF(AND(L219&lt;&gt;"Accepted",L219&lt;&gt;"Not Needed",Settings!$H$15="Yes"),", "&amp;L$1,"")&amp;IF(AND(M219&lt;&gt;"Accepted",M219&lt;&gt;"Not Needed",Settings!$I$15="Yes"),", "&amp;M$1,"")&amp;IF(AND(N219&lt;&gt;"Accepted",N219&lt;&gt;"Not Needed",Settings!$J$15="Yes"),", "&amp;N$1,""),3,400))))</f>
        <v/>
      </c>
    </row>
    <row r="220" ht="15" customHeight="1" s="21">
      <c r="A220" s="31" t="inlineStr">
        <is>
          <t>2026-27</t>
        </is>
      </c>
      <c r="B220" s="31" t="inlineStr">
        <is>
          <t>North Forest HS</t>
        </is>
      </c>
      <c r="C220" s="31" t="inlineStr">
        <is>
          <t>NES Secondary</t>
        </is>
      </c>
      <c r="D220" s="31" t="inlineStr">
        <is>
          <t>No</t>
        </is>
      </c>
      <c r="E220" s="31" t="n"/>
      <c r="F220" s="31" t="n"/>
      <c r="G220" s="31" t="inlineStr">
        <is>
          <t>Not Received</t>
        </is>
      </c>
      <c r="H220" s="31" t="inlineStr">
        <is>
          <t>Not Received</t>
        </is>
      </c>
      <c r="I220" s="31" t="inlineStr">
        <is>
          <t>Not Received</t>
        </is>
      </c>
      <c r="J220" s="31" t="inlineStr">
        <is>
          <t>Not Received</t>
        </is>
      </c>
      <c r="K220" s="31" t="inlineStr">
        <is>
          <t>Not Received</t>
        </is>
      </c>
      <c r="L220" s="31" t="inlineStr">
        <is>
          <t>Not Received</t>
        </is>
      </c>
      <c r="M220" s="31" t="inlineStr">
        <is>
          <t>Not Received</t>
        </is>
      </c>
      <c r="N220" s="31" t="inlineStr">
        <is>
          <t>Not Received</t>
        </is>
      </c>
      <c r="O220" s="32">
        <f>IF($B220="","",COUNTIF(G220:N220,"Accepted")+COUNTIF(G220:N220,"Received")+COUNTIF(G220:N220,"Needs Correction"))</f>
        <v/>
      </c>
      <c r="P220" s="32">
        <f>IF($B220="","",SUMPRODUCT(((G220:N220="Accepted")+(G220:N220="Not Needed"))*(Settings!$C$11:$J$11="Yes")))</f>
        <v/>
      </c>
      <c r="Q220" s="32">
        <f>IF($B220="","",SUMPRODUCT(((G220:N220="Accepted")+(G220:N220="Not Needed"))*(Settings!$C$15:$J$15="Yes")))</f>
        <v/>
      </c>
      <c r="R220" s="33">
        <f>IF($B220="","",IF($D220="No","No PTO/PTA",IF($D220&lt;&gt;"Yes","Not Yet Confirmed",IF($Q220&gt;=Settings!$C$13,"Legalized",IF($P220&gt;=Settings!$C$12,"Registered",IF($O220&gt;0,"In Progress","Not Started"))))))</f>
        <v/>
      </c>
      <c r="S220" s="32">
        <f>IF($B220="","",COUNTIF(G220:N220,"Received"))</f>
        <v/>
      </c>
      <c r="T220" s="32">
        <f>IF($B220="","",COUNTIF(G220:N220,"Needs Correction"))</f>
        <v/>
      </c>
      <c r="U220" s="33">
        <f>IF($B220="","",IF($D220&lt;&gt;"Yes","",IF($Q220&gt;=Settings!$C$13,"None",MID(IF(AND(G220&lt;&gt;"Accepted",G220&lt;&gt;"Not Needed",Settings!$C$15="Yes"),", "&amp;G$1,"")&amp;IF(AND(H220&lt;&gt;"Accepted",H220&lt;&gt;"Not Needed",Settings!$D$15="Yes"),", "&amp;H$1,"")&amp;IF(AND(I220&lt;&gt;"Accepted",I220&lt;&gt;"Not Needed",Settings!$E$15="Yes"),", "&amp;I$1,"")&amp;IF(AND(J220&lt;&gt;"Accepted",J220&lt;&gt;"Not Needed",Settings!$F$15="Yes"),", "&amp;J$1,"")&amp;IF(AND(K220&lt;&gt;"Accepted",K220&lt;&gt;"Not Needed",Settings!$G$15="Yes"),", "&amp;K$1,"")&amp;IF(AND(L220&lt;&gt;"Accepted",L220&lt;&gt;"Not Needed",Settings!$H$15="Yes"),", "&amp;L$1,"")&amp;IF(AND(M220&lt;&gt;"Accepted",M220&lt;&gt;"Not Needed",Settings!$I$15="Yes"),", "&amp;M$1,"")&amp;IF(AND(N220&lt;&gt;"Accepted",N220&lt;&gt;"Not Needed",Settings!$J$15="Yes"),", "&amp;N$1,""),3,400))))</f>
        <v/>
      </c>
    </row>
    <row r="221" ht="15" customHeight="1" s="21">
      <c r="A221" s="31" t="inlineStr">
        <is>
          <t>2026-27</t>
        </is>
      </c>
      <c r="B221" s="31" t="inlineStr">
        <is>
          <t>North Houston EC HS</t>
        </is>
      </c>
      <c r="C221" s="31" t="inlineStr">
        <is>
          <t>EAS Secondary</t>
        </is>
      </c>
      <c r="D221" s="31" t="inlineStr">
        <is>
          <t>No</t>
        </is>
      </c>
      <c r="E221" s="31" t="n"/>
      <c r="F221" s="31" t="n"/>
      <c r="G221" s="31" t="inlineStr">
        <is>
          <t>Not Received</t>
        </is>
      </c>
      <c r="H221" s="31" t="inlineStr">
        <is>
          <t>Not Received</t>
        </is>
      </c>
      <c r="I221" s="31" t="inlineStr">
        <is>
          <t>Not Received</t>
        </is>
      </c>
      <c r="J221" s="31" t="inlineStr">
        <is>
          <t>Not Received</t>
        </is>
      </c>
      <c r="K221" s="31" t="inlineStr">
        <is>
          <t>Not Received</t>
        </is>
      </c>
      <c r="L221" s="31" t="inlineStr">
        <is>
          <t>Not Received</t>
        </is>
      </c>
      <c r="M221" s="31" t="inlineStr">
        <is>
          <t>Not Received</t>
        </is>
      </c>
      <c r="N221" s="31" t="inlineStr">
        <is>
          <t>Not Received</t>
        </is>
      </c>
      <c r="O221" s="32">
        <f>IF($B221="","",COUNTIF(G221:N221,"Accepted")+COUNTIF(G221:N221,"Received")+COUNTIF(G221:N221,"Needs Correction"))</f>
        <v/>
      </c>
      <c r="P221" s="32">
        <f>IF($B221="","",SUMPRODUCT(((G221:N221="Accepted")+(G221:N221="Not Needed"))*(Settings!$C$11:$J$11="Yes")))</f>
        <v/>
      </c>
      <c r="Q221" s="32">
        <f>IF($B221="","",SUMPRODUCT(((G221:N221="Accepted")+(G221:N221="Not Needed"))*(Settings!$C$15:$J$15="Yes")))</f>
        <v/>
      </c>
      <c r="R221" s="33">
        <f>IF($B221="","",IF($D221="No","No PTO/PTA",IF($D221&lt;&gt;"Yes","Not Yet Confirmed",IF($Q221&gt;=Settings!$C$13,"Legalized",IF($P221&gt;=Settings!$C$12,"Registered",IF($O221&gt;0,"In Progress","Not Started"))))))</f>
        <v/>
      </c>
      <c r="S221" s="32">
        <f>IF($B221="","",COUNTIF(G221:N221,"Received"))</f>
        <v/>
      </c>
      <c r="T221" s="32">
        <f>IF($B221="","",COUNTIF(G221:N221,"Needs Correction"))</f>
        <v/>
      </c>
      <c r="U221" s="33">
        <f>IF($B221="","",IF($D221&lt;&gt;"Yes","",IF($Q221&gt;=Settings!$C$13,"None",MID(IF(AND(G221&lt;&gt;"Accepted",G221&lt;&gt;"Not Needed",Settings!$C$15="Yes"),", "&amp;G$1,"")&amp;IF(AND(H221&lt;&gt;"Accepted",H221&lt;&gt;"Not Needed",Settings!$D$15="Yes"),", "&amp;H$1,"")&amp;IF(AND(I221&lt;&gt;"Accepted",I221&lt;&gt;"Not Needed",Settings!$E$15="Yes"),", "&amp;I$1,"")&amp;IF(AND(J221&lt;&gt;"Accepted",J221&lt;&gt;"Not Needed",Settings!$F$15="Yes"),", "&amp;J$1,"")&amp;IF(AND(K221&lt;&gt;"Accepted",K221&lt;&gt;"Not Needed",Settings!$G$15="Yes"),", "&amp;K$1,"")&amp;IF(AND(L221&lt;&gt;"Accepted",L221&lt;&gt;"Not Needed",Settings!$H$15="Yes"),", "&amp;L$1,"")&amp;IF(AND(M221&lt;&gt;"Accepted",M221&lt;&gt;"Not Needed",Settings!$I$15="Yes"),", "&amp;M$1,"")&amp;IF(AND(N221&lt;&gt;"Accepted",N221&lt;&gt;"Not Needed",Settings!$J$15="Yes"),", "&amp;N$1,""),3,400))))</f>
        <v/>
      </c>
    </row>
    <row r="222" ht="15" customHeight="1" s="21">
      <c r="A222" s="31" t="inlineStr">
        <is>
          <t>2026-27</t>
        </is>
      </c>
      <c r="B222" s="31" t="inlineStr">
        <is>
          <t>Northline ES</t>
        </is>
      </c>
      <c r="C222" s="31" t="inlineStr">
        <is>
          <t>NES Elementary</t>
        </is>
      </c>
      <c r="D222" s="31" t="inlineStr">
        <is>
          <t>No</t>
        </is>
      </c>
      <c r="E222" s="31" t="n"/>
      <c r="F222" s="31" t="n"/>
      <c r="G222" s="31" t="inlineStr">
        <is>
          <t>Not Received</t>
        </is>
      </c>
      <c r="H222" s="31" t="inlineStr">
        <is>
          <t>Not Received</t>
        </is>
      </c>
      <c r="I222" s="31" t="inlineStr">
        <is>
          <t>Not Received</t>
        </is>
      </c>
      <c r="J222" s="31" t="inlineStr">
        <is>
          <t>Not Received</t>
        </is>
      </c>
      <c r="K222" s="31" t="inlineStr">
        <is>
          <t>Not Received</t>
        </is>
      </c>
      <c r="L222" s="31" t="inlineStr">
        <is>
          <t>Not Received</t>
        </is>
      </c>
      <c r="M222" s="31" t="inlineStr">
        <is>
          <t>Not Received</t>
        </is>
      </c>
      <c r="N222" s="31" t="inlineStr">
        <is>
          <t>Not Received</t>
        </is>
      </c>
      <c r="O222" s="32">
        <f>IF($B222="","",COUNTIF(G222:N222,"Accepted")+COUNTIF(G222:N222,"Received")+COUNTIF(G222:N222,"Needs Correction"))</f>
        <v/>
      </c>
      <c r="P222" s="32">
        <f>IF($B222="","",SUMPRODUCT(((G222:N222="Accepted")+(G222:N222="Not Needed"))*(Settings!$C$11:$J$11="Yes")))</f>
        <v/>
      </c>
      <c r="Q222" s="32">
        <f>IF($B222="","",SUMPRODUCT(((G222:N222="Accepted")+(G222:N222="Not Needed"))*(Settings!$C$15:$J$15="Yes")))</f>
        <v/>
      </c>
      <c r="R222" s="33">
        <f>IF($B222="","",IF($D222="No","No PTO/PTA",IF($D222&lt;&gt;"Yes","Not Yet Confirmed",IF($Q222&gt;=Settings!$C$13,"Legalized",IF($P222&gt;=Settings!$C$12,"Registered",IF($O222&gt;0,"In Progress","Not Started"))))))</f>
        <v/>
      </c>
      <c r="S222" s="32">
        <f>IF($B222="","",COUNTIF(G222:N222,"Received"))</f>
        <v/>
      </c>
      <c r="T222" s="32">
        <f>IF($B222="","",COUNTIF(G222:N222,"Needs Correction"))</f>
        <v/>
      </c>
      <c r="U222" s="33">
        <f>IF($B222="","",IF($D222&lt;&gt;"Yes","",IF($Q222&gt;=Settings!$C$13,"None",MID(IF(AND(G222&lt;&gt;"Accepted",G222&lt;&gt;"Not Needed",Settings!$C$15="Yes"),", "&amp;G$1,"")&amp;IF(AND(H222&lt;&gt;"Accepted",H222&lt;&gt;"Not Needed",Settings!$D$15="Yes"),", "&amp;H$1,"")&amp;IF(AND(I222&lt;&gt;"Accepted",I222&lt;&gt;"Not Needed",Settings!$E$15="Yes"),", "&amp;I$1,"")&amp;IF(AND(J222&lt;&gt;"Accepted",J222&lt;&gt;"Not Needed",Settings!$F$15="Yes"),", "&amp;J$1,"")&amp;IF(AND(K222&lt;&gt;"Accepted",K222&lt;&gt;"Not Needed",Settings!$G$15="Yes"),", "&amp;K$1,"")&amp;IF(AND(L222&lt;&gt;"Accepted",L222&lt;&gt;"Not Needed",Settings!$H$15="Yes"),", "&amp;L$1,"")&amp;IF(AND(M222&lt;&gt;"Accepted",M222&lt;&gt;"Not Needed",Settings!$I$15="Yes"),", "&amp;M$1,"")&amp;IF(AND(N222&lt;&gt;"Accepted",N222&lt;&gt;"Not Needed",Settings!$J$15="Yes"),", "&amp;N$1,""),3,400))))</f>
        <v/>
      </c>
    </row>
    <row r="223" ht="15" customHeight="1" s="21">
      <c r="A223" s="31" t="inlineStr">
        <is>
          <t>2026-27</t>
        </is>
      </c>
      <c r="B223" s="31" t="inlineStr">
        <is>
          <t>Northside HS</t>
        </is>
      </c>
      <c r="C223" s="31" t="inlineStr">
        <is>
          <t>NES Secondary</t>
        </is>
      </c>
      <c r="D223" s="31" t="inlineStr">
        <is>
          <t>No</t>
        </is>
      </c>
      <c r="E223" s="31" t="n"/>
      <c r="F223" s="31" t="n"/>
      <c r="G223" s="31" t="inlineStr">
        <is>
          <t>Not Received</t>
        </is>
      </c>
      <c r="H223" s="31" t="inlineStr">
        <is>
          <t>Not Received</t>
        </is>
      </c>
      <c r="I223" s="31" t="inlineStr">
        <is>
          <t>Not Received</t>
        </is>
      </c>
      <c r="J223" s="31" t="inlineStr">
        <is>
          <t>Not Received</t>
        </is>
      </c>
      <c r="K223" s="31" t="inlineStr">
        <is>
          <t>Not Received</t>
        </is>
      </c>
      <c r="L223" s="31" t="inlineStr">
        <is>
          <t>Not Received</t>
        </is>
      </c>
      <c r="M223" s="31" t="inlineStr">
        <is>
          <t>Not Received</t>
        </is>
      </c>
      <c r="N223" s="31" t="inlineStr">
        <is>
          <t>Not Received</t>
        </is>
      </c>
      <c r="O223" s="32">
        <f>IF($B223="","",COUNTIF(G223:N223,"Accepted")+COUNTIF(G223:N223,"Received")+COUNTIF(G223:N223,"Needs Correction"))</f>
        <v/>
      </c>
      <c r="P223" s="32">
        <f>IF($B223="","",SUMPRODUCT(((G223:N223="Accepted")+(G223:N223="Not Needed"))*(Settings!$C$11:$J$11="Yes")))</f>
        <v/>
      </c>
      <c r="Q223" s="32">
        <f>IF($B223="","",SUMPRODUCT(((G223:N223="Accepted")+(G223:N223="Not Needed"))*(Settings!$C$15:$J$15="Yes")))</f>
        <v/>
      </c>
      <c r="R223" s="33">
        <f>IF($B223="","",IF($D223="No","No PTO/PTA",IF($D223&lt;&gt;"Yes","Not Yet Confirmed",IF($Q223&gt;=Settings!$C$13,"Legalized",IF($P223&gt;=Settings!$C$12,"Registered",IF($O223&gt;0,"In Progress","Not Started"))))))</f>
        <v/>
      </c>
      <c r="S223" s="32">
        <f>IF($B223="","",COUNTIF(G223:N223,"Received"))</f>
        <v/>
      </c>
      <c r="T223" s="32">
        <f>IF($B223="","",COUNTIF(G223:N223,"Needs Correction"))</f>
        <v/>
      </c>
      <c r="U223" s="33">
        <f>IF($B223="","",IF($D223&lt;&gt;"Yes","",IF($Q223&gt;=Settings!$C$13,"None",MID(IF(AND(G223&lt;&gt;"Accepted",G223&lt;&gt;"Not Needed",Settings!$C$15="Yes"),", "&amp;G$1,"")&amp;IF(AND(H223&lt;&gt;"Accepted",H223&lt;&gt;"Not Needed",Settings!$D$15="Yes"),", "&amp;H$1,"")&amp;IF(AND(I223&lt;&gt;"Accepted",I223&lt;&gt;"Not Needed",Settings!$E$15="Yes"),", "&amp;I$1,"")&amp;IF(AND(J223&lt;&gt;"Accepted",J223&lt;&gt;"Not Needed",Settings!$F$15="Yes"),", "&amp;J$1,"")&amp;IF(AND(K223&lt;&gt;"Accepted",K223&lt;&gt;"Not Needed",Settings!$G$15="Yes"),", "&amp;K$1,"")&amp;IF(AND(L223&lt;&gt;"Accepted",L223&lt;&gt;"Not Needed",Settings!$H$15="Yes"),", "&amp;L$1,"")&amp;IF(AND(M223&lt;&gt;"Accepted",M223&lt;&gt;"Not Needed",Settings!$I$15="Yes"),", "&amp;M$1,"")&amp;IF(AND(N223&lt;&gt;"Accepted",N223&lt;&gt;"Not Needed",Settings!$J$15="Yes"),", "&amp;N$1,""),3,400))))</f>
        <v/>
      </c>
    </row>
    <row r="224" ht="15" customHeight="1" s="21">
      <c r="A224" s="31" t="inlineStr">
        <is>
          <t>2026-27</t>
        </is>
      </c>
      <c r="B224" s="31" t="inlineStr">
        <is>
          <t>Ortiz MS</t>
        </is>
      </c>
      <c r="C224" s="31" t="inlineStr">
        <is>
          <t>NES Secondary</t>
        </is>
      </c>
      <c r="D224" s="31" t="inlineStr">
        <is>
          <t>Not Yet Confirmed</t>
        </is>
      </c>
      <c r="E224" s="31" t="n"/>
      <c r="F224" s="31" t="n"/>
      <c r="G224" s="31" t="inlineStr">
        <is>
          <t>Not Received</t>
        </is>
      </c>
      <c r="H224" s="31" t="inlineStr">
        <is>
          <t>Not Received</t>
        </is>
      </c>
      <c r="I224" s="31" t="inlineStr">
        <is>
          <t>Not Received</t>
        </is>
      </c>
      <c r="J224" s="31" t="inlineStr">
        <is>
          <t>Not Received</t>
        </is>
      </c>
      <c r="K224" s="31" t="inlineStr">
        <is>
          <t>Not Received</t>
        </is>
      </c>
      <c r="L224" s="31" t="inlineStr">
        <is>
          <t>Not Received</t>
        </is>
      </c>
      <c r="M224" s="31" t="inlineStr">
        <is>
          <t>Not Received</t>
        </is>
      </c>
      <c r="N224" s="31" t="inlineStr">
        <is>
          <t>Not Received</t>
        </is>
      </c>
      <c r="O224" s="32">
        <f>IF($B224="","",COUNTIF(G224:N224,"Accepted")+COUNTIF(G224:N224,"Received")+COUNTIF(G224:N224,"Needs Correction"))</f>
        <v/>
      </c>
      <c r="P224" s="32">
        <f>IF($B224="","",SUMPRODUCT(((G224:N224="Accepted")+(G224:N224="Not Needed"))*(Settings!$C$11:$J$11="Yes")))</f>
        <v/>
      </c>
      <c r="Q224" s="32">
        <f>IF($B224="","",SUMPRODUCT(((G224:N224="Accepted")+(G224:N224="Not Needed"))*(Settings!$C$15:$J$15="Yes")))</f>
        <v/>
      </c>
      <c r="R224" s="33">
        <f>IF($B224="","",IF($D224="No","No PTO/PTA",IF($D224&lt;&gt;"Yes","Not Yet Confirmed",IF($Q224&gt;=Settings!$C$13,"Legalized",IF($P224&gt;=Settings!$C$12,"Registered",IF($O224&gt;0,"In Progress","Not Started"))))))</f>
        <v/>
      </c>
      <c r="S224" s="32">
        <f>IF($B224="","",COUNTIF(G224:N224,"Received"))</f>
        <v/>
      </c>
      <c r="T224" s="32">
        <f>IF($B224="","",COUNTIF(G224:N224,"Needs Correction"))</f>
        <v/>
      </c>
      <c r="U224" s="33">
        <f>IF($B224="","",IF($D224&lt;&gt;"Yes","",IF($Q224&gt;=Settings!$C$13,"None",MID(IF(AND(G224&lt;&gt;"Accepted",G224&lt;&gt;"Not Needed",Settings!$C$15="Yes"),", "&amp;G$1,"")&amp;IF(AND(H224&lt;&gt;"Accepted",H224&lt;&gt;"Not Needed",Settings!$D$15="Yes"),", "&amp;H$1,"")&amp;IF(AND(I224&lt;&gt;"Accepted",I224&lt;&gt;"Not Needed",Settings!$E$15="Yes"),", "&amp;I$1,"")&amp;IF(AND(J224&lt;&gt;"Accepted",J224&lt;&gt;"Not Needed",Settings!$F$15="Yes"),", "&amp;J$1,"")&amp;IF(AND(K224&lt;&gt;"Accepted",K224&lt;&gt;"Not Needed",Settings!$G$15="Yes"),", "&amp;K$1,"")&amp;IF(AND(L224&lt;&gt;"Accepted",L224&lt;&gt;"Not Needed",Settings!$H$15="Yes"),", "&amp;L$1,"")&amp;IF(AND(M224&lt;&gt;"Accepted",M224&lt;&gt;"Not Needed",Settings!$I$15="Yes"),", "&amp;M$1,"")&amp;IF(AND(N224&lt;&gt;"Accepted",N224&lt;&gt;"Not Needed",Settings!$J$15="Yes"),", "&amp;N$1,""),3,400))))</f>
        <v/>
      </c>
    </row>
    <row r="225" ht="15" customHeight="1" s="21">
      <c r="A225" s="31" t="inlineStr">
        <is>
          <t>2026-27</t>
        </is>
      </c>
      <c r="B225" s="31" t="inlineStr">
        <is>
          <t>Paige ES</t>
        </is>
      </c>
      <c r="C225" s="31" t="inlineStr">
        <is>
          <t>NES Elementary</t>
        </is>
      </c>
      <c r="D225" s="31" t="inlineStr">
        <is>
          <t>No</t>
        </is>
      </c>
      <c r="E225" s="31" t="n"/>
      <c r="F225" s="31" t="n"/>
      <c r="G225" s="31" t="inlineStr">
        <is>
          <t>Not Received</t>
        </is>
      </c>
      <c r="H225" s="31" t="inlineStr">
        <is>
          <t>Not Received</t>
        </is>
      </c>
      <c r="I225" s="31" t="inlineStr">
        <is>
          <t>Not Received</t>
        </is>
      </c>
      <c r="J225" s="31" t="inlineStr">
        <is>
          <t>Not Received</t>
        </is>
      </c>
      <c r="K225" s="31" t="inlineStr">
        <is>
          <t>Not Received</t>
        </is>
      </c>
      <c r="L225" s="31" t="inlineStr">
        <is>
          <t>Not Received</t>
        </is>
      </c>
      <c r="M225" s="31" t="inlineStr">
        <is>
          <t>Not Received</t>
        </is>
      </c>
      <c r="N225" s="31" t="inlineStr">
        <is>
          <t>Not Received</t>
        </is>
      </c>
      <c r="O225" s="32">
        <f>IF($B225="","",COUNTIF(G225:N225,"Accepted")+COUNTIF(G225:N225,"Received")+COUNTIF(G225:N225,"Needs Correction"))</f>
        <v/>
      </c>
      <c r="P225" s="32">
        <f>IF($B225="","",SUMPRODUCT(((G225:N225="Accepted")+(G225:N225="Not Needed"))*(Settings!$C$11:$J$11="Yes")))</f>
        <v/>
      </c>
      <c r="Q225" s="32">
        <f>IF($B225="","",SUMPRODUCT(((G225:N225="Accepted")+(G225:N225="Not Needed"))*(Settings!$C$15:$J$15="Yes")))</f>
        <v/>
      </c>
      <c r="R225" s="33">
        <f>IF($B225="","",IF($D225="No","No PTO/PTA",IF($D225&lt;&gt;"Yes","Not Yet Confirmed",IF($Q225&gt;=Settings!$C$13,"Legalized",IF($P225&gt;=Settings!$C$12,"Registered",IF($O225&gt;0,"In Progress","Not Started"))))))</f>
        <v/>
      </c>
      <c r="S225" s="32">
        <f>IF($B225="","",COUNTIF(G225:N225,"Received"))</f>
        <v/>
      </c>
      <c r="T225" s="32">
        <f>IF($B225="","",COUNTIF(G225:N225,"Needs Correction"))</f>
        <v/>
      </c>
      <c r="U225" s="33">
        <f>IF($B225="","",IF($D225&lt;&gt;"Yes","",IF($Q225&gt;=Settings!$C$13,"None",MID(IF(AND(G225&lt;&gt;"Accepted",G225&lt;&gt;"Not Needed",Settings!$C$15="Yes"),", "&amp;G$1,"")&amp;IF(AND(H225&lt;&gt;"Accepted",H225&lt;&gt;"Not Needed",Settings!$D$15="Yes"),", "&amp;H$1,"")&amp;IF(AND(I225&lt;&gt;"Accepted",I225&lt;&gt;"Not Needed",Settings!$E$15="Yes"),", "&amp;I$1,"")&amp;IF(AND(J225&lt;&gt;"Accepted",J225&lt;&gt;"Not Needed",Settings!$F$15="Yes"),", "&amp;J$1,"")&amp;IF(AND(K225&lt;&gt;"Accepted",K225&lt;&gt;"Not Needed",Settings!$G$15="Yes"),", "&amp;K$1,"")&amp;IF(AND(L225&lt;&gt;"Accepted",L225&lt;&gt;"Not Needed",Settings!$H$15="Yes"),", "&amp;L$1,"")&amp;IF(AND(M225&lt;&gt;"Accepted",M225&lt;&gt;"Not Needed",Settings!$I$15="Yes"),", "&amp;M$1,"")&amp;IF(AND(N225&lt;&gt;"Accepted",N225&lt;&gt;"Not Needed",Settings!$J$15="Yes"),", "&amp;N$1,""),3,400))))</f>
        <v/>
      </c>
    </row>
    <row r="226" ht="15" customHeight="1" s="21">
      <c r="A226" s="31" t="inlineStr">
        <is>
          <t>2026-27</t>
        </is>
      </c>
      <c r="B226" s="31" t="inlineStr">
        <is>
          <t>Petersen ES</t>
        </is>
      </c>
      <c r="C226" s="31" t="inlineStr">
        <is>
          <t>NES Elementary</t>
        </is>
      </c>
      <c r="D226" s="31" t="inlineStr">
        <is>
          <t>No</t>
        </is>
      </c>
      <c r="E226" s="31" t="n"/>
      <c r="F226" s="31" t="n"/>
      <c r="G226" s="31" t="inlineStr">
        <is>
          <t>Not Received</t>
        </is>
      </c>
      <c r="H226" s="31" t="inlineStr">
        <is>
          <t>Not Received</t>
        </is>
      </c>
      <c r="I226" s="31" t="inlineStr">
        <is>
          <t>Not Received</t>
        </is>
      </c>
      <c r="J226" s="31" t="inlineStr">
        <is>
          <t>Not Received</t>
        </is>
      </c>
      <c r="K226" s="31" t="inlineStr">
        <is>
          <t>Not Received</t>
        </is>
      </c>
      <c r="L226" s="31" t="inlineStr">
        <is>
          <t>Not Received</t>
        </is>
      </c>
      <c r="M226" s="31" t="inlineStr">
        <is>
          <t>Not Received</t>
        </is>
      </c>
      <c r="N226" s="31" t="inlineStr">
        <is>
          <t>Not Received</t>
        </is>
      </c>
      <c r="O226" s="32">
        <f>IF($B226="","",COUNTIF(G226:N226,"Accepted")+COUNTIF(G226:N226,"Received")+COUNTIF(G226:N226,"Needs Correction"))</f>
        <v/>
      </c>
      <c r="P226" s="32">
        <f>IF($B226="","",SUMPRODUCT(((G226:N226="Accepted")+(G226:N226="Not Needed"))*(Settings!$C$11:$J$11="Yes")))</f>
        <v/>
      </c>
      <c r="Q226" s="32">
        <f>IF($B226="","",SUMPRODUCT(((G226:N226="Accepted")+(G226:N226="Not Needed"))*(Settings!$C$15:$J$15="Yes")))</f>
        <v/>
      </c>
      <c r="R226" s="33">
        <f>IF($B226="","",IF($D226="No","No PTO/PTA",IF($D226&lt;&gt;"Yes","Not Yet Confirmed",IF($Q226&gt;=Settings!$C$13,"Legalized",IF($P226&gt;=Settings!$C$12,"Registered",IF($O226&gt;0,"In Progress","Not Started"))))))</f>
        <v/>
      </c>
      <c r="S226" s="32">
        <f>IF($B226="","",COUNTIF(G226:N226,"Received"))</f>
        <v/>
      </c>
      <c r="T226" s="32">
        <f>IF($B226="","",COUNTIF(G226:N226,"Needs Correction"))</f>
        <v/>
      </c>
      <c r="U226" s="33">
        <f>IF($B226="","",IF($D226&lt;&gt;"Yes","",IF($Q226&gt;=Settings!$C$13,"None",MID(IF(AND(G226&lt;&gt;"Accepted",G226&lt;&gt;"Not Needed",Settings!$C$15="Yes"),", "&amp;G$1,"")&amp;IF(AND(H226&lt;&gt;"Accepted",H226&lt;&gt;"Not Needed",Settings!$D$15="Yes"),", "&amp;H$1,"")&amp;IF(AND(I226&lt;&gt;"Accepted",I226&lt;&gt;"Not Needed",Settings!$E$15="Yes"),", "&amp;I$1,"")&amp;IF(AND(J226&lt;&gt;"Accepted",J226&lt;&gt;"Not Needed",Settings!$F$15="Yes"),", "&amp;J$1,"")&amp;IF(AND(K226&lt;&gt;"Accepted",K226&lt;&gt;"Not Needed",Settings!$G$15="Yes"),", "&amp;K$1,"")&amp;IF(AND(L226&lt;&gt;"Accepted",L226&lt;&gt;"Not Needed",Settings!$H$15="Yes"),", "&amp;L$1,"")&amp;IF(AND(M226&lt;&gt;"Accepted",M226&lt;&gt;"Not Needed",Settings!$I$15="Yes"),", "&amp;M$1,"")&amp;IF(AND(N226&lt;&gt;"Accepted",N226&lt;&gt;"Not Needed",Settings!$J$15="Yes"),", "&amp;N$1,""),3,400))))</f>
        <v/>
      </c>
    </row>
    <row r="227" ht="15" customHeight="1" s="21">
      <c r="A227" s="31" t="inlineStr">
        <is>
          <t>2026-27</t>
        </is>
      </c>
      <c r="B227" s="31" t="inlineStr">
        <is>
          <t>Pilgrim Acad</t>
        </is>
      </c>
      <c r="C227" s="31" t="inlineStr">
        <is>
          <t>EAS Elementary</t>
        </is>
      </c>
      <c r="D227" s="31" t="inlineStr">
        <is>
          <t>No</t>
        </is>
      </c>
      <c r="E227" s="31" t="n"/>
      <c r="F227" s="31" t="n"/>
      <c r="G227" s="31" t="inlineStr">
        <is>
          <t>Not Received</t>
        </is>
      </c>
      <c r="H227" s="31" t="inlineStr">
        <is>
          <t>Not Received</t>
        </is>
      </c>
      <c r="I227" s="31" t="inlineStr">
        <is>
          <t>Not Received</t>
        </is>
      </c>
      <c r="J227" s="31" t="inlineStr">
        <is>
          <t>Not Received</t>
        </is>
      </c>
      <c r="K227" s="31" t="inlineStr">
        <is>
          <t>Not Received</t>
        </is>
      </c>
      <c r="L227" s="31" t="inlineStr">
        <is>
          <t>Not Received</t>
        </is>
      </c>
      <c r="M227" s="31" t="inlineStr">
        <is>
          <t>Not Received</t>
        </is>
      </c>
      <c r="N227" s="31" t="inlineStr">
        <is>
          <t>Not Received</t>
        </is>
      </c>
      <c r="O227" s="32">
        <f>IF($B227="","",COUNTIF(G227:N227,"Accepted")+COUNTIF(G227:N227,"Received")+COUNTIF(G227:N227,"Needs Correction"))</f>
        <v/>
      </c>
      <c r="P227" s="32">
        <f>IF($B227="","",SUMPRODUCT(((G227:N227="Accepted")+(G227:N227="Not Needed"))*(Settings!$C$11:$J$11="Yes")))</f>
        <v/>
      </c>
      <c r="Q227" s="32">
        <f>IF($B227="","",SUMPRODUCT(((G227:N227="Accepted")+(G227:N227="Not Needed"))*(Settings!$C$15:$J$15="Yes")))</f>
        <v/>
      </c>
      <c r="R227" s="33">
        <f>IF($B227="","",IF($D227="No","No PTO/PTA",IF($D227&lt;&gt;"Yes","Not Yet Confirmed",IF($Q227&gt;=Settings!$C$13,"Legalized",IF($P227&gt;=Settings!$C$12,"Registered",IF($O227&gt;0,"In Progress","Not Started"))))))</f>
        <v/>
      </c>
      <c r="S227" s="32">
        <f>IF($B227="","",COUNTIF(G227:N227,"Received"))</f>
        <v/>
      </c>
      <c r="T227" s="32">
        <f>IF($B227="","",COUNTIF(G227:N227,"Needs Correction"))</f>
        <v/>
      </c>
      <c r="U227" s="33">
        <f>IF($B227="","",IF($D227&lt;&gt;"Yes","",IF($Q227&gt;=Settings!$C$13,"None",MID(IF(AND(G227&lt;&gt;"Accepted",G227&lt;&gt;"Not Needed",Settings!$C$15="Yes"),", "&amp;G$1,"")&amp;IF(AND(H227&lt;&gt;"Accepted",H227&lt;&gt;"Not Needed",Settings!$D$15="Yes"),", "&amp;H$1,"")&amp;IF(AND(I227&lt;&gt;"Accepted",I227&lt;&gt;"Not Needed",Settings!$E$15="Yes"),", "&amp;I$1,"")&amp;IF(AND(J227&lt;&gt;"Accepted",J227&lt;&gt;"Not Needed",Settings!$F$15="Yes"),", "&amp;J$1,"")&amp;IF(AND(K227&lt;&gt;"Accepted",K227&lt;&gt;"Not Needed",Settings!$G$15="Yes"),", "&amp;K$1,"")&amp;IF(AND(L227&lt;&gt;"Accepted",L227&lt;&gt;"Not Needed",Settings!$H$15="Yes"),", "&amp;L$1,"")&amp;IF(AND(M227&lt;&gt;"Accepted",M227&lt;&gt;"Not Needed",Settings!$I$15="Yes"),", "&amp;M$1,"")&amp;IF(AND(N227&lt;&gt;"Accepted",N227&lt;&gt;"Not Needed",Settings!$J$15="Yes"),", "&amp;N$1,""),3,400))))</f>
        <v/>
      </c>
    </row>
    <row r="228" ht="15" customHeight="1" s="21">
      <c r="A228" s="31" t="inlineStr">
        <is>
          <t>2026-27</t>
        </is>
      </c>
      <c r="B228" s="31" t="inlineStr">
        <is>
          <t>Pleasantville ES</t>
        </is>
      </c>
      <c r="C228" s="31" t="inlineStr">
        <is>
          <t>NES Elementary</t>
        </is>
      </c>
      <c r="D228" s="31" t="inlineStr">
        <is>
          <t>No</t>
        </is>
      </c>
      <c r="E228" s="31" t="n"/>
      <c r="F228" s="31" t="n"/>
      <c r="G228" s="31" t="inlineStr">
        <is>
          <t>Not Received</t>
        </is>
      </c>
      <c r="H228" s="31" t="inlineStr">
        <is>
          <t>Not Received</t>
        </is>
      </c>
      <c r="I228" s="31" t="inlineStr">
        <is>
          <t>Not Received</t>
        </is>
      </c>
      <c r="J228" s="31" t="inlineStr">
        <is>
          <t>Not Received</t>
        </is>
      </c>
      <c r="K228" s="31" t="inlineStr">
        <is>
          <t>Not Received</t>
        </is>
      </c>
      <c r="L228" s="31" t="inlineStr">
        <is>
          <t>Not Received</t>
        </is>
      </c>
      <c r="M228" s="31" t="inlineStr">
        <is>
          <t>Not Received</t>
        </is>
      </c>
      <c r="N228" s="31" t="inlineStr">
        <is>
          <t>Not Received</t>
        </is>
      </c>
      <c r="O228" s="32">
        <f>IF($B228="","",COUNTIF(G228:N228,"Accepted")+COUNTIF(G228:N228,"Received")+COUNTIF(G228:N228,"Needs Correction"))</f>
        <v/>
      </c>
      <c r="P228" s="32">
        <f>IF($B228="","",SUMPRODUCT(((G228:N228="Accepted")+(G228:N228="Not Needed"))*(Settings!$C$11:$J$11="Yes")))</f>
        <v/>
      </c>
      <c r="Q228" s="32">
        <f>IF($B228="","",SUMPRODUCT(((G228:N228="Accepted")+(G228:N228="Not Needed"))*(Settings!$C$15:$J$15="Yes")))</f>
        <v/>
      </c>
      <c r="R228" s="33">
        <f>IF($B228="","",IF($D228="No","No PTO/PTA",IF($D228&lt;&gt;"Yes","Not Yet Confirmed",IF($Q228&gt;=Settings!$C$13,"Legalized",IF($P228&gt;=Settings!$C$12,"Registered",IF($O228&gt;0,"In Progress","Not Started"))))))</f>
        <v/>
      </c>
      <c r="S228" s="32">
        <f>IF($B228="","",COUNTIF(G228:N228,"Received"))</f>
        <v/>
      </c>
      <c r="T228" s="32">
        <f>IF($B228="","",COUNTIF(G228:N228,"Needs Correction"))</f>
        <v/>
      </c>
      <c r="U228" s="33">
        <f>IF($B228="","",IF($D228&lt;&gt;"Yes","",IF($Q228&gt;=Settings!$C$13,"None",MID(IF(AND(G228&lt;&gt;"Accepted",G228&lt;&gt;"Not Needed",Settings!$C$15="Yes"),", "&amp;G$1,"")&amp;IF(AND(H228&lt;&gt;"Accepted",H228&lt;&gt;"Not Needed",Settings!$D$15="Yes"),", "&amp;H$1,"")&amp;IF(AND(I228&lt;&gt;"Accepted",I228&lt;&gt;"Not Needed",Settings!$E$15="Yes"),", "&amp;I$1,"")&amp;IF(AND(J228&lt;&gt;"Accepted",J228&lt;&gt;"Not Needed",Settings!$F$15="Yes"),", "&amp;J$1,"")&amp;IF(AND(K228&lt;&gt;"Accepted",K228&lt;&gt;"Not Needed",Settings!$G$15="Yes"),", "&amp;K$1,"")&amp;IF(AND(L228&lt;&gt;"Accepted",L228&lt;&gt;"Not Needed",Settings!$H$15="Yes"),", "&amp;L$1,"")&amp;IF(AND(M228&lt;&gt;"Accepted",M228&lt;&gt;"Not Needed",Settings!$I$15="Yes"),", "&amp;M$1,"")&amp;IF(AND(N228&lt;&gt;"Accepted",N228&lt;&gt;"Not Needed",Settings!$J$15="Yes"),", "&amp;N$1,""),3,400))))</f>
        <v/>
      </c>
    </row>
    <row r="229" ht="15" customHeight="1" s="21">
      <c r="A229" s="31" t="inlineStr">
        <is>
          <t>2026-27</t>
        </is>
      </c>
      <c r="B229" s="31" t="inlineStr">
        <is>
          <t>Pugh ES</t>
        </is>
      </c>
      <c r="C229" s="31" t="inlineStr">
        <is>
          <t>NES Elementary</t>
        </is>
      </c>
      <c r="D229" s="31" t="inlineStr">
        <is>
          <t>No</t>
        </is>
      </c>
      <c r="E229" s="31" t="n"/>
      <c r="F229" s="31" t="n"/>
      <c r="G229" s="31" t="inlineStr">
        <is>
          <t>Not Received</t>
        </is>
      </c>
      <c r="H229" s="31" t="inlineStr">
        <is>
          <t>Not Received</t>
        </is>
      </c>
      <c r="I229" s="31" t="inlineStr">
        <is>
          <t>Not Received</t>
        </is>
      </c>
      <c r="J229" s="31" t="inlineStr">
        <is>
          <t>Not Received</t>
        </is>
      </c>
      <c r="K229" s="31" t="inlineStr">
        <is>
          <t>Not Received</t>
        </is>
      </c>
      <c r="L229" s="31" t="inlineStr">
        <is>
          <t>Not Received</t>
        </is>
      </c>
      <c r="M229" s="31" t="inlineStr">
        <is>
          <t>Not Received</t>
        </is>
      </c>
      <c r="N229" s="31" t="inlineStr">
        <is>
          <t>Not Received</t>
        </is>
      </c>
      <c r="O229" s="32">
        <f>IF($B229="","",COUNTIF(G229:N229,"Accepted")+COUNTIF(G229:N229,"Received")+COUNTIF(G229:N229,"Needs Correction"))</f>
        <v/>
      </c>
      <c r="P229" s="32">
        <f>IF($B229="","",SUMPRODUCT(((G229:N229="Accepted")+(G229:N229="Not Needed"))*(Settings!$C$11:$J$11="Yes")))</f>
        <v/>
      </c>
      <c r="Q229" s="32">
        <f>IF($B229="","",SUMPRODUCT(((G229:N229="Accepted")+(G229:N229="Not Needed"))*(Settings!$C$15:$J$15="Yes")))</f>
        <v/>
      </c>
      <c r="R229" s="33">
        <f>IF($B229="","",IF($D229="No","No PTO/PTA",IF($D229&lt;&gt;"Yes","Not Yet Confirmed",IF($Q229&gt;=Settings!$C$13,"Legalized",IF($P229&gt;=Settings!$C$12,"Registered",IF($O229&gt;0,"In Progress","Not Started"))))))</f>
        <v/>
      </c>
      <c r="S229" s="32">
        <f>IF($B229="","",COUNTIF(G229:N229,"Received"))</f>
        <v/>
      </c>
      <c r="T229" s="32">
        <f>IF($B229="","",COUNTIF(G229:N229,"Needs Correction"))</f>
        <v/>
      </c>
      <c r="U229" s="33">
        <f>IF($B229="","",IF($D229&lt;&gt;"Yes","",IF($Q229&gt;=Settings!$C$13,"None",MID(IF(AND(G229&lt;&gt;"Accepted",G229&lt;&gt;"Not Needed",Settings!$C$15="Yes"),", "&amp;G$1,"")&amp;IF(AND(H229&lt;&gt;"Accepted",H229&lt;&gt;"Not Needed",Settings!$D$15="Yes"),", "&amp;H$1,"")&amp;IF(AND(I229&lt;&gt;"Accepted",I229&lt;&gt;"Not Needed",Settings!$E$15="Yes"),", "&amp;I$1,"")&amp;IF(AND(J229&lt;&gt;"Accepted",J229&lt;&gt;"Not Needed",Settings!$F$15="Yes"),", "&amp;J$1,"")&amp;IF(AND(K229&lt;&gt;"Accepted",K229&lt;&gt;"Not Needed",Settings!$G$15="Yes"),", "&amp;K$1,"")&amp;IF(AND(L229&lt;&gt;"Accepted",L229&lt;&gt;"Not Needed",Settings!$H$15="Yes"),", "&amp;L$1,"")&amp;IF(AND(M229&lt;&gt;"Accepted",M229&lt;&gt;"Not Needed",Settings!$I$15="Yes"),", "&amp;M$1,"")&amp;IF(AND(N229&lt;&gt;"Accepted",N229&lt;&gt;"Not Needed",Settings!$J$15="Yes"),", "&amp;N$1,""),3,400))))</f>
        <v/>
      </c>
    </row>
    <row r="230" ht="15" customHeight="1" s="21">
      <c r="A230" s="31" t="inlineStr">
        <is>
          <t>2026-27</t>
        </is>
      </c>
      <c r="B230" s="31" t="inlineStr">
        <is>
          <t>Reagan Ed Ctr K-8</t>
        </is>
      </c>
      <c r="C230" s="31" t="inlineStr">
        <is>
          <t>NES Elementary</t>
        </is>
      </c>
      <c r="D230" s="31" t="inlineStr">
        <is>
          <t>No</t>
        </is>
      </c>
      <c r="E230" s="31" t="n"/>
      <c r="F230" s="31" t="n"/>
      <c r="G230" s="31" t="inlineStr">
        <is>
          <t>Not Received</t>
        </is>
      </c>
      <c r="H230" s="31" t="inlineStr">
        <is>
          <t>Not Received</t>
        </is>
      </c>
      <c r="I230" s="31" t="inlineStr">
        <is>
          <t>Not Received</t>
        </is>
      </c>
      <c r="J230" s="31" t="inlineStr">
        <is>
          <t>Not Received</t>
        </is>
      </c>
      <c r="K230" s="31" t="inlineStr">
        <is>
          <t>Not Received</t>
        </is>
      </c>
      <c r="L230" s="31" t="inlineStr">
        <is>
          <t>Not Received</t>
        </is>
      </c>
      <c r="M230" s="31" t="inlineStr">
        <is>
          <t>Not Received</t>
        </is>
      </c>
      <c r="N230" s="31" t="inlineStr">
        <is>
          <t>Not Received</t>
        </is>
      </c>
      <c r="O230" s="32">
        <f>IF($B230="","",COUNTIF(G230:N230,"Accepted")+COUNTIF(G230:N230,"Received")+COUNTIF(G230:N230,"Needs Correction"))</f>
        <v/>
      </c>
      <c r="P230" s="32">
        <f>IF($B230="","",SUMPRODUCT(((G230:N230="Accepted")+(G230:N230="Not Needed"))*(Settings!$C$11:$J$11="Yes")))</f>
        <v/>
      </c>
      <c r="Q230" s="32">
        <f>IF($B230="","",SUMPRODUCT(((G230:N230="Accepted")+(G230:N230="Not Needed"))*(Settings!$C$15:$J$15="Yes")))</f>
        <v/>
      </c>
      <c r="R230" s="33">
        <f>IF($B230="","",IF($D230="No","No PTO/PTA",IF($D230&lt;&gt;"Yes","Not Yet Confirmed",IF($Q230&gt;=Settings!$C$13,"Legalized",IF($P230&gt;=Settings!$C$12,"Registered",IF($O230&gt;0,"In Progress","Not Started"))))))</f>
        <v/>
      </c>
      <c r="S230" s="32">
        <f>IF($B230="","",COUNTIF(G230:N230,"Received"))</f>
        <v/>
      </c>
      <c r="T230" s="32">
        <f>IF($B230="","",COUNTIF(G230:N230,"Needs Correction"))</f>
        <v/>
      </c>
      <c r="U230" s="33">
        <f>IF($B230="","",IF($D230&lt;&gt;"Yes","",IF($Q230&gt;=Settings!$C$13,"None",MID(IF(AND(G230&lt;&gt;"Accepted",G230&lt;&gt;"Not Needed",Settings!$C$15="Yes"),", "&amp;G$1,"")&amp;IF(AND(H230&lt;&gt;"Accepted",H230&lt;&gt;"Not Needed",Settings!$D$15="Yes"),", "&amp;H$1,"")&amp;IF(AND(I230&lt;&gt;"Accepted",I230&lt;&gt;"Not Needed",Settings!$E$15="Yes"),", "&amp;I$1,"")&amp;IF(AND(J230&lt;&gt;"Accepted",J230&lt;&gt;"Not Needed",Settings!$F$15="Yes"),", "&amp;J$1,"")&amp;IF(AND(K230&lt;&gt;"Accepted",K230&lt;&gt;"Not Needed",Settings!$G$15="Yes"),", "&amp;K$1,"")&amp;IF(AND(L230&lt;&gt;"Accepted",L230&lt;&gt;"Not Needed",Settings!$H$15="Yes"),", "&amp;L$1,"")&amp;IF(AND(M230&lt;&gt;"Accepted",M230&lt;&gt;"Not Needed",Settings!$I$15="Yes"),", "&amp;M$1,"")&amp;IF(AND(N230&lt;&gt;"Accepted",N230&lt;&gt;"Not Needed",Settings!$J$15="Yes"),", "&amp;N$1,""),3,400))))</f>
        <v/>
      </c>
    </row>
    <row r="231" ht="15" customHeight="1" s="21">
      <c r="A231" s="31" t="inlineStr">
        <is>
          <t>2026-27</t>
        </is>
      </c>
      <c r="B231" s="31" t="inlineStr">
        <is>
          <t>Revere MS</t>
        </is>
      </c>
      <c r="C231" s="31" t="inlineStr">
        <is>
          <t>NES Secondary</t>
        </is>
      </c>
      <c r="D231" s="31" t="inlineStr">
        <is>
          <t>No</t>
        </is>
      </c>
      <c r="E231" s="31" t="n"/>
      <c r="F231" s="31" t="n"/>
      <c r="G231" s="31" t="inlineStr">
        <is>
          <t>Not Received</t>
        </is>
      </c>
      <c r="H231" s="31" t="inlineStr">
        <is>
          <t>Not Received</t>
        </is>
      </c>
      <c r="I231" s="31" t="inlineStr">
        <is>
          <t>Not Received</t>
        </is>
      </c>
      <c r="J231" s="31" t="inlineStr">
        <is>
          <t>Not Received</t>
        </is>
      </c>
      <c r="K231" s="31" t="inlineStr">
        <is>
          <t>Not Received</t>
        </is>
      </c>
      <c r="L231" s="31" t="inlineStr">
        <is>
          <t>Not Received</t>
        </is>
      </c>
      <c r="M231" s="31" t="inlineStr">
        <is>
          <t>Not Received</t>
        </is>
      </c>
      <c r="N231" s="31" t="inlineStr">
        <is>
          <t>Not Received</t>
        </is>
      </c>
      <c r="O231" s="32">
        <f>IF($B231="","",COUNTIF(G231:N231,"Accepted")+COUNTIF(G231:N231,"Received")+COUNTIF(G231:N231,"Needs Correction"))</f>
        <v/>
      </c>
      <c r="P231" s="32">
        <f>IF($B231="","",SUMPRODUCT(((G231:N231="Accepted")+(G231:N231="Not Needed"))*(Settings!$C$11:$J$11="Yes")))</f>
        <v/>
      </c>
      <c r="Q231" s="32">
        <f>IF($B231="","",SUMPRODUCT(((G231:N231="Accepted")+(G231:N231="Not Needed"))*(Settings!$C$15:$J$15="Yes")))</f>
        <v/>
      </c>
      <c r="R231" s="33">
        <f>IF($B231="","",IF($D231="No","No PTO/PTA",IF($D231&lt;&gt;"Yes","Not Yet Confirmed",IF($Q231&gt;=Settings!$C$13,"Legalized",IF($P231&gt;=Settings!$C$12,"Registered",IF($O231&gt;0,"In Progress","Not Started"))))))</f>
        <v/>
      </c>
      <c r="S231" s="32">
        <f>IF($B231="","",COUNTIF(G231:N231,"Received"))</f>
        <v/>
      </c>
      <c r="T231" s="32">
        <f>IF($B231="","",COUNTIF(G231:N231,"Needs Correction"))</f>
        <v/>
      </c>
      <c r="U231" s="33">
        <f>IF($B231="","",IF($D231&lt;&gt;"Yes","",IF($Q231&gt;=Settings!$C$13,"None",MID(IF(AND(G231&lt;&gt;"Accepted",G231&lt;&gt;"Not Needed",Settings!$C$15="Yes"),", "&amp;G$1,"")&amp;IF(AND(H231&lt;&gt;"Accepted",H231&lt;&gt;"Not Needed",Settings!$D$15="Yes"),", "&amp;H$1,"")&amp;IF(AND(I231&lt;&gt;"Accepted",I231&lt;&gt;"Not Needed",Settings!$E$15="Yes"),", "&amp;I$1,"")&amp;IF(AND(J231&lt;&gt;"Accepted",J231&lt;&gt;"Not Needed",Settings!$F$15="Yes"),", "&amp;J$1,"")&amp;IF(AND(K231&lt;&gt;"Accepted",K231&lt;&gt;"Not Needed",Settings!$G$15="Yes"),", "&amp;K$1,"")&amp;IF(AND(L231&lt;&gt;"Accepted",L231&lt;&gt;"Not Needed",Settings!$H$15="Yes"),", "&amp;L$1,"")&amp;IF(AND(M231&lt;&gt;"Accepted",M231&lt;&gt;"Not Needed",Settings!$I$15="Yes"),", "&amp;M$1,"")&amp;IF(AND(N231&lt;&gt;"Accepted",N231&lt;&gt;"Not Needed",Settings!$J$15="Yes"),", "&amp;N$1,""),3,400))))</f>
        <v/>
      </c>
    </row>
    <row r="232" ht="15" customHeight="1" s="21">
      <c r="A232" s="31" t="inlineStr">
        <is>
          <t>2026-27</t>
        </is>
      </c>
      <c r="B232" s="31" t="inlineStr">
        <is>
          <t>Reynolds ES</t>
        </is>
      </c>
      <c r="C232" s="31" t="inlineStr">
        <is>
          <t>NES Elementary</t>
        </is>
      </c>
      <c r="D232" s="31" t="inlineStr">
        <is>
          <t>No</t>
        </is>
      </c>
      <c r="E232" s="31" t="n"/>
      <c r="F232" s="31" t="n"/>
      <c r="G232" s="31" t="inlineStr">
        <is>
          <t>Not Received</t>
        </is>
      </c>
      <c r="H232" s="31" t="inlineStr">
        <is>
          <t>Not Received</t>
        </is>
      </c>
      <c r="I232" s="31" t="inlineStr">
        <is>
          <t>Not Received</t>
        </is>
      </c>
      <c r="J232" s="31" t="inlineStr">
        <is>
          <t>Not Received</t>
        </is>
      </c>
      <c r="K232" s="31" t="inlineStr">
        <is>
          <t>Not Received</t>
        </is>
      </c>
      <c r="L232" s="31" t="inlineStr">
        <is>
          <t>Not Received</t>
        </is>
      </c>
      <c r="M232" s="31" t="inlineStr">
        <is>
          <t>Not Received</t>
        </is>
      </c>
      <c r="N232" s="31" t="inlineStr">
        <is>
          <t>Not Received</t>
        </is>
      </c>
      <c r="O232" s="32">
        <f>IF($B232="","",COUNTIF(G232:N232,"Accepted")+COUNTIF(G232:N232,"Received")+COUNTIF(G232:N232,"Needs Correction"))</f>
        <v/>
      </c>
      <c r="P232" s="32">
        <f>IF($B232="","",SUMPRODUCT(((G232:N232="Accepted")+(G232:N232="Not Needed"))*(Settings!$C$11:$J$11="Yes")))</f>
        <v/>
      </c>
      <c r="Q232" s="32">
        <f>IF($B232="","",SUMPRODUCT(((G232:N232="Accepted")+(G232:N232="Not Needed"))*(Settings!$C$15:$J$15="Yes")))</f>
        <v/>
      </c>
      <c r="R232" s="33">
        <f>IF($B232="","",IF($D232="No","No PTO/PTA",IF($D232&lt;&gt;"Yes","Not Yet Confirmed",IF($Q232&gt;=Settings!$C$13,"Legalized",IF($P232&gt;=Settings!$C$12,"Registered",IF($O232&gt;0,"In Progress","Not Started"))))))</f>
        <v/>
      </c>
      <c r="S232" s="32">
        <f>IF($B232="","",COUNTIF(G232:N232,"Received"))</f>
        <v/>
      </c>
      <c r="T232" s="32">
        <f>IF($B232="","",COUNTIF(G232:N232,"Needs Correction"))</f>
        <v/>
      </c>
      <c r="U232" s="33">
        <f>IF($B232="","",IF($D232&lt;&gt;"Yes","",IF($Q232&gt;=Settings!$C$13,"None",MID(IF(AND(G232&lt;&gt;"Accepted",G232&lt;&gt;"Not Needed",Settings!$C$15="Yes"),", "&amp;G$1,"")&amp;IF(AND(H232&lt;&gt;"Accepted",H232&lt;&gt;"Not Needed",Settings!$D$15="Yes"),", "&amp;H$1,"")&amp;IF(AND(I232&lt;&gt;"Accepted",I232&lt;&gt;"Not Needed",Settings!$E$15="Yes"),", "&amp;I$1,"")&amp;IF(AND(J232&lt;&gt;"Accepted",J232&lt;&gt;"Not Needed",Settings!$F$15="Yes"),", "&amp;J$1,"")&amp;IF(AND(K232&lt;&gt;"Accepted",K232&lt;&gt;"Not Needed",Settings!$G$15="Yes"),", "&amp;K$1,"")&amp;IF(AND(L232&lt;&gt;"Accepted",L232&lt;&gt;"Not Needed",Settings!$H$15="Yes"),", "&amp;L$1,"")&amp;IF(AND(M232&lt;&gt;"Accepted",M232&lt;&gt;"Not Needed",Settings!$I$15="Yes"),", "&amp;M$1,"")&amp;IF(AND(N232&lt;&gt;"Accepted",N232&lt;&gt;"Not Needed",Settings!$J$15="Yes"),", "&amp;N$1,""),3,400))))</f>
        <v/>
      </c>
    </row>
    <row r="233" ht="15" customHeight="1" s="21">
      <c r="A233" s="31" t="inlineStr">
        <is>
          <t>2026-27</t>
        </is>
      </c>
      <c r="B233" s="31" t="inlineStr">
        <is>
          <t>Robinson ES</t>
        </is>
      </c>
      <c r="C233" s="31" t="inlineStr">
        <is>
          <t>NES Elementary</t>
        </is>
      </c>
      <c r="D233" s="31" t="inlineStr">
        <is>
          <t>No</t>
        </is>
      </c>
      <c r="E233" s="31" t="n"/>
      <c r="F233" s="31" t="n"/>
      <c r="G233" s="31" t="inlineStr">
        <is>
          <t>Not Received</t>
        </is>
      </c>
      <c r="H233" s="31" t="inlineStr">
        <is>
          <t>Not Received</t>
        </is>
      </c>
      <c r="I233" s="31" t="inlineStr">
        <is>
          <t>Not Received</t>
        </is>
      </c>
      <c r="J233" s="31" t="inlineStr">
        <is>
          <t>Not Received</t>
        </is>
      </c>
      <c r="K233" s="31" t="inlineStr">
        <is>
          <t>Not Received</t>
        </is>
      </c>
      <c r="L233" s="31" t="inlineStr">
        <is>
          <t>Not Received</t>
        </is>
      </c>
      <c r="M233" s="31" t="inlineStr">
        <is>
          <t>Not Received</t>
        </is>
      </c>
      <c r="N233" s="31" t="inlineStr">
        <is>
          <t>Not Received</t>
        </is>
      </c>
      <c r="O233" s="32">
        <f>IF($B233="","",COUNTIF(G233:N233,"Accepted")+COUNTIF(G233:N233,"Received")+COUNTIF(G233:N233,"Needs Correction"))</f>
        <v/>
      </c>
      <c r="P233" s="32">
        <f>IF($B233="","",SUMPRODUCT(((G233:N233="Accepted")+(G233:N233="Not Needed"))*(Settings!$C$11:$J$11="Yes")))</f>
        <v/>
      </c>
      <c r="Q233" s="32">
        <f>IF($B233="","",SUMPRODUCT(((G233:N233="Accepted")+(G233:N233="Not Needed"))*(Settings!$C$15:$J$15="Yes")))</f>
        <v/>
      </c>
      <c r="R233" s="33">
        <f>IF($B233="","",IF($D233="No","No PTO/PTA",IF($D233&lt;&gt;"Yes","Not Yet Confirmed",IF($Q233&gt;=Settings!$C$13,"Legalized",IF($P233&gt;=Settings!$C$12,"Registered",IF($O233&gt;0,"In Progress","Not Started"))))))</f>
        <v/>
      </c>
      <c r="S233" s="32">
        <f>IF($B233="","",COUNTIF(G233:N233,"Received"))</f>
        <v/>
      </c>
      <c r="T233" s="32">
        <f>IF($B233="","",COUNTIF(G233:N233,"Needs Correction"))</f>
        <v/>
      </c>
      <c r="U233" s="33">
        <f>IF($B233="","",IF($D233&lt;&gt;"Yes","",IF($Q233&gt;=Settings!$C$13,"None",MID(IF(AND(G233&lt;&gt;"Accepted",G233&lt;&gt;"Not Needed",Settings!$C$15="Yes"),", "&amp;G$1,"")&amp;IF(AND(H233&lt;&gt;"Accepted",H233&lt;&gt;"Not Needed",Settings!$D$15="Yes"),", "&amp;H$1,"")&amp;IF(AND(I233&lt;&gt;"Accepted",I233&lt;&gt;"Not Needed",Settings!$E$15="Yes"),", "&amp;I$1,"")&amp;IF(AND(J233&lt;&gt;"Accepted",J233&lt;&gt;"Not Needed",Settings!$F$15="Yes"),", "&amp;J$1,"")&amp;IF(AND(K233&lt;&gt;"Accepted",K233&lt;&gt;"Not Needed",Settings!$G$15="Yes"),", "&amp;K$1,"")&amp;IF(AND(L233&lt;&gt;"Accepted",L233&lt;&gt;"Not Needed",Settings!$H$15="Yes"),", "&amp;L$1,"")&amp;IF(AND(M233&lt;&gt;"Accepted",M233&lt;&gt;"Not Needed",Settings!$I$15="Yes"),", "&amp;M$1,"")&amp;IF(AND(N233&lt;&gt;"Accepted",N233&lt;&gt;"Not Needed",Settings!$J$15="Yes"),", "&amp;N$1,""),3,400))))</f>
        <v/>
      </c>
    </row>
    <row r="234" ht="15" customHeight="1" s="21">
      <c r="A234" s="31" t="inlineStr">
        <is>
          <t>2026-27</t>
        </is>
      </c>
      <c r="B234" s="31" t="inlineStr">
        <is>
          <t>Rodriguez ES</t>
        </is>
      </c>
      <c r="C234" s="31" t="inlineStr">
        <is>
          <t>EAS Elementary</t>
        </is>
      </c>
      <c r="D234" s="31" t="inlineStr">
        <is>
          <t>No</t>
        </is>
      </c>
      <c r="E234" s="31" t="n"/>
      <c r="F234" s="31" t="n"/>
      <c r="G234" s="31" t="inlineStr">
        <is>
          <t>Not Received</t>
        </is>
      </c>
      <c r="H234" s="31" t="inlineStr">
        <is>
          <t>Not Received</t>
        </is>
      </c>
      <c r="I234" s="31" t="inlineStr">
        <is>
          <t>Not Received</t>
        </is>
      </c>
      <c r="J234" s="31" t="inlineStr">
        <is>
          <t>Not Received</t>
        </is>
      </c>
      <c r="K234" s="31" t="inlineStr">
        <is>
          <t>Not Received</t>
        </is>
      </c>
      <c r="L234" s="31" t="inlineStr">
        <is>
          <t>Not Received</t>
        </is>
      </c>
      <c r="M234" s="31" t="inlineStr">
        <is>
          <t>Not Received</t>
        </is>
      </c>
      <c r="N234" s="31" t="inlineStr">
        <is>
          <t>Not Received</t>
        </is>
      </c>
      <c r="O234" s="32">
        <f>IF($B234="","",COUNTIF(G234:N234,"Accepted")+COUNTIF(G234:N234,"Received")+COUNTIF(G234:N234,"Needs Correction"))</f>
        <v/>
      </c>
      <c r="P234" s="32">
        <f>IF($B234="","",SUMPRODUCT(((G234:N234="Accepted")+(G234:N234="Not Needed"))*(Settings!$C$11:$J$11="Yes")))</f>
        <v/>
      </c>
      <c r="Q234" s="32">
        <f>IF($B234="","",SUMPRODUCT(((G234:N234="Accepted")+(G234:N234="Not Needed"))*(Settings!$C$15:$J$15="Yes")))</f>
        <v/>
      </c>
      <c r="R234" s="33">
        <f>IF($B234="","",IF($D234="No","No PTO/PTA",IF($D234&lt;&gt;"Yes","Not Yet Confirmed",IF($Q234&gt;=Settings!$C$13,"Legalized",IF($P234&gt;=Settings!$C$12,"Registered",IF($O234&gt;0,"In Progress","Not Started"))))))</f>
        <v/>
      </c>
      <c r="S234" s="32">
        <f>IF($B234="","",COUNTIF(G234:N234,"Received"))</f>
        <v/>
      </c>
      <c r="T234" s="32">
        <f>IF($B234="","",COUNTIF(G234:N234,"Needs Correction"))</f>
        <v/>
      </c>
      <c r="U234" s="33">
        <f>IF($B234="","",IF($D234&lt;&gt;"Yes","",IF($Q234&gt;=Settings!$C$13,"None",MID(IF(AND(G234&lt;&gt;"Accepted",G234&lt;&gt;"Not Needed",Settings!$C$15="Yes"),", "&amp;G$1,"")&amp;IF(AND(H234&lt;&gt;"Accepted",H234&lt;&gt;"Not Needed",Settings!$D$15="Yes"),", "&amp;H$1,"")&amp;IF(AND(I234&lt;&gt;"Accepted",I234&lt;&gt;"Not Needed",Settings!$E$15="Yes"),", "&amp;I$1,"")&amp;IF(AND(J234&lt;&gt;"Accepted",J234&lt;&gt;"Not Needed",Settings!$F$15="Yes"),", "&amp;J$1,"")&amp;IF(AND(K234&lt;&gt;"Accepted",K234&lt;&gt;"Not Needed",Settings!$G$15="Yes"),", "&amp;K$1,"")&amp;IF(AND(L234&lt;&gt;"Accepted",L234&lt;&gt;"Not Needed",Settings!$H$15="Yes"),", "&amp;L$1,"")&amp;IF(AND(M234&lt;&gt;"Accepted",M234&lt;&gt;"Not Needed",Settings!$I$15="Yes"),", "&amp;M$1,"")&amp;IF(AND(N234&lt;&gt;"Accepted",N234&lt;&gt;"Not Needed",Settings!$J$15="Yes"),", "&amp;N$1,""),3,400))))</f>
        <v/>
      </c>
    </row>
    <row r="235" ht="15" customHeight="1" s="21">
      <c r="A235" s="31" t="inlineStr">
        <is>
          <t>2026-27</t>
        </is>
      </c>
      <c r="B235" s="31" t="inlineStr">
        <is>
          <t>Sanchez ES</t>
        </is>
      </c>
      <c r="C235" s="31" t="inlineStr">
        <is>
          <t>NES Elementary</t>
        </is>
      </c>
      <c r="D235" s="31" t="inlineStr">
        <is>
          <t>No</t>
        </is>
      </c>
      <c r="E235" s="31" t="n"/>
      <c r="F235" s="31" t="n"/>
      <c r="G235" s="31" t="inlineStr">
        <is>
          <t>Not Received</t>
        </is>
      </c>
      <c r="H235" s="31" t="inlineStr">
        <is>
          <t>Not Received</t>
        </is>
      </c>
      <c r="I235" s="31" t="inlineStr">
        <is>
          <t>Not Received</t>
        </is>
      </c>
      <c r="J235" s="31" t="inlineStr">
        <is>
          <t>Not Received</t>
        </is>
      </c>
      <c r="K235" s="31" t="inlineStr">
        <is>
          <t>Not Received</t>
        </is>
      </c>
      <c r="L235" s="31" t="inlineStr">
        <is>
          <t>Not Received</t>
        </is>
      </c>
      <c r="M235" s="31" t="inlineStr">
        <is>
          <t>Not Received</t>
        </is>
      </c>
      <c r="N235" s="31" t="inlineStr">
        <is>
          <t>Not Received</t>
        </is>
      </c>
      <c r="O235" s="32">
        <f>IF($B235="","",COUNTIF(G235:N235,"Accepted")+COUNTIF(G235:N235,"Received")+COUNTIF(G235:N235,"Needs Correction"))</f>
        <v/>
      </c>
      <c r="P235" s="32">
        <f>IF($B235="","",SUMPRODUCT(((G235:N235="Accepted")+(G235:N235="Not Needed"))*(Settings!$C$11:$J$11="Yes")))</f>
        <v/>
      </c>
      <c r="Q235" s="32">
        <f>IF($B235="","",SUMPRODUCT(((G235:N235="Accepted")+(G235:N235="Not Needed"))*(Settings!$C$15:$J$15="Yes")))</f>
        <v/>
      </c>
      <c r="R235" s="33">
        <f>IF($B235="","",IF($D235="No","No PTO/PTA",IF($D235&lt;&gt;"Yes","Not Yet Confirmed",IF($Q235&gt;=Settings!$C$13,"Legalized",IF($P235&gt;=Settings!$C$12,"Registered",IF($O235&gt;0,"In Progress","Not Started"))))))</f>
        <v/>
      </c>
      <c r="S235" s="32">
        <f>IF($B235="","",COUNTIF(G235:N235,"Received"))</f>
        <v/>
      </c>
      <c r="T235" s="32">
        <f>IF($B235="","",COUNTIF(G235:N235,"Needs Correction"))</f>
        <v/>
      </c>
      <c r="U235" s="33">
        <f>IF($B235="","",IF($D235&lt;&gt;"Yes","",IF($Q235&gt;=Settings!$C$13,"None",MID(IF(AND(G235&lt;&gt;"Accepted",G235&lt;&gt;"Not Needed",Settings!$C$15="Yes"),", "&amp;G$1,"")&amp;IF(AND(H235&lt;&gt;"Accepted",H235&lt;&gt;"Not Needed",Settings!$D$15="Yes"),", "&amp;H$1,"")&amp;IF(AND(I235&lt;&gt;"Accepted",I235&lt;&gt;"Not Needed",Settings!$E$15="Yes"),", "&amp;I$1,"")&amp;IF(AND(J235&lt;&gt;"Accepted",J235&lt;&gt;"Not Needed",Settings!$F$15="Yes"),", "&amp;J$1,"")&amp;IF(AND(K235&lt;&gt;"Accepted",K235&lt;&gt;"Not Needed",Settings!$G$15="Yes"),", "&amp;K$1,"")&amp;IF(AND(L235&lt;&gt;"Accepted",L235&lt;&gt;"Not Needed",Settings!$H$15="Yes"),", "&amp;L$1,"")&amp;IF(AND(M235&lt;&gt;"Accepted",M235&lt;&gt;"Not Needed",Settings!$I$15="Yes"),", "&amp;M$1,"")&amp;IF(AND(N235&lt;&gt;"Accepted",N235&lt;&gt;"Not Needed",Settings!$J$15="Yes"),", "&amp;N$1,""),3,400))))</f>
        <v/>
      </c>
    </row>
    <row r="236" ht="15" customHeight="1" s="21">
      <c r="A236" s="31" t="inlineStr">
        <is>
          <t>2026-27</t>
        </is>
      </c>
      <c r="B236" s="31" t="inlineStr">
        <is>
          <t>Scarborough HS</t>
        </is>
      </c>
      <c r="C236" s="31" t="inlineStr">
        <is>
          <t>NES Secondary</t>
        </is>
      </c>
      <c r="D236" s="31" t="inlineStr">
        <is>
          <t>No</t>
        </is>
      </c>
      <c r="E236" s="31" t="n"/>
      <c r="F236" s="31" t="n"/>
      <c r="G236" s="31" t="inlineStr">
        <is>
          <t>Not Received</t>
        </is>
      </c>
      <c r="H236" s="31" t="inlineStr">
        <is>
          <t>Not Received</t>
        </is>
      </c>
      <c r="I236" s="31" t="inlineStr">
        <is>
          <t>Not Received</t>
        </is>
      </c>
      <c r="J236" s="31" t="inlineStr">
        <is>
          <t>Not Received</t>
        </is>
      </c>
      <c r="K236" s="31" t="inlineStr">
        <is>
          <t>Not Received</t>
        </is>
      </c>
      <c r="L236" s="31" t="inlineStr">
        <is>
          <t>Not Received</t>
        </is>
      </c>
      <c r="M236" s="31" t="inlineStr">
        <is>
          <t>Not Received</t>
        </is>
      </c>
      <c r="N236" s="31" t="inlineStr">
        <is>
          <t>Not Received</t>
        </is>
      </c>
      <c r="O236" s="32">
        <f>IF($B236="","",COUNTIF(G236:N236,"Accepted")+COUNTIF(G236:N236,"Received")+COUNTIF(G236:N236,"Needs Correction"))</f>
        <v/>
      </c>
      <c r="P236" s="32">
        <f>IF($B236="","",SUMPRODUCT(((G236:N236="Accepted")+(G236:N236="Not Needed"))*(Settings!$C$11:$J$11="Yes")))</f>
        <v/>
      </c>
      <c r="Q236" s="32">
        <f>IF($B236="","",SUMPRODUCT(((G236:N236="Accepted")+(G236:N236="Not Needed"))*(Settings!$C$15:$J$15="Yes")))</f>
        <v/>
      </c>
      <c r="R236" s="33">
        <f>IF($B236="","",IF($D236="No","No PTO/PTA",IF($D236&lt;&gt;"Yes","Not Yet Confirmed",IF($Q236&gt;=Settings!$C$13,"Legalized",IF($P236&gt;=Settings!$C$12,"Registered",IF($O236&gt;0,"In Progress","Not Started"))))))</f>
        <v/>
      </c>
      <c r="S236" s="32">
        <f>IF($B236="","",COUNTIF(G236:N236,"Received"))</f>
        <v/>
      </c>
      <c r="T236" s="32">
        <f>IF($B236="","",COUNTIF(G236:N236,"Needs Correction"))</f>
        <v/>
      </c>
      <c r="U236" s="33">
        <f>IF($B236="","",IF($D236&lt;&gt;"Yes","",IF($Q236&gt;=Settings!$C$13,"None",MID(IF(AND(G236&lt;&gt;"Accepted",G236&lt;&gt;"Not Needed",Settings!$C$15="Yes"),", "&amp;G$1,"")&amp;IF(AND(H236&lt;&gt;"Accepted",H236&lt;&gt;"Not Needed",Settings!$D$15="Yes"),", "&amp;H$1,"")&amp;IF(AND(I236&lt;&gt;"Accepted",I236&lt;&gt;"Not Needed",Settings!$E$15="Yes"),", "&amp;I$1,"")&amp;IF(AND(J236&lt;&gt;"Accepted",J236&lt;&gt;"Not Needed",Settings!$F$15="Yes"),", "&amp;J$1,"")&amp;IF(AND(K236&lt;&gt;"Accepted",K236&lt;&gt;"Not Needed",Settings!$G$15="Yes"),", "&amp;K$1,"")&amp;IF(AND(L236&lt;&gt;"Accepted",L236&lt;&gt;"Not Needed",Settings!$H$15="Yes"),", "&amp;L$1,"")&amp;IF(AND(M236&lt;&gt;"Accepted",M236&lt;&gt;"Not Needed",Settings!$I$15="Yes"),", "&amp;M$1,"")&amp;IF(AND(N236&lt;&gt;"Accepted",N236&lt;&gt;"Not Needed",Settings!$J$15="Yes"),", "&amp;N$1,""),3,400))))</f>
        <v/>
      </c>
    </row>
    <row r="237" ht="15" customHeight="1" s="21">
      <c r="A237" s="31" t="inlineStr">
        <is>
          <t>2026-27</t>
        </is>
      </c>
      <c r="B237" s="31" t="inlineStr">
        <is>
          <t>Scroggins ES</t>
        </is>
      </c>
      <c r="C237" s="31" t="inlineStr">
        <is>
          <t>NES Elementary</t>
        </is>
      </c>
      <c r="D237" s="31" t="inlineStr">
        <is>
          <t>Not Yet Confirmed</t>
        </is>
      </c>
      <c r="E237" s="31" t="n"/>
      <c r="F237" s="31" t="n"/>
      <c r="G237" s="31" t="inlineStr">
        <is>
          <t>Not Received</t>
        </is>
      </c>
      <c r="H237" s="31" t="inlineStr">
        <is>
          <t>Not Received</t>
        </is>
      </c>
      <c r="I237" s="31" t="inlineStr">
        <is>
          <t>Not Received</t>
        </is>
      </c>
      <c r="J237" s="31" t="inlineStr">
        <is>
          <t>Not Received</t>
        </is>
      </c>
      <c r="K237" s="31" t="inlineStr">
        <is>
          <t>Not Received</t>
        </is>
      </c>
      <c r="L237" s="31" t="inlineStr">
        <is>
          <t>Not Received</t>
        </is>
      </c>
      <c r="M237" s="31" t="inlineStr">
        <is>
          <t>Not Received</t>
        </is>
      </c>
      <c r="N237" s="31" t="inlineStr">
        <is>
          <t>Not Received</t>
        </is>
      </c>
      <c r="O237" s="32">
        <f>IF($B237="","",COUNTIF(G237:N237,"Accepted")+COUNTIF(G237:N237,"Received")+COUNTIF(G237:N237,"Needs Correction"))</f>
        <v/>
      </c>
      <c r="P237" s="32">
        <f>IF($B237="","",SUMPRODUCT(((G237:N237="Accepted")+(G237:N237="Not Needed"))*(Settings!$C$11:$J$11="Yes")))</f>
        <v/>
      </c>
      <c r="Q237" s="32">
        <f>IF($B237="","",SUMPRODUCT(((G237:N237="Accepted")+(G237:N237="Not Needed"))*(Settings!$C$15:$J$15="Yes")))</f>
        <v/>
      </c>
      <c r="R237" s="33">
        <f>IF($B237="","",IF($D237="No","No PTO/PTA",IF($D237&lt;&gt;"Yes","Not Yet Confirmed",IF($Q237&gt;=Settings!$C$13,"Legalized",IF($P237&gt;=Settings!$C$12,"Registered",IF($O237&gt;0,"In Progress","Not Started"))))))</f>
        <v/>
      </c>
      <c r="S237" s="32">
        <f>IF($B237="","",COUNTIF(G237:N237,"Received"))</f>
        <v/>
      </c>
      <c r="T237" s="32">
        <f>IF($B237="","",COUNTIF(G237:N237,"Needs Correction"))</f>
        <v/>
      </c>
      <c r="U237" s="33">
        <f>IF($B237="","",IF($D237&lt;&gt;"Yes","",IF($Q237&gt;=Settings!$C$13,"None",MID(IF(AND(G237&lt;&gt;"Accepted",G237&lt;&gt;"Not Needed",Settings!$C$15="Yes"),", "&amp;G$1,"")&amp;IF(AND(H237&lt;&gt;"Accepted",H237&lt;&gt;"Not Needed",Settings!$D$15="Yes"),", "&amp;H$1,"")&amp;IF(AND(I237&lt;&gt;"Accepted",I237&lt;&gt;"Not Needed",Settings!$E$15="Yes"),", "&amp;I$1,"")&amp;IF(AND(J237&lt;&gt;"Accepted",J237&lt;&gt;"Not Needed",Settings!$F$15="Yes"),", "&amp;J$1,"")&amp;IF(AND(K237&lt;&gt;"Accepted",K237&lt;&gt;"Not Needed",Settings!$G$15="Yes"),", "&amp;K$1,"")&amp;IF(AND(L237&lt;&gt;"Accepted",L237&lt;&gt;"Not Needed",Settings!$H$15="Yes"),", "&amp;L$1,"")&amp;IF(AND(M237&lt;&gt;"Accepted",M237&lt;&gt;"Not Needed",Settings!$I$15="Yes"),", "&amp;M$1,"")&amp;IF(AND(N237&lt;&gt;"Accepted",N237&lt;&gt;"Not Needed",Settings!$J$15="Yes"),", "&amp;N$1,""),3,400))))</f>
        <v/>
      </c>
    </row>
    <row r="238" ht="15" customHeight="1" s="21">
      <c r="A238" s="31" t="inlineStr">
        <is>
          <t>2026-27</t>
        </is>
      </c>
      <c r="B238" s="31" t="inlineStr">
        <is>
          <t>Shadydale ES</t>
        </is>
      </c>
      <c r="C238" s="31" t="inlineStr">
        <is>
          <t>NES Elementary</t>
        </is>
      </c>
      <c r="D238" s="31" t="inlineStr">
        <is>
          <t>No</t>
        </is>
      </c>
      <c r="E238" s="31" t="n"/>
      <c r="F238" s="31" t="n"/>
      <c r="G238" s="31" t="inlineStr">
        <is>
          <t>Not Received</t>
        </is>
      </c>
      <c r="H238" s="31" t="inlineStr">
        <is>
          <t>Not Received</t>
        </is>
      </c>
      <c r="I238" s="31" t="inlineStr">
        <is>
          <t>Not Received</t>
        </is>
      </c>
      <c r="J238" s="31" t="inlineStr">
        <is>
          <t>Not Received</t>
        </is>
      </c>
      <c r="K238" s="31" t="inlineStr">
        <is>
          <t>Not Received</t>
        </is>
      </c>
      <c r="L238" s="31" t="inlineStr">
        <is>
          <t>Not Received</t>
        </is>
      </c>
      <c r="M238" s="31" t="inlineStr">
        <is>
          <t>Not Received</t>
        </is>
      </c>
      <c r="N238" s="31" t="inlineStr">
        <is>
          <t>Not Received</t>
        </is>
      </c>
      <c r="O238" s="32">
        <f>IF($B238="","",COUNTIF(G238:N238,"Accepted")+COUNTIF(G238:N238,"Received")+COUNTIF(G238:N238,"Needs Correction"))</f>
        <v/>
      </c>
      <c r="P238" s="32">
        <f>IF($B238="","",SUMPRODUCT(((G238:N238="Accepted")+(G238:N238="Not Needed"))*(Settings!$C$11:$J$11="Yes")))</f>
        <v/>
      </c>
      <c r="Q238" s="32">
        <f>IF($B238="","",SUMPRODUCT(((G238:N238="Accepted")+(G238:N238="Not Needed"))*(Settings!$C$15:$J$15="Yes")))</f>
        <v/>
      </c>
      <c r="R238" s="33">
        <f>IF($B238="","",IF($D238="No","No PTO/PTA",IF($D238&lt;&gt;"Yes","Not Yet Confirmed",IF($Q238&gt;=Settings!$C$13,"Legalized",IF($P238&gt;=Settings!$C$12,"Registered",IF($O238&gt;0,"In Progress","Not Started"))))))</f>
        <v/>
      </c>
      <c r="S238" s="32">
        <f>IF($B238="","",COUNTIF(G238:N238,"Received"))</f>
        <v/>
      </c>
      <c r="T238" s="32">
        <f>IF($B238="","",COUNTIF(G238:N238,"Needs Correction"))</f>
        <v/>
      </c>
      <c r="U238" s="33">
        <f>IF($B238="","",IF($D238&lt;&gt;"Yes","",IF($Q238&gt;=Settings!$C$13,"None",MID(IF(AND(G238&lt;&gt;"Accepted",G238&lt;&gt;"Not Needed",Settings!$C$15="Yes"),", "&amp;G$1,"")&amp;IF(AND(H238&lt;&gt;"Accepted",H238&lt;&gt;"Not Needed",Settings!$D$15="Yes"),", "&amp;H$1,"")&amp;IF(AND(I238&lt;&gt;"Accepted",I238&lt;&gt;"Not Needed",Settings!$E$15="Yes"),", "&amp;I$1,"")&amp;IF(AND(J238&lt;&gt;"Accepted",J238&lt;&gt;"Not Needed",Settings!$F$15="Yes"),", "&amp;J$1,"")&amp;IF(AND(K238&lt;&gt;"Accepted",K238&lt;&gt;"Not Needed",Settings!$G$15="Yes"),", "&amp;K$1,"")&amp;IF(AND(L238&lt;&gt;"Accepted",L238&lt;&gt;"Not Needed",Settings!$H$15="Yes"),", "&amp;L$1,"")&amp;IF(AND(M238&lt;&gt;"Accepted",M238&lt;&gt;"Not Needed",Settings!$I$15="Yes"),", "&amp;M$1,"")&amp;IF(AND(N238&lt;&gt;"Accepted",N238&lt;&gt;"Not Needed",Settings!$J$15="Yes"),", "&amp;N$1,""),3,400))))</f>
        <v/>
      </c>
    </row>
    <row r="239" ht="15" customHeight="1" s="21">
      <c r="A239" s="31" t="inlineStr">
        <is>
          <t>2026-27</t>
        </is>
      </c>
      <c r="B239" s="31" t="inlineStr">
        <is>
          <t>Sharpstown HS</t>
        </is>
      </c>
      <c r="C239" s="31" t="inlineStr">
        <is>
          <t>NES Secondary</t>
        </is>
      </c>
      <c r="D239" s="31" t="inlineStr">
        <is>
          <t>No</t>
        </is>
      </c>
      <c r="E239" s="31" t="n"/>
      <c r="F239" s="31" t="n"/>
      <c r="G239" s="31" t="inlineStr">
        <is>
          <t>Not Received</t>
        </is>
      </c>
      <c r="H239" s="31" t="inlineStr">
        <is>
          <t>Not Received</t>
        </is>
      </c>
      <c r="I239" s="31" t="inlineStr">
        <is>
          <t>Not Received</t>
        </is>
      </c>
      <c r="J239" s="31" t="inlineStr">
        <is>
          <t>Not Received</t>
        </is>
      </c>
      <c r="K239" s="31" t="inlineStr">
        <is>
          <t>Not Received</t>
        </is>
      </c>
      <c r="L239" s="31" t="inlineStr">
        <is>
          <t>Not Received</t>
        </is>
      </c>
      <c r="M239" s="31" t="inlineStr">
        <is>
          <t>Not Received</t>
        </is>
      </c>
      <c r="N239" s="31" t="inlineStr">
        <is>
          <t>Not Received</t>
        </is>
      </c>
      <c r="O239" s="32">
        <f>IF($B239="","",COUNTIF(G239:N239,"Accepted")+COUNTIF(G239:N239,"Received")+COUNTIF(G239:N239,"Needs Correction"))</f>
        <v/>
      </c>
      <c r="P239" s="32">
        <f>IF($B239="","",SUMPRODUCT(((G239:N239="Accepted")+(G239:N239="Not Needed"))*(Settings!$C$11:$J$11="Yes")))</f>
        <v/>
      </c>
      <c r="Q239" s="32">
        <f>IF($B239="","",SUMPRODUCT(((G239:N239="Accepted")+(G239:N239="Not Needed"))*(Settings!$C$15:$J$15="Yes")))</f>
        <v/>
      </c>
      <c r="R239" s="33">
        <f>IF($B239="","",IF($D239="No","No PTO/PTA",IF($D239&lt;&gt;"Yes","Not Yet Confirmed",IF($Q239&gt;=Settings!$C$13,"Legalized",IF($P239&gt;=Settings!$C$12,"Registered",IF($O239&gt;0,"In Progress","Not Started"))))))</f>
        <v/>
      </c>
      <c r="S239" s="32">
        <f>IF($B239="","",COUNTIF(G239:N239,"Received"))</f>
        <v/>
      </c>
      <c r="T239" s="32">
        <f>IF($B239="","",COUNTIF(G239:N239,"Needs Correction"))</f>
        <v/>
      </c>
      <c r="U239" s="33">
        <f>IF($B239="","",IF($D239&lt;&gt;"Yes","",IF($Q239&gt;=Settings!$C$13,"None",MID(IF(AND(G239&lt;&gt;"Accepted",G239&lt;&gt;"Not Needed",Settings!$C$15="Yes"),", "&amp;G$1,"")&amp;IF(AND(H239&lt;&gt;"Accepted",H239&lt;&gt;"Not Needed",Settings!$D$15="Yes"),", "&amp;H$1,"")&amp;IF(AND(I239&lt;&gt;"Accepted",I239&lt;&gt;"Not Needed",Settings!$E$15="Yes"),", "&amp;I$1,"")&amp;IF(AND(J239&lt;&gt;"Accepted",J239&lt;&gt;"Not Needed",Settings!$F$15="Yes"),", "&amp;J$1,"")&amp;IF(AND(K239&lt;&gt;"Accepted",K239&lt;&gt;"Not Needed",Settings!$G$15="Yes"),", "&amp;K$1,"")&amp;IF(AND(L239&lt;&gt;"Accepted",L239&lt;&gt;"Not Needed",Settings!$H$15="Yes"),", "&amp;L$1,"")&amp;IF(AND(M239&lt;&gt;"Accepted",M239&lt;&gt;"Not Needed",Settings!$I$15="Yes"),", "&amp;M$1,"")&amp;IF(AND(N239&lt;&gt;"Accepted",N239&lt;&gt;"Not Needed",Settings!$J$15="Yes"),", "&amp;N$1,""),3,400))))</f>
        <v/>
      </c>
    </row>
    <row r="240" ht="15" customHeight="1" s="21">
      <c r="A240" s="31" t="inlineStr">
        <is>
          <t>2026-27</t>
        </is>
      </c>
      <c r="B240" s="31" t="inlineStr">
        <is>
          <t>Sharpstown Intl</t>
        </is>
      </c>
      <c r="C240" s="31" t="inlineStr">
        <is>
          <t>EAS Secondary</t>
        </is>
      </c>
      <c r="D240" s="31" t="inlineStr">
        <is>
          <t>No</t>
        </is>
      </c>
      <c r="E240" s="31" t="n"/>
      <c r="F240" s="31" t="n"/>
      <c r="G240" s="31" t="inlineStr">
        <is>
          <t>Not Received</t>
        </is>
      </c>
      <c r="H240" s="31" t="inlineStr">
        <is>
          <t>Not Received</t>
        </is>
      </c>
      <c r="I240" s="31" t="inlineStr">
        <is>
          <t>Not Received</t>
        </is>
      </c>
      <c r="J240" s="31" t="inlineStr">
        <is>
          <t>Not Received</t>
        </is>
      </c>
      <c r="K240" s="31" t="inlineStr">
        <is>
          <t>Not Received</t>
        </is>
      </c>
      <c r="L240" s="31" t="inlineStr">
        <is>
          <t>Not Received</t>
        </is>
      </c>
      <c r="M240" s="31" t="inlineStr">
        <is>
          <t>Not Received</t>
        </is>
      </c>
      <c r="N240" s="31" t="inlineStr">
        <is>
          <t>Not Received</t>
        </is>
      </c>
      <c r="O240" s="32">
        <f>IF($B240="","",COUNTIF(G240:N240,"Accepted")+COUNTIF(G240:N240,"Received")+COUNTIF(G240:N240,"Needs Correction"))</f>
        <v/>
      </c>
      <c r="P240" s="32">
        <f>IF($B240="","",SUMPRODUCT(((G240:N240="Accepted")+(G240:N240="Not Needed"))*(Settings!$C$11:$J$11="Yes")))</f>
        <v/>
      </c>
      <c r="Q240" s="32">
        <f>IF($B240="","",SUMPRODUCT(((G240:N240="Accepted")+(G240:N240="Not Needed"))*(Settings!$C$15:$J$15="Yes")))</f>
        <v/>
      </c>
      <c r="R240" s="33">
        <f>IF($B240="","",IF($D240="No","No PTO/PTA",IF($D240&lt;&gt;"Yes","Not Yet Confirmed",IF($Q240&gt;=Settings!$C$13,"Legalized",IF($P240&gt;=Settings!$C$12,"Registered",IF($O240&gt;0,"In Progress","Not Started"))))))</f>
        <v/>
      </c>
      <c r="S240" s="32">
        <f>IF($B240="","",COUNTIF(G240:N240,"Received"))</f>
        <v/>
      </c>
      <c r="T240" s="32">
        <f>IF($B240="","",COUNTIF(G240:N240,"Needs Correction"))</f>
        <v/>
      </c>
      <c r="U240" s="33">
        <f>IF($B240="","",IF($D240&lt;&gt;"Yes","",IF($Q240&gt;=Settings!$C$13,"None",MID(IF(AND(G240&lt;&gt;"Accepted",G240&lt;&gt;"Not Needed",Settings!$C$15="Yes"),", "&amp;G$1,"")&amp;IF(AND(H240&lt;&gt;"Accepted",H240&lt;&gt;"Not Needed",Settings!$D$15="Yes"),", "&amp;H$1,"")&amp;IF(AND(I240&lt;&gt;"Accepted",I240&lt;&gt;"Not Needed",Settings!$E$15="Yes"),", "&amp;I$1,"")&amp;IF(AND(J240&lt;&gt;"Accepted",J240&lt;&gt;"Not Needed",Settings!$F$15="Yes"),", "&amp;J$1,"")&amp;IF(AND(K240&lt;&gt;"Accepted",K240&lt;&gt;"Not Needed",Settings!$G$15="Yes"),", "&amp;K$1,"")&amp;IF(AND(L240&lt;&gt;"Accepted",L240&lt;&gt;"Not Needed",Settings!$H$15="Yes"),", "&amp;L$1,"")&amp;IF(AND(M240&lt;&gt;"Accepted",M240&lt;&gt;"Not Needed",Settings!$I$15="Yes"),", "&amp;M$1,"")&amp;IF(AND(N240&lt;&gt;"Accepted",N240&lt;&gt;"Not Needed",Settings!$J$15="Yes"),", "&amp;N$1,""),3,400))))</f>
        <v/>
      </c>
    </row>
    <row r="241" ht="15" customHeight="1" s="21">
      <c r="A241" s="31" t="inlineStr">
        <is>
          <t>2026-27</t>
        </is>
      </c>
      <c r="B241" s="31" t="inlineStr">
        <is>
          <t>Smith ES</t>
        </is>
      </c>
      <c r="C241" s="31" t="inlineStr">
        <is>
          <t>NES Elementary</t>
        </is>
      </c>
      <c r="D241" s="31" t="inlineStr">
        <is>
          <t>No</t>
        </is>
      </c>
      <c r="E241" s="31" t="n"/>
      <c r="F241" s="31" t="n"/>
      <c r="G241" s="31" t="inlineStr">
        <is>
          <t>Not Received</t>
        </is>
      </c>
      <c r="H241" s="31" t="inlineStr">
        <is>
          <t>Not Received</t>
        </is>
      </c>
      <c r="I241" s="31" t="inlineStr">
        <is>
          <t>Not Received</t>
        </is>
      </c>
      <c r="J241" s="31" t="inlineStr">
        <is>
          <t>Not Received</t>
        </is>
      </c>
      <c r="K241" s="31" t="inlineStr">
        <is>
          <t>Not Received</t>
        </is>
      </c>
      <c r="L241" s="31" t="inlineStr">
        <is>
          <t>Not Received</t>
        </is>
      </c>
      <c r="M241" s="31" t="inlineStr">
        <is>
          <t>Not Received</t>
        </is>
      </c>
      <c r="N241" s="31" t="inlineStr">
        <is>
          <t>Not Received</t>
        </is>
      </c>
      <c r="O241" s="32">
        <f>IF($B241="","",COUNTIF(G241:N241,"Accepted")+COUNTIF(G241:N241,"Received")+COUNTIF(G241:N241,"Needs Correction"))</f>
        <v/>
      </c>
      <c r="P241" s="32">
        <f>IF($B241="","",SUMPRODUCT(((G241:N241="Accepted")+(G241:N241="Not Needed"))*(Settings!$C$11:$J$11="Yes")))</f>
        <v/>
      </c>
      <c r="Q241" s="32">
        <f>IF($B241="","",SUMPRODUCT(((G241:N241="Accepted")+(G241:N241="Not Needed"))*(Settings!$C$15:$J$15="Yes")))</f>
        <v/>
      </c>
      <c r="R241" s="33">
        <f>IF($B241="","",IF($D241="No","No PTO/PTA",IF($D241&lt;&gt;"Yes","Not Yet Confirmed",IF($Q241&gt;=Settings!$C$13,"Legalized",IF($P241&gt;=Settings!$C$12,"Registered",IF($O241&gt;0,"In Progress","Not Started"))))))</f>
        <v/>
      </c>
      <c r="S241" s="32">
        <f>IF($B241="","",COUNTIF(G241:N241,"Received"))</f>
        <v/>
      </c>
      <c r="T241" s="32">
        <f>IF($B241="","",COUNTIF(G241:N241,"Needs Correction"))</f>
        <v/>
      </c>
      <c r="U241" s="33">
        <f>IF($B241="","",IF($D241&lt;&gt;"Yes","",IF($Q241&gt;=Settings!$C$13,"None",MID(IF(AND(G241&lt;&gt;"Accepted",G241&lt;&gt;"Not Needed",Settings!$C$15="Yes"),", "&amp;G$1,"")&amp;IF(AND(H241&lt;&gt;"Accepted",H241&lt;&gt;"Not Needed",Settings!$D$15="Yes"),", "&amp;H$1,"")&amp;IF(AND(I241&lt;&gt;"Accepted",I241&lt;&gt;"Not Needed",Settings!$E$15="Yes"),", "&amp;I$1,"")&amp;IF(AND(J241&lt;&gt;"Accepted",J241&lt;&gt;"Not Needed",Settings!$F$15="Yes"),", "&amp;J$1,"")&amp;IF(AND(K241&lt;&gt;"Accepted",K241&lt;&gt;"Not Needed",Settings!$G$15="Yes"),", "&amp;K$1,"")&amp;IF(AND(L241&lt;&gt;"Accepted",L241&lt;&gt;"Not Needed",Settings!$H$15="Yes"),", "&amp;L$1,"")&amp;IF(AND(M241&lt;&gt;"Accepted",M241&lt;&gt;"Not Needed",Settings!$I$15="Yes"),", "&amp;M$1,"")&amp;IF(AND(N241&lt;&gt;"Accepted",N241&lt;&gt;"Not Needed",Settings!$J$15="Yes"),", "&amp;N$1,""),3,400))))</f>
        <v/>
      </c>
    </row>
    <row r="242" ht="15" customHeight="1" s="21">
      <c r="A242" s="31" t="inlineStr">
        <is>
          <t>2026-27</t>
        </is>
      </c>
      <c r="B242" s="31" t="inlineStr">
        <is>
          <t>Southmayd ES</t>
        </is>
      </c>
      <c r="C242" s="31" t="inlineStr">
        <is>
          <t>NES Elementary</t>
        </is>
      </c>
      <c r="D242" s="31" t="inlineStr">
        <is>
          <t>No</t>
        </is>
      </c>
      <c r="E242" s="31" t="n"/>
      <c r="F242" s="31" t="n"/>
      <c r="G242" s="31" t="inlineStr">
        <is>
          <t>Not Received</t>
        </is>
      </c>
      <c r="H242" s="31" t="inlineStr">
        <is>
          <t>Not Received</t>
        </is>
      </c>
      <c r="I242" s="31" t="inlineStr">
        <is>
          <t>Not Received</t>
        </is>
      </c>
      <c r="J242" s="31" t="inlineStr">
        <is>
          <t>Not Received</t>
        </is>
      </c>
      <c r="K242" s="31" t="inlineStr">
        <is>
          <t>Not Received</t>
        </is>
      </c>
      <c r="L242" s="31" t="inlineStr">
        <is>
          <t>Not Received</t>
        </is>
      </c>
      <c r="M242" s="31" t="inlineStr">
        <is>
          <t>Not Received</t>
        </is>
      </c>
      <c r="N242" s="31" t="inlineStr">
        <is>
          <t>Not Received</t>
        </is>
      </c>
      <c r="O242" s="32">
        <f>IF($B242="","",COUNTIF(G242:N242,"Accepted")+COUNTIF(G242:N242,"Received")+COUNTIF(G242:N242,"Needs Correction"))</f>
        <v/>
      </c>
      <c r="P242" s="32">
        <f>IF($B242="","",SUMPRODUCT(((G242:N242="Accepted")+(G242:N242="Not Needed"))*(Settings!$C$11:$J$11="Yes")))</f>
        <v/>
      </c>
      <c r="Q242" s="32">
        <f>IF($B242="","",SUMPRODUCT(((G242:N242="Accepted")+(G242:N242="Not Needed"))*(Settings!$C$15:$J$15="Yes")))</f>
        <v/>
      </c>
      <c r="R242" s="33">
        <f>IF($B242="","",IF($D242="No","No PTO/PTA",IF($D242&lt;&gt;"Yes","Not Yet Confirmed",IF($Q242&gt;=Settings!$C$13,"Legalized",IF($P242&gt;=Settings!$C$12,"Registered",IF($O242&gt;0,"In Progress","Not Started"))))))</f>
        <v/>
      </c>
      <c r="S242" s="32">
        <f>IF($B242="","",COUNTIF(G242:N242,"Received"))</f>
        <v/>
      </c>
      <c r="T242" s="32">
        <f>IF($B242="","",COUNTIF(G242:N242,"Needs Correction"))</f>
        <v/>
      </c>
      <c r="U242" s="33">
        <f>IF($B242="","",IF($D242&lt;&gt;"Yes","",IF($Q242&gt;=Settings!$C$13,"None",MID(IF(AND(G242&lt;&gt;"Accepted",G242&lt;&gt;"Not Needed",Settings!$C$15="Yes"),", "&amp;G$1,"")&amp;IF(AND(H242&lt;&gt;"Accepted",H242&lt;&gt;"Not Needed",Settings!$D$15="Yes"),", "&amp;H$1,"")&amp;IF(AND(I242&lt;&gt;"Accepted",I242&lt;&gt;"Not Needed",Settings!$E$15="Yes"),", "&amp;I$1,"")&amp;IF(AND(J242&lt;&gt;"Accepted",J242&lt;&gt;"Not Needed",Settings!$F$15="Yes"),", "&amp;J$1,"")&amp;IF(AND(K242&lt;&gt;"Accepted",K242&lt;&gt;"Not Needed",Settings!$G$15="Yes"),", "&amp;K$1,"")&amp;IF(AND(L242&lt;&gt;"Accepted",L242&lt;&gt;"Not Needed",Settings!$H$15="Yes"),", "&amp;L$1,"")&amp;IF(AND(M242&lt;&gt;"Accepted",M242&lt;&gt;"Not Needed",Settings!$I$15="Yes"),", "&amp;M$1,"")&amp;IF(AND(N242&lt;&gt;"Accepted",N242&lt;&gt;"Not Needed",Settings!$J$15="Yes"),", "&amp;N$1,""),3,400))))</f>
        <v/>
      </c>
    </row>
    <row r="243" ht="15" customHeight="1" s="21">
      <c r="A243" s="31" t="inlineStr">
        <is>
          <t>2026-27</t>
        </is>
      </c>
      <c r="B243" s="31" t="inlineStr">
        <is>
          <t>HCC Lifeskills</t>
        </is>
      </c>
      <c r="C243" s="31" t="inlineStr">
        <is>
          <t>OOA</t>
        </is>
      </c>
      <c r="D243" s="31" t="inlineStr">
        <is>
          <t>No</t>
        </is>
      </c>
      <c r="E243" s="31" t="n"/>
      <c r="F243" s="31" t="n"/>
      <c r="G243" s="31" t="inlineStr">
        <is>
          <t>Not Received</t>
        </is>
      </c>
      <c r="H243" s="31" t="inlineStr">
        <is>
          <t>Not Received</t>
        </is>
      </c>
      <c r="I243" s="31" t="inlineStr">
        <is>
          <t>Not Received</t>
        </is>
      </c>
      <c r="J243" s="31" t="inlineStr">
        <is>
          <t>Not Received</t>
        </is>
      </c>
      <c r="K243" s="31" t="inlineStr">
        <is>
          <t>Not Received</t>
        </is>
      </c>
      <c r="L243" s="31" t="inlineStr">
        <is>
          <t>Not Received</t>
        </is>
      </c>
      <c r="M243" s="31" t="inlineStr">
        <is>
          <t>Not Received</t>
        </is>
      </c>
      <c r="N243" s="31" t="inlineStr">
        <is>
          <t>Not Received</t>
        </is>
      </c>
      <c r="O243" s="32">
        <f>IF($B243="","",COUNTIF(G243:N243,"Accepted")+COUNTIF(G243:N243,"Received")+COUNTIF(G243:N243,"Needs Correction"))</f>
        <v/>
      </c>
      <c r="P243" s="32">
        <f>IF($B243="","",SUMPRODUCT(((G243:N243="Accepted")+(G243:N243="Not Needed"))*(Settings!$C$11:$J$11="Yes")))</f>
        <v/>
      </c>
      <c r="Q243" s="32">
        <f>IF($B243="","",SUMPRODUCT(((G243:N243="Accepted")+(G243:N243="Not Needed"))*(Settings!$C$15:$J$15="Yes")))</f>
        <v/>
      </c>
      <c r="R243" s="33">
        <f>IF($B243="","",IF($D243="No","No PTO/PTA",IF($D243&lt;&gt;"Yes","Not Yet Confirmed",IF($Q243&gt;=Settings!$C$13,"Legalized",IF($P243&gt;=Settings!$C$12,"Registered",IF($O243&gt;0,"In Progress","Not Started"))))))</f>
        <v/>
      </c>
      <c r="S243" s="32">
        <f>IF($B243="","",COUNTIF(G243:N243,"Received"))</f>
        <v/>
      </c>
      <c r="T243" s="32">
        <f>IF($B243="","",COUNTIF(G243:N243,"Needs Correction"))</f>
        <v/>
      </c>
      <c r="U243" s="33">
        <f>IF($B243="","",IF($D243&lt;&gt;"Yes","",IF($Q243&gt;=Settings!$C$13,"None",MID(IF(AND(G243&lt;&gt;"Accepted",G243&lt;&gt;"Not Needed",Settings!$C$15="Yes"),", "&amp;G$1,"")&amp;IF(AND(H243&lt;&gt;"Accepted",H243&lt;&gt;"Not Needed",Settings!$D$15="Yes"),", "&amp;H$1,"")&amp;IF(AND(I243&lt;&gt;"Accepted",I243&lt;&gt;"Not Needed",Settings!$E$15="Yes"),", "&amp;I$1,"")&amp;IF(AND(J243&lt;&gt;"Accepted",J243&lt;&gt;"Not Needed",Settings!$F$15="Yes"),", "&amp;J$1,"")&amp;IF(AND(K243&lt;&gt;"Accepted",K243&lt;&gt;"Not Needed",Settings!$G$15="Yes"),", "&amp;K$1,"")&amp;IF(AND(L243&lt;&gt;"Accepted",L243&lt;&gt;"Not Needed",Settings!$H$15="Yes"),", "&amp;L$1,"")&amp;IF(AND(M243&lt;&gt;"Accepted",M243&lt;&gt;"Not Needed",Settings!$I$15="Yes"),", "&amp;M$1,"")&amp;IF(AND(N243&lt;&gt;"Accepted",N243&lt;&gt;"Not Needed",Settings!$J$15="Yes"),", "&amp;N$1,""),3,400))))</f>
        <v/>
      </c>
    </row>
    <row r="244" ht="15" customHeight="1" s="21">
      <c r="A244" s="31" t="inlineStr">
        <is>
          <t>2026-27</t>
        </is>
      </c>
      <c r="B244" s="31" t="inlineStr">
        <is>
          <t>R D S P D</t>
        </is>
      </c>
      <c r="C244" s="31" t="inlineStr">
        <is>
          <t>OOA</t>
        </is>
      </c>
      <c r="D244" s="31" t="inlineStr">
        <is>
          <t>No</t>
        </is>
      </c>
      <c r="E244" s="31" t="n"/>
      <c r="F244" s="31" t="n"/>
      <c r="G244" s="31" t="inlineStr">
        <is>
          <t>Not Received</t>
        </is>
      </c>
      <c r="H244" s="31" t="inlineStr">
        <is>
          <t>Not Received</t>
        </is>
      </c>
      <c r="I244" s="31" t="inlineStr">
        <is>
          <t>Not Received</t>
        </is>
      </c>
      <c r="J244" s="31" t="inlineStr">
        <is>
          <t>Not Received</t>
        </is>
      </c>
      <c r="K244" s="31" t="inlineStr">
        <is>
          <t>Not Received</t>
        </is>
      </c>
      <c r="L244" s="31" t="inlineStr">
        <is>
          <t>Not Received</t>
        </is>
      </c>
      <c r="M244" s="31" t="inlineStr">
        <is>
          <t>Not Received</t>
        </is>
      </c>
      <c r="N244" s="31" t="inlineStr">
        <is>
          <t>Not Received</t>
        </is>
      </c>
      <c r="O244" s="32">
        <f>IF($B244="","",COUNTIF(G244:N244,"Accepted")+COUNTIF(G244:N244,"Received")+COUNTIF(G244:N244,"Needs Correction"))</f>
        <v/>
      </c>
      <c r="P244" s="32">
        <f>IF($B244="","",SUMPRODUCT(((G244:N244="Accepted")+(G244:N244="Not Needed"))*(Settings!$C$11:$J$11="Yes")))</f>
        <v/>
      </c>
      <c r="Q244" s="32">
        <f>IF($B244="","",SUMPRODUCT(((G244:N244="Accepted")+(G244:N244="Not Needed"))*(Settings!$C$15:$J$15="Yes")))</f>
        <v/>
      </c>
      <c r="R244" s="33">
        <f>IF($B244="","",IF($D244="No","No PTO/PTA",IF($D244&lt;&gt;"Yes","Not Yet Confirmed",IF($Q244&gt;=Settings!$C$13,"Legalized",IF($P244&gt;=Settings!$C$12,"Registered",IF($O244&gt;0,"In Progress","Not Started"))))))</f>
        <v/>
      </c>
      <c r="S244" s="32">
        <f>IF($B244="","",COUNTIF(G244:N244,"Received"))</f>
        <v/>
      </c>
      <c r="T244" s="32">
        <f>IF($B244="","",COUNTIF(G244:N244,"Needs Correction"))</f>
        <v/>
      </c>
      <c r="U244" s="33">
        <f>IF($B244="","",IF($D244&lt;&gt;"Yes","",IF($Q244&gt;=Settings!$C$13,"None",MID(IF(AND(G244&lt;&gt;"Accepted",G244&lt;&gt;"Not Needed",Settings!$C$15="Yes"),", "&amp;G$1,"")&amp;IF(AND(H244&lt;&gt;"Accepted",H244&lt;&gt;"Not Needed",Settings!$D$15="Yes"),", "&amp;H$1,"")&amp;IF(AND(I244&lt;&gt;"Accepted",I244&lt;&gt;"Not Needed",Settings!$E$15="Yes"),", "&amp;I$1,"")&amp;IF(AND(J244&lt;&gt;"Accepted",J244&lt;&gt;"Not Needed",Settings!$F$15="Yes"),", "&amp;J$1,"")&amp;IF(AND(K244&lt;&gt;"Accepted",K244&lt;&gt;"Not Needed",Settings!$G$15="Yes"),", "&amp;K$1,"")&amp;IF(AND(L244&lt;&gt;"Accepted",L244&lt;&gt;"Not Needed",Settings!$H$15="Yes"),", "&amp;L$1,"")&amp;IF(AND(M244&lt;&gt;"Accepted",M244&lt;&gt;"Not Needed",Settings!$I$15="Yes"),", "&amp;M$1,"")&amp;IF(AND(N244&lt;&gt;"Accepted",N244&lt;&gt;"Not Needed",Settings!$J$15="Yes"),", "&amp;N$1,""),3,400))))</f>
        <v/>
      </c>
    </row>
    <row r="245" ht="15" customHeight="1" s="21">
      <c r="A245" s="31" t="inlineStr">
        <is>
          <t>2026-27</t>
        </is>
      </c>
      <c r="B245" s="31" t="inlineStr">
        <is>
          <t>SOAR Center</t>
        </is>
      </c>
      <c r="C245" s="31" t="inlineStr">
        <is>
          <t>OOA</t>
        </is>
      </c>
      <c r="D245" s="31" t="inlineStr">
        <is>
          <t>No</t>
        </is>
      </c>
      <c r="E245" s="31" t="n"/>
      <c r="F245" s="31" t="n"/>
      <c r="G245" s="31" t="inlineStr">
        <is>
          <t>Not Received</t>
        </is>
      </c>
      <c r="H245" s="31" t="inlineStr">
        <is>
          <t>Not Received</t>
        </is>
      </c>
      <c r="I245" s="31" t="inlineStr">
        <is>
          <t>Not Received</t>
        </is>
      </c>
      <c r="J245" s="31" t="inlineStr">
        <is>
          <t>Not Received</t>
        </is>
      </c>
      <c r="K245" s="31" t="inlineStr">
        <is>
          <t>Not Received</t>
        </is>
      </c>
      <c r="L245" s="31" t="inlineStr">
        <is>
          <t>Not Received</t>
        </is>
      </c>
      <c r="M245" s="31" t="inlineStr">
        <is>
          <t>Not Received</t>
        </is>
      </c>
      <c r="N245" s="31" t="inlineStr">
        <is>
          <t>Not Received</t>
        </is>
      </c>
      <c r="O245" s="32">
        <f>IF($B245="","",COUNTIF(G245:N245,"Accepted")+COUNTIF(G245:N245,"Received")+COUNTIF(G245:N245,"Needs Correction"))</f>
        <v/>
      </c>
      <c r="P245" s="32">
        <f>IF($B245="","",SUMPRODUCT(((G245:N245="Accepted")+(G245:N245="Not Needed"))*(Settings!$C$11:$J$11="Yes")))</f>
        <v/>
      </c>
      <c r="Q245" s="32">
        <f>IF($B245="","",SUMPRODUCT(((G245:N245="Accepted")+(G245:N245="Not Needed"))*(Settings!$C$15:$J$15="Yes")))</f>
        <v/>
      </c>
      <c r="R245" s="33">
        <f>IF($B245="","",IF($D245="No","No PTO/PTA",IF($D245&lt;&gt;"Yes","Not Yet Confirmed",IF($Q245&gt;=Settings!$C$13,"Legalized",IF($P245&gt;=Settings!$C$12,"Registered",IF($O245&gt;0,"In Progress","Not Started"))))))</f>
        <v/>
      </c>
      <c r="S245" s="32">
        <f>IF($B245="","",COUNTIF(G245:N245,"Received"))</f>
        <v/>
      </c>
      <c r="T245" s="32">
        <f>IF($B245="","",COUNTIF(G245:N245,"Needs Correction"))</f>
        <v/>
      </c>
      <c r="U245" s="33">
        <f>IF($B245="","",IF($D245&lt;&gt;"Yes","",IF($Q245&gt;=Settings!$C$13,"None",MID(IF(AND(G245&lt;&gt;"Accepted",G245&lt;&gt;"Not Needed",Settings!$C$15="Yes"),", "&amp;G$1,"")&amp;IF(AND(H245&lt;&gt;"Accepted",H245&lt;&gt;"Not Needed",Settings!$D$15="Yes"),", "&amp;H$1,"")&amp;IF(AND(I245&lt;&gt;"Accepted",I245&lt;&gt;"Not Needed",Settings!$E$15="Yes"),", "&amp;I$1,"")&amp;IF(AND(J245&lt;&gt;"Accepted",J245&lt;&gt;"Not Needed",Settings!$F$15="Yes"),", "&amp;J$1,"")&amp;IF(AND(K245&lt;&gt;"Accepted",K245&lt;&gt;"Not Needed",Settings!$G$15="Yes"),", "&amp;K$1,"")&amp;IF(AND(L245&lt;&gt;"Accepted",L245&lt;&gt;"Not Needed",Settings!$H$15="Yes"),", "&amp;L$1,"")&amp;IF(AND(M245&lt;&gt;"Accepted",M245&lt;&gt;"Not Needed",Settings!$I$15="Yes"),", "&amp;M$1,"")&amp;IF(AND(N245&lt;&gt;"Accepted",N245&lt;&gt;"Not Needed",Settings!$J$15="Yes"),", "&amp;N$1,""),3,400))))</f>
        <v/>
      </c>
    </row>
    <row r="246" ht="15" customHeight="1" s="21">
      <c r="A246" s="31" t="inlineStr">
        <is>
          <t>2026-27</t>
        </is>
      </c>
      <c r="B246" s="31" t="inlineStr">
        <is>
          <t>Sterling HS</t>
        </is>
      </c>
      <c r="C246" s="31" t="inlineStr">
        <is>
          <t>NES Secondary</t>
        </is>
      </c>
      <c r="D246" s="31" t="inlineStr">
        <is>
          <t>No</t>
        </is>
      </c>
      <c r="E246" s="31" t="n"/>
      <c r="F246" s="31" t="n"/>
      <c r="G246" s="31" t="inlineStr">
        <is>
          <t>Not Received</t>
        </is>
      </c>
      <c r="H246" s="31" t="inlineStr">
        <is>
          <t>Not Received</t>
        </is>
      </c>
      <c r="I246" s="31" t="inlineStr">
        <is>
          <t>Not Received</t>
        </is>
      </c>
      <c r="J246" s="31" t="inlineStr">
        <is>
          <t>Not Received</t>
        </is>
      </c>
      <c r="K246" s="31" t="inlineStr">
        <is>
          <t>Not Received</t>
        </is>
      </c>
      <c r="L246" s="31" t="inlineStr">
        <is>
          <t>Not Received</t>
        </is>
      </c>
      <c r="M246" s="31" t="inlineStr">
        <is>
          <t>Not Received</t>
        </is>
      </c>
      <c r="N246" s="31" t="inlineStr">
        <is>
          <t>Not Received</t>
        </is>
      </c>
      <c r="O246" s="32">
        <f>IF($B246="","",COUNTIF(G246:N246,"Accepted")+COUNTIF(G246:N246,"Received")+COUNTIF(G246:N246,"Needs Correction"))</f>
        <v/>
      </c>
      <c r="P246" s="32">
        <f>IF($B246="","",SUMPRODUCT(((G246:N246="Accepted")+(G246:N246="Not Needed"))*(Settings!$C$11:$J$11="Yes")))</f>
        <v/>
      </c>
      <c r="Q246" s="32">
        <f>IF($B246="","",SUMPRODUCT(((G246:N246="Accepted")+(G246:N246="Not Needed"))*(Settings!$C$15:$J$15="Yes")))</f>
        <v/>
      </c>
      <c r="R246" s="33">
        <f>IF($B246="","",IF($D246="No","No PTO/PTA",IF($D246&lt;&gt;"Yes","Not Yet Confirmed",IF($Q246&gt;=Settings!$C$13,"Legalized",IF($P246&gt;=Settings!$C$12,"Registered",IF($O246&gt;0,"In Progress","Not Started"))))))</f>
        <v/>
      </c>
      <c r="S246" s="32">
        <f>IF($B246="","",COUNTIF(G246:N246,"Received"))</f>
        <v/>
      </c>
      <c r="T246" s="32">
        <f>IF($B246="","",COUNTIF(G246:N246,"Needs Correction"))</f>
        <v/>
      </c>
      <c r="U246" s="33">
        <f>IF($B246="","",IF($D246&lt;&gt;"Yes","",IF($Q246&gt;=Settings!$C$13,"None",MID(IF(AND(G246&lt;&gt;"Accepted",G246&lt;&gt;"Not Needed",Settings!$C$15="Yes"),", "&amp;G$1,"")&amp;IF(AND(H246&lt;&gt;"Accepted",H246&lt;&gt;"Not Needed",Settings!$D$15="Yes"),", "&amp;H$1,"")&amp;IF(AND(I246&lt;&gt;"Accepted",I246&lt;&gt;"Not Needed",Settings!$E$15="Yes"),", "&amp;I$1,"")&amp;IF(AND(J246&lt;&gt;"Accepted",J246&lt;&gt;"Not Needed",Settings!$F$15="Yes"),", "&amp;J$1,"")&amp;IF(AND(K246&lt;&gt;"Accepted",K246&lt;&gt;"Not Needed",Settings!$G$15="Yes"),", "&amp;K$1,"")&amp;IF(AND(L246&lt;&gt;"Accepted",L246&lt;&gt;"Not Needed",Settings!$H$15="Yes"),", "&amp;L$1,"")&amp;IF(AND(M246&lt;&gt;"Accepted",M246&lt;&gt;"Not Needed",Settings!$I$15="Yes"),", "&amp;M$1,"")&amp;IF(AND(N246&lt;&gt;"Accepted",N246&lt;&gt;"Not Needed",Settings!$J$15="Yes"),", "&amp;N$1,""),3,400))))</f>
        <v/>
      </c>
    </row>
    <row r="247" ht="15" customHeight="1" s="21">
      <c r="A247" s="31" t="inlineStr">
        <is>
          <t>2026-27</t>
        </is>
      </c>
      <c r="B247" s="31" t="inlineStr">
        <is>
          <t>Sugar Grove MS</t>
        </is>
      </c>
      <c r="C247" s="31" t="inlineStr">
        <is>
          <t>NES Secondary</t>
        </is>
      </c>
      <c r="D247" s="31" t="inlineStr">
        <is>
          <t>No</t>
        </is>
      </c>
      <c r="E247" s="31" t="n"/>
      <c r="F247" s="31" t="n"/>
      <c r="G247" s="31" t="inlineStr">
        <is>
          <t>Not Received</t>
        </is>
      </c>
      <c r="H247" s="31" t="inlineStr">
        <is>
          <t>Not Received</t>
        </is>
      </c>
      <c r="I247" s="31" t="inlineStr">
        <is>
          <t>Not Received</t>
        </is>
      </c>
      <c r="J247" s="31" t="inlineStr">
        <is>
          <t>Not Received</t>
        </is>
      </c>
      <c r="K247" s="31" t="inlineStr">
        <is>
          <t>Not Received</t>
        </is>
      </c>
      <c r="L247" s="31" t="inlineStr">
        <is>
          <t>Not Received</t>
        </is>
      </c>
      <c r="M247" s="31" t="inlineStr">
        <is>
          <t>Not Received</t>
        </is>
      </c>
      <c r="N247" s="31" t="inlineStr">
        <is>
          <t>Not Received</t>
        </is>
      </c>
      <c r="O247" s="32">
        <f>IF($B247="","",COUNTIF(G247:N247,"Accepted")+COUNTIF(G247:N247,"Received")+COUNTIF(G247:N247,"Needs Correction"))</f>
        <v/>
      </c>
      <c r="P247" s="32">
        <f>IF($B247="","",SUMPRODUCT(((G247:N247="Accepted")+(G247:N247="Not Needed"))*(Settings!$C$11:$J$11="Yes")))</f>
        <v/>
      </c>
      <c r="Q247" s="32">
        <f>IF($B247="","",SUMPRODUCT(((G247:N247="Accepted")+(G247:N247="Not Needed"))*(Settings!$C$15:$J$15="Yes")))</f>
        <v/>
      </c>
      <c r="R247" s="33">
        <f>IF($B247="","",IF($D247="No","No PTO/PTA",IF($D247&lt;&gt;"Yes","Not Yet Confirmed",IF($Q247&gt;=Settings!$C$13,"Legalized",IF($P247&gt;=Settings!$C$12,"Registered",IF($O247&gt;0,"In Progress","Not Started"))))))</f>
        <v/>
      </c>
      <c r="S247" s="32">
        <f>IF($B247="","",COUNTIF(G247:N247,"Received"))</f>
        <v/>
      </c>
      <c r="T247" s="32">
        <f>IF($B247="","",COUNTIF(G247:N247,"Needs Correction"))</f>
        <v/>
      </c>
      <c r="U247" s="33">
        <f>IF($B247="","",IF($D247&lt;&gt;"Yes","",IF($Q247&gt;=Settings!$C$13,"None",MID(IF(AND(G247&lt;&gt;"Accepted",G247&lt;&gt;"Not Needed",Settings!$C$15="Yes"),", "&amp;G$1,"")&amp;IF(AND(H247&lt;&gt;"Accepted",H247&lt;&gt;"Not Needed",Settings!$D$15="Yes"),", "&amp;H$1,"")&amp;IF(AND(I247&lt;&gt;"Accepted",I247&lt;&gt;"Not Needed",Settings!$E$15="Yes"),", "&amp;I$1,"")&amp;IF(AND(J247&lt;&gt;"Accepted",J247&lt;&gt;"Not Needed",Settings!$F$15="Yes"),", "&amp;J$1,"")&amp;IF(AND(K247&lt;&gt;"Accepted",K247&lt;&gt;"Not Needed",Settings!$G$15="Yes"),", "&amp;K$1,"")&amp;IF(AND(L247&lt;&gt;"Accepted",L247&lt;&gt;"Not Needed",Settings!$H$15="Yes"),", "&amp;L$1,"")&amp;IF(AND(M247&lt;&gt;"Accepted",M247&lt;&gt;"Not Needed",Settings!$I$15="Yes"),", "&amp;M$1,"")&amp;IF(AND(N247&lt;&gt;"Accepted",N247&lt;&gt;"Not Needed",Settings!$J$15="Yes"),", "&amp;N$1,""),3,400))))</f>
        <v/>
      </c>
    </row>
    <row r="248" ht="15" customHeight="1" s="21">
      <c r="A248" s="31" t="inlineStr">
        <is>
          <t>2026-27</t>
        </is>
      </c>
      <c r="B248" s="31" t="inlineStr">
        <is>
          <t>TCAH</t>
        </is>
      </c>
      <c r="C248" s="31" t="inlineStr">
        <is>
          <t>COSO</t>
        </is>
      </c>
      <c r="D248" s="31" t="inlineStr">
        <is>
          <t>No</t>
        </is>
      </c>
      <c r="E248" s="31" t="n"/>
      <c r="F248" s="31" t="n"/>
      <c r="G248" s="31" t="inlineStr">
        <is>
          <t>Not Received</t>
        </is>
      </c>
      <c r="H248" s="31" t="inlineStr">
        <is>
          <t>Not Received</t>
        </is>
      </c>
      <c r="I248" s="31" t="inlineStr">
        <is>
          <t>Not Received</t>
        </is>
      </c>
      <c r="J248" s="31" t="inlineStr">
        <is>
          <t>Not Received</t>
        </is>
      </c>
      <c r="K248" s="31" t="inlineStr">
        <is>
          <t>Not Received</t>
        </is>
      </c>
      <c r="L248" s="31" t="inlineStr">
        <is>
          <t>Not Received</t>
        </is>
      </c>
      <c r="M248" s="31" t="inlineStr">
        <is>
          <t>Not Received</t>
        </is>
      </c>
      <c r="N248" s="31" t="inlineStr">
        <is>
          <t>Not Received</t>
        </is>
      </c>
      <c r="O248" s="32">
        <f>IF($B248="","",COUNTIF(G248:N248,"Accepted")+COUNTIF(G248:N248,"Received")+COUNTIF(G248:N248,"Needs Correction"))</f>
        <v/>
      </c>
      <c r="P248" s="32">
        <f>IF($B248="","",SUMPRODUCT(((G248:N248="Accepted")+(G248:N248="Not Needed"))*(Settings!$C$11:$J$11="Yes")))</f>
        <v/>
      </c>
      <c r="Q248" s="32">
        <f>IF($B248="","",SUMPRODUCT(((G248:N248="Accepted")+(G248:N248="Not Needed"))*(Settings!$C$15:$J$15="Yes")))</f>
        <v/>
      </c>
      <c r="R248" s="33">
        <f>IF($B248="","",IF($D248="No","No PTO/PTA",IF($D248&lt;&gt;"Yes","Not Yet Confirmed",IF($Q248&gt;=Settings!$C$13,"Legalized",IF($P248&gt;=Settings!$C$12,"Registered",IF($O248&gt;0,"In Progress","Not Started"))))))</f>
        <v/>
      </c>
      <c r="S248" s="32">
        <f>IF($B248="","",COUNTIF(G248:N248,"Received"))</f>
        <v/>
      </c>
      <c r="T248" s="32">
        <f>IF($B248="","",COUNTIF(G248:N248,"Needs Correction"))</f>
        <v/>
      </c>
      <c r="U248" s="33">
        <f>IF($B248="","",IF($D248&lt;&gt;"Yes","",IF($Q248&gt;=Settings!$C$13,"None",MID(IF(AND(G248&lt;&gt;"Accepted",G248&lt;&gt;"Not Needed",Settings!$C$15="Yes"),", "&amp;G$1,"")&amp;IF(AND(H248&lt;&gt;"Accepted",H248&lt;&gt;"Not Needed",Settings!$D$15="Yes"),", "&amp;H$1,"")&amp;IF(AND(I248&lt;&gt;"Accepted",I248&lt;&gt;"Not Needed",Settings!$E$15="Yes"),", "&amp;I$1,"")&amp;IF(AND(J248&lt;&gt;"Accepted",J248&lt;&gt;"Not Needed",Settings!$F$15="Yes"),", "&amp;J$1,"")&amp;IF(AND(K248&lt;&gt;"Accepted",K248&lt;&gt;"Not Needed",Settings!$G$15="Yes"),", "&amp;K$1,"")&amp;IF(AND(L248&lt;&gt;"Accepted",L248&lt;&gt;"Not Needed",Settings!$H$15="Yes"),", "&amp;L$1,"")&amp;IF(AND(M248&lt;&gt;"Accepted",M248&lt;&gt;"Not Needed",Settings!$I$15="Yes"),", "&amp;M$1,"")&amp;IF(AND(N248&lt;&gt;"Accepted",N248&lt;&gt;"Not Needed",Settings!$J$15="Yes"),", "&amp;N$1,""),3,400))))</f>
        <v/>
      </c>
    </row>
    <row r="249" ht="15" customHeight="1" s="21">
      <c r="A249" s="31" t="inlineStr">
        <is>
          <t>2026-27</t>
        </is>
      </c>
      <c r="B249" s="31" t="inlineStr">
        <is>
          <t>Thomas MS</t>
        </is>
      </c>
      <c r="C249" s="31" t="inlineStr">
        <is>
          <t>NES Secondary</t>
        </is>
      </c>
      <c r="D249" s="31" t="inlineStr">
        <is>
          <t>No</t>
        </is>
      </c>
      <c r="E249" s="31" t="n"/>
      <c r="F249" s="31" t="n"/>
      <c r="G249" s="31" t="inlineStr">
        <is>
          <t>Not Received</t>
        </is>
      </c>
      <c r="H249" s="31" t="inlineStr">
        <is>
          <t>Not Received</t>
        </is>
      </c>
      <c r="I249" s="31" t="inlineStr">
        <is>
          <t>Not Received</t>
        </is>
      </c>
      <c r="J249" s="31" t="inlineStr">
        <is>
          <t>Not Received</t>
        </is>
      </c>
      <c r="K249" s="31" t="inlineStr">
        <is>
          <t>Not Received</t>
        </is>
      </c>
      <c r="L249" s="31" t="inlineStr">
        <is>
          <t>Not Received</t>
        </is>
      </c>
      <c r="M249" s="31" t="inlineStr">
        <is>
          <t>Not Received</t>
        </is>
      </c>
      <c r="N249" s="31" t="inlineStr">
        <is>
          <t>Not Received</t>
        </is>
      </c>
      <c r="O249" s="32">
        <f>IF($B249="","",COUNTIF(G249:N249,"Accepted")+COUNTIF(G249:N249,"Received")+COUNTIF(G249:N249,"Needs Correction"))</f>
        <v/>
      </c>
      <c r="P249" s="32">
        <f>IF($B249="","",SUMPRODUCT(((G249:N249="Accepted")+(G249:N249="Not Needed"))*(Settings!$C$11:$J$11="Yes")))</f>
        <v/>
      </c>
      <c r="Q249" s="32">
        <f>IF($B249="","",SUMPRODUCT(((G249:N249="Accepted")+(G249:N249="Not Needed"))*(Settings!$C$15:$J$15="Yes")))</f>
        <v/>
      </c>
      <c r="R249" s="33">
        <f>IF($B249="","",IF($D249="No","No PTO/PTA",IF($D249&lt;&gt;"Yes","Not Yet Confirmed",IF($Q249&gt;=Settings!$C$13,"Legalized",IF($P249&gt;=Settings!$C$12,"Registered",IF($O249&gt;0,"In Progress","Not Started"))))))</f>
        <v/>
      </c>
      <c r="S249" s="32">
        <f>IF($B249="","",COUNTIF(G249:N249,"Received"))</f>
        <v/>
      </c>
      <c r="T249" s="32">
        <f>IF($B249="","",COUNTIF(G249:N249,"Needs Correction"))</f>
        <v/>
      </c>
      <c r="U249" s="33">
        <f>IF($B249="","",IF($D249&lt;&gt;"Yes","",IF($Q249&gt;=Settings!$C$13,"None",MID(IF(AND(G249&lt;&gt;"Accepted",G249&lt;&gt;"Not Needed",Settings!$C$15="Yes"),", "&amp;G$1,"")&amp;IF(AND(H249&lt;&gt;"Accepted",H249&lt;&gt;"Not Needed",Settings!$D$15="Yes"),", "&amp;H$1,"")&amp;IF(AND(I249&lt;&gt;"Accepted",I249&lt;&gt;"Not Needed",Settings!$E$15="Yes"),", "&amp;I$1,"")&amp;IF(AND(J249&lt;&gt;"Accepted",J249&lt;&gt;"Not Needed",Settings!$F$15="Yes"),", "&amp;J$1,"")&amp;IF(AND(K249&lt;&gt;"Accepted",K249&lt;&gt;"Not Needed",Settings!$G$15="Yes"),", "&amp;K$1,"")&amp;IF(AND(L249&lt;&gt;"Accepted",L249&lt;&gt;"Not Needed",Settings!$H$15="Yes"),", "&amp;L$1,"")&amp;IF(AND(M249&lt;&gt;"Accepted",M249&lt;&gt;"Not Needed",Settings!$I$15="Yes"),", "&amp;M$1,"")&amp;IF(AND(N249&lt;&gt;"Accepted",N249&lt;&gt;"Not Needed",Settings!$J$15="Yes"),", "&amp;N$1,""),3,400))))</f>
        <v/>
      </c>
    </row>
    <row r="250" ht="15" customHeight="1" s="21">
      <c r="A250" s="31" t="inlineStr">
        <is>
          <t>2026-27</t>
        </is>
      </c>
      <c r="B250" s="31" t="inlineStr">
        <is>
          <t>Thompson ES</t>
        </is>
      </c>
      <c r="C250" s="31" t="inlineStr">
        <is>
          <t>NES Elementary</t>
        </is>
      </c>
      <c r="D250" s="31" t="inlineStr">
        <is>
          <t>No</t>
        </is>
      </c>
      <c r="E250" s="31" t="n"/>
      <c r="F250" s="31" t="n"/>
      <c r="G250" s="31" t="inlineStr">
        <is>
          <t>Not Received</t>
        </is>
      </c>
      <c r="H250" s="31" t="inlineStr">
        <is>
          <t>Not Received</t>
        </is>
      </c>
      <c r="I250" s="31" t="inlineStr">
        <is>
          <t>Not Received</t>
        </is>
      </c>
      <c r="J250" s="31" t="inlineStr">
        <is>
          <t>Not Received</t>
        </is>
      </c>
      <c r="K250" s="31" t="inlineStr">
        <is>
          <t>Not Received</t>
        </is>
      </c>
      <c r="L250" s="31" t="inlineStr">
        <is>
          <t>Not Received</t>
        </is>
      </c>
      <c r="M250" s="31" t="inlineStr">
        <is>
          <t>Not Received</t>
        </is>
      </c>
      <c r="N250" s="31" t="inlineStr">
        <is>
          <t>Not Received</t>
        </is>
      </c>
      <c r="O250" s="32">
        <f>IF($B250="","",COUNTIF(G250:N250,"Accepted")+COUNTIF(G250:N250,"Received")+COUNTIF(G250:N250,"Needs Correction"))</f>
        <v/>
      </c>
      <c r="P250" s="32">
        <f>IF($B250="","",SUMPRODUCT(((G250:N250="Accepted")+(G250:N250="Not Needed"))*(Settings!$C$11:$J$11="Yes")))</f>
        <v/>
      </c>
      <c r="Q250" s="32">
        <f>IF($B250="","",SUMPRODUCT(((G250:N250="Accepted")+(G250:N250="Not Needed"))*(Settings!$C$15:$J$15="Yes")))</f>
        <v/>
      </c>
      <c r="R250" s="33">
        <f>IF($B250="","",IF($D250="No","No PTO/PTA",IF($D250&lt;&gt;"Yes","Not Yet Confirmed",IF($Q250&gt;=Settings!$C$13,"Legalized",IF($P250&gt;=Settings!$C$12,"Registered",IF($O250&gt;0,"In Progress","Not Started"))))))</f>
        <v/>
      </c>
      <c r="S250" s="32">
        <f>IF($B250="","",COUNTIF(G250:N250,"Received"))</f>
        <v/>
      </c>
      <c r="T250" s="32">
        <f>IF($B250="","",COUNTIF(G250:N250,"Needs Correction"))</f>
        <v/>
      </c>
      <c r="U250" s="33">
        <f>IF($B250="","",IF($D250&lt;&gt;"Yes","",IF($Q250&gt;=Settings!$C$13,"None",MID(IF(AND(G250&lt;&gt;"Accepted",G250&lt;&gt;"Not Needed",Settings!$C$15="Yes"),", "&amp;G$1,"")&amp;IF(AND(H250&lt;&gt;"Accepted",H250&lt;&gt;"Not Needed",Settings!$D$15="Yes"),", "&amp;H$1,"")&amp;IF(AND(I250&lt;&gt;"Accepted",I250&lt;&gt;"Not Needed",Settings!$E$15="Yes"),", "&amp;I$1,"")&amp;IF(AND(J250&lt;&gt;"Accepted",J250&lt;&gt;"Not Needed",Settings!$F$15="Yes"),", "&amp;J$1,"")&amp;IF(AND(K250&lt;&gt;"Accepted",K250&lt;&gt;"Not Needed",Settings!$G$15="Yes"),", "&amp;K$1,"")&amp;IF(AND(L250&lt;&gt;"Accepted",L250&lt;&gt;"Not Needed",Settings!$H$15="Yes"),", "&amp;L$1,"")&amp;IF(AND(M250&lt;&gt;"Accepted",M250&lt;&gt;"Not Needed",Settings!$I$15="Yes"),", "&amp;M$1,"")&amp;IF(AND(N250&lt;&gt;"Accepted",N250&lt;&gt;"Not Needed",Settings!$J$15="Yes"),", "&amp;N$1,""),3,400))))</f>
        <v/>
      </c>
    </row>
    <row r="251" ht="15" customHeight="1" s="21">
      <c r="A251" s="31" t="inlineStr">
        <is>
          <t>2026-27</t>
        </is>
      </c>
      <c r="B251" s="31" t="inlineStr">
        <is>
          <t>Tinsley ES</t>
        </is>
      </c>
      <c r="C251" s="31" t="inlineStr">
        <is>
          <t>NES Elementary</t>
        </is>
      </c>
      <c r="D251" s="31" t="inlineStr">
        <is>
          <t>No</t>
        </is>
      </c>
      <c r="E251" s="31" t="n"/>
      <c r="F251" s="31" t="n"/>
      <c r="G251" s="31" t="inlineStr">
        <is>
          <t>Not Received</t>
        </is>
      </c>
      <c r="H251" s="31" t="inlineStr">
        <is>
          <t>Not Received</t>
        </is>
      </c>
      <c r="I251" s="31" t="inlineStr">
        <is>
          <t>Not Received</t>
        </is>
      </c>
      <c r="J251" s="31" t="inlineStr">
        <is>
          <t>Not Received</t>
        </is>
      </c>
      <c r="K251" s="31" t="inlineStr">
        <is>
          <t>Not Received</t>
        </is>
      </c>
      <c r="L251" s="31" t="inlineStr">
        <is>
          <t>Not Received</t>
        </is>
      </c>
      <c r="M251" s="31" t="inlineStr">
        <is>
          <t>Not Received</t>
        </is>
      </c>
      <c r="N251" s="31" t="inlineStr">
        <is>
          <t>Not Received</t>
        </is>
      </c>
      <c r="O251" s="32">
        <f>IF($B251="","",COUNTIF(G251:N251,"Accepted")+COUNTIF(G251:N251,"Received")+COUNTIF(G251:N251,"Needs Correction"))</f>
        <v/>
      </c>
      <c r="P251" s="32">
        <f>IF($B251="","",SUMPRODUCT(((G251:N251="Accepted")+(G251:N251="Not Needed"))*(Settings!$C$11:$J$11="Yes")))</f>
        <v/>
      </c>
      <c r="Q251" s="32">
        <f>IF($B251="","",SUMPRODUCT(((G251:N251="Accepted")+(G251:N251="Not Needed"))*(Settings!$C$15:$J$15="Yes")))</f>
        <v/>
      </c>
      <c r="R251" s="33">
        <f>IF($B251="","",IF($D251="No","No PTO/PTA",IF($D251&lt;&gt;"Yes","Not Yet Confirmed",IF($Q251&gt;=Settings!$C$13,"Legalized",IF($P251&gt;=Settings!$C$12,"Registered",IF($O251&gt;0,"In Progress","Not Started"))))))</f>
        <v/>
      </c>
      <c r="S251" s="32">
        <f>IF($B251="","",COUNTIF(G251:N251,"Received"))</f>
        <v/>
      </c>
      <c r="T251" s="32">
        <f>IF($B251="","",COUNTIF(G251:N251,"Needs Correction"))</f>
        <v/>
      </c>
      <c r="U251" s="33">
        <f>IF($B251="","",IF($D251&lt;&gt;"Yes","",IF($Q251&gt;=Settings!$C$13,"None",MID(IF(AND(G251&lt;&gt;"Accepted",G251&lt;&gt;"Not Needed",Settings!$C$15="Yes"),", "&amp;G$1,"")&amp;IF(AND(H251&lt;&gt;"Accepted",H251&lt;&gt;"Not Needed",Settings!$D$15="Yes"),", "&amp;H$1,"")&amp;IF(AND(I251&lt;&gt;"Accepted",I251&lt;&gt;"Not Needed",Settings!$E$15="Yes"),", "&amp;I$1,"")&amp;IF(AND(J251&lt;&gt;"Accepted",J251&lt;&gt;"Not Needed",Settings!$F$15="Yes"),", "&amp;J$1,"")&amp;IF(AND(K251&lt;&gt;"Accepted",K251&lt;&gt;"Not Needed",Settings!$G$15="Yes"),", "&amp;K$1,"")&amp;IF(AND(L251&lt;&gt;"Accepted",L251&lt;&gt;"Not Needed",Settings!$H$15="Yes"),", "&amp;L$1,"")&amp;IF(AND(M251&lt;&gt;"Accepted",M251&lt;&gt;"Not Needed",Settings!$I$15="Yes"),", "&amp;M$1,"")&amp;IF(AND(N251&lt;&gt;"Accepted",N251&lt;&gt;"Not Needed",Settings!$J$15="Yes"),", "&amp;N$1,""),3,400))))</f>
        <v/>
      </c>
    </row>
    <row r="252" ht="15" customHeight="1" s="21">
      <c r="A252" s="31" t="inlineStr">
        <is>
          <t>2026-27</t>
        </is>
      </c>
      <c r="B252" s="31" t="inlineStr">
        <is>
          <t>Valley West ES</t>
        </is>
      </c>
      <c r="C252" s="31" t="inlineStr">
        <is>
          <t>NES Elementary</t>
        </is>
      </c>
      <c r="D252" s="31" t="inlineStr">
        <is>
          <t>No</t>
        </is>
      </c>
      <c r="E252" s="31" t="n"/>
      <c r="F252" s="31" t="n"/>
      <c r="G252" s="31" t="inlineStr">
        <is>
          <t>Not Received</t>
        </is>
      </c>
      <c r="H252" s="31" t="inlineStr">
        <is>
          <t>Not Received</t>
        </is>
      </c>
      <c r="I252" s="31" t="inlineStr">
        <is>
          <t>Not Received</t>
        </is>
      </c>
      <c r="J252" s="31" t="inlineStr">
        <is>
          <t>Not Received</t>
        </is>
      </c>
      <c r="K252" s="31" t="inlineStr">
        <is>
          <t>Not Received</t>
        </is>
      </c>
      <c r="L252" s="31" t="inlineStr">
        <is>
          <t>Not Received</t>
        </is>
      </c>
      <c r="M252" s="31" t="inlineStr">
        <is>
          <t>Not Received</t>
        </is>
      </c>
      <c r="N252" s="31" t="inlineStr">
        <is>
          <t>Not Received</t>
        </is>
      </c>
      <c r="O252" s="32">
        <f>IF($B252="","",COUNTIF(G252:N252,"Accepted")+COUNTIF(G252:N252,"Received")+COUNTIF(G252:N252,"Needs Correction"))</f>
        <v/>
      </c>
      <c r="P252" s="32">
        <f>IF($B252="","",SUMPRODUCT(((G252:N252="Accepted")+(G252:N252="Not Needed"))*(Settings!$C$11:$J$11="Yes")))</f>
        <v/>
      </c>
      <c r="Q252" s="32">
        <f>IF($B252="","",SUMPRODUCT(((G252:N252="Accepted")+(G252:N252="Not Needed"))*(Settings!$C$15:$J$15="Yes")))</f>
        <v/>
      </c>
      <c r="R252" s="33">
        <f>IF($B252="","",IF($D252="No","No PTO/PTA",IF($D252&lt;&gt;"Yes","Not Yet Confirmed",IF($Q252&gt;=Settings!$C$13,"Legalized",IF($P252&gt;=Settings!$C$12,"Registered",IF($O252&gt;0,"In Progress","Not Started"))))))</f>
        <v/>
      </c>
      <c r="S252" s="32">
        <f>IF($B252="","",COUNTIF(G252:N252,"Received"))</f>
        <v/>
      </c>
      <c r="T252" s="32">
        <f>IF($B252="","",COUNTIF(G252:N252,"Needs Correction"))</f>
        <v/>
      </c>
      <c r="U252" s="33">
        <f>IF($B252="","",IF($D252&lt;&gt;"Yes","",IF($Q252&gt;=Settings!$C$13,"None",MID(IF(AND(G252&lt;&gt;"Accepted",G252&lt;&gt;"Not Needed",Settings!$C$15="Yes"),", "&amp;G$1,"")&amp;IF(AND(H252&lt;&gt;"Accepted",H252&lt;&gt;"Not Needed",Settings!$D$15="Yes"),", "&amp;H$1,"")&amp;IF(AND(I252&lt;&gt;"Accepted",I252&lt;&gt;"Not Needed",Settings!$E$15="Yes"),", "&amp;I$1,"")&amp;IF(AND(J252&lt;&gt;"Accepted",J252&lt;&gt;"Not Needed",Settings!$F$15="Yes"),", "&amp;J$1,"")&amp;IF(AND(K252&lt;&gt;"Accepted",K252&lt;&gt;"Not Needed",Settings!$G$15="Yes"),", "&amp;K$1,"")&amp;IF(AND(L252&lt;&gt;"Accepted",L252&lt;&gt;"Not Needed",Settings!$H$15="Yes"),", "&amp;L$1,"")&amp;IF(AND(M252&lt;&gt;"Accepted",M252&lt;&gt;"Not Needed",Settings!$I$15="Yes"),", "&amp;M$1,"")&amp;IF(AND(N252&lt;&gt;"Accepted",N252&lt;&gt;"Not Needed",Settings!$J$15="Yes"),", "&amp;N$1,""),3,400))))</f>
        <v/>
      </c>
    </row>
    <row r="253" ht="15" customHeight="1" s="21">
      <c r="A253" s="31" t="inlineStr">
        <is>
          <t>2026-27</t>
        </is>
      </c>
      <c r="B253" s="31" t="inlineStr">
        <is>
          <t>Wainwright ES</t>
        </is>
      </c>
      <c r="C253" s="31" t="inlineStr">
        <is>
          <t>NES Elementary</t>
        </is>
      </c>
      <c r="D253" s="31" t="inlineStr">
        <is>
          <t>No</t>
        </is>
      </c>
      <c r="E253" s="31" t="n"/>
      <c r="F253" s="31" t="n"/>
      <c r="G253" s="31" t="inlineStr">
        <is>
          <t>Not Received</t>
        </is>
      </c>
      <c r="H253" s="31" t="inlineStr">
        <is>
          <t>Not Received</t>
        </is>
      </c>
      <c r="I253" s="31" t="inlineStr">
        <is>
          <t>Not Received</t>
        </is>
      </c>
      <c r="J253" s="31" t="inlineStr">
        <is>
          <t>Not Received</t>
        </is>
      </c>
      <c r="K253" s="31" t="inlineStr">
        <is>
          <t>Not Received</t>
        </is>
      </c>
      <c r="L253" s="31" t="inlineStr">
        <is>
          <t>Not Received</t>
        </is>
      </c>
      <c r="M253" s="31" t="inlineStr">
        <is>
          <t>Not Received</t>
        </is>
      </c>
      <c r="N253" s="31" t="inlineStr">
        <is>
          <t>Not Received</t>
        </is>
      </c>
      <c r="O253" s="32">
        <f>IF($B253="","",COUNTIF(G253:N253,"Accepted")+COUNTIF(G253:N253,"Received")+COUNTIF(G253:N253,"Needs Correction"))</f>
        <v/>
      </c>
      <c r="P253" s="32">
        <f>IF($B253="","",SUMPRODUCT(((G253:N253="Accepted")+(G253:N253="Not Needed"))*(Settings!$C$11:$J$11="Yes")))</f>
        <v/>
      </c>
      <c r="Q253" s="32">
        <f>IF($B253="","",SUMPRODUCT(((G253:N253="Accepted")+(G253:N253="Not Needed"))*(Settings!$C$15:$J$15="Yes")))</f>
        <v/>
      </c>
      <c r="R253" s="33">
        <f>IF($B253="","",IF($D253="No","No PTO/PTA",IF($D253&lt;&gt;"Yes","Not Yet Confirmed",IF($Q253&gt;=Settings!$C$13,"Legalized",IF($P253&gt;=Settings!$C$12,"Registered",IF($O253&gt;0,"In Progress","Not Started"))))))</f>
        <v/>
      </c>
      <c r="S253" s="32">
        <f>IF($B253="","",COUNTIF(G253:N253,"Received"))</f>
        <v/>
      </c>
      <c r="T253" s="32">
        <f>IF($B253="","",COUNTIF(G253:N253,"Needs Correction"))</f>
        <v/>
      </c>
      <c r="U253" s="33">
        <f>IF($B253="","",IF($D253&lt;&gt;"Yes","",IF($Q253&gt;=Settings!$C$13,"None",MID(IF(AND(G253&lt;&gt;"Accepted",G253&lt;&gt;"Not Needed",Settings!$C$15="Yes"),", "&amp;G$1,"")&amp;IF(AND(H253&lt;&gt;"Accepted",H253&lt;&gt;"Not Needed",Settings!$D$15="Yes"),", "&amp;H$1,"")&amp;IF(AND(I253&lt;&gt;"Accepted",I253&lt;&gt;"Not Needed",Settings!$E$15="Yes"),", "&amp;I$1,"")&amp;IF(AND(J253&lt;&gt;"Accepted",J253&lt;&gt;"Not Needed",Settings!$F$15="Yes"),", "&amp;J$1,"")&amp;IF(AND(K253&lt;&gt;"Accepted",K253&lt;&gt;"Not Needed",Settings!$G$15="Yes"),", "&amp;K$1,"")&amp;IF(AND(L253&lt;&gt;"Accepted",L253&lt;&gt;"Not Needed",Settings!$H$15="Yes"),", "&amp;L$1,"")&amp;IF(AND(M253&lt;&gt;"Accepted",M253&lt;&gt;"Not Needed",Settings!$I$15="Yes"),", "&amp;M$1,"")&amp;IF(AND(N253&lt;&gt;"Accepted",N253&lt;&gt;"Not Needed",Settings!$J$15="Yes"),", "&amp;N$1,""),3,400))))</f>
        <v/>
      </c>
    </row>
    <row r="254" ht="15" customHeight="1" s="21">
      <c r="A254" s="31" t="inlineStr">
        <is>
          <t>2026-27</t>
        </is>
      </c>
      <c r="B254" s="31" t="inlineStr">
        <is>
          <t>Washington HS</t>
        </is>
      </c>
      <c r="C254" s="31" t="inlineStr">
        <is>
          <t>NES Secondary</t>
        </is>
      </c>
      <c r="D254" s="31" t="inlineStr">
        <is>
          <t>Not Yet Confirmed</t>
        </is>
      </c>
      <c r="E254" s="31" t="n"/>
      <c r="F254" s="31" t="n"/>
      <c r="G254" s="31" t="inlineStr">
        <is>
          <t>Not Received</t>
        </is>
      </c>
      <c r="H254" s="31" t="inlineStr">
        <is>
          <t>Not Received</t>
        </is>
      </c>
      <c r="I254" s="31" t="inlineStr">
        <is>
          <t>Not Received</t>
        </is>
      </c>
      <c r="J254" s="31" t="inlineStr">
        <is>
          <t>Not Received</t>
        </is>
      </c>
      <c r="K254" s="31" t="inlineStr">
        <is>
          <t>Not Received</t>
        </is>
      </c>
      <c r="L254" s="31" t="inlineStr">
        <is>
          <t>Not Received</t>
        </is>
      </c>
      <c r="M254" s="31" t="inlineStr">
        <is>
          <t>Not Received</t>
        </is>
      </c>
      <c r="N254" s="31" t="inlineStr">
        <is>
          <t>Not Received</t>
        </is>
      </c>
      <c r="O254" s="32">
        <f>IF($B254="","",COUNTIF(G254:N254,"Accepted")+COUNTIF(G254:N254,"Received")+COUNTIF(G254:N254,"Needs Correction"))</f>
        <v/>
      </c>
      <c r="P254" s="32">
        <f>IF($B254="","",SUMPRODUCT(((G254:N254="Accepted")+(G254:N254="Not Needed"))*(Settings!$C$11:$J$11="Yes")))</f>
        <v/>
      </c>
      <c r="Q254" s="32">
        <f>IF($B254="","",SUMPRODUCT(((G254:N254="Accepted")+(G254:N254="Not Needed"))*(Settings!$C$15:$J$15="Yes")))</f>
        <v/>
      </c>
      <c r="R254" s="33">
        <f>IF($B254="","",IF($D254="No","No PTO/PTA",IF($D254&lt;&gt;"Yes","Not Yet Confirmed",IF($Q254&gt;=Settings!$C$13,"Legalized",IF($P254&gt;=Settings!$C$12,"Registered",IF($O254&gt;0,"In Progress","Not Started"))))))</f>
        <v/>
      </c>
      <c r="S254" s="32">
        <f>IF($B254="","",COUNTIF(G254:N254,"Received"))</f>
        <v/>
      </c>
      <c r="T254" s="32">
        <f>IF($B254="","",COUNTIF(G254:N254,"Needs Correction"))</f>
        <v/>
      </c>
      <c r="U254" s="33">
        <f>IF($B254="","",IF($D254&lt;&gt;"Yes","",IF($Q254&gt;=Settings!$C$13,"None",MID(IF(AND(G254&lt;&gt;"Accepted",G254&lt;&gt;"Not Needed",Settings!$C$15="Yes"),", "&amp;G$1,"")&amp;IF(AND(H254&lt;&gt;"Accepted",H254&lt;&gt;"Not Needed",Settings!$D$15="Yes"),", "&amp;H$1,"")&amp;IF(AND(I254&lt;&gt;"Accepted",I254&lt;&gt;"Not Needed",Settings!$E$15="Yes"),", "&amp;I$1,"")&amp;IF(AND(J254&lt;&gt;"Accepted",J254&lt;&gt;"Not Needed",Settings!$F$15="Yes"),", "&amp;J$1,"")&amp;IF(AND(K254&lt;&gt;"Accepted",K254&lt;&gt;"Not Needed",Settings!$G$15="Yes"),", "&amp;K$1,"")&amp;IF(AND(L254&lt;&gt;"Accepted",L254&lt;&gt;"Not Needed",Settings!$H$15="Yes"),", "&amp;L$1,"")&amp;IF(AND(M254&lt;&gt;"Accepted",M254&lt;&gt;"Not Needed",Settings!$I$15="Yes"),", "&amp;M$1,"")&amp;IF(AND(N254&lt;&gt;"Accepted",N254&lt;&gt;"Not Needed",Settings!$J$15="Yes"),", "&amp;N$1,""),3,400))))</f>
        <v/>
      </c>
    </row>
    <row r="255" ht="15" customHeight="1" s="21">
      <c r="A255" s="31" t="inlineStr">
        <is>
          <t>2026-27</t>
        </is>
      </c>
      <c r="B255" s="31" t="inlineStr">
        <is>
          <t>Welch MS</t>
        </is>
      </c>
      <c r="C255" s="31" t="inlineStr">
        <is>
          <t>NES Secondary</t>
        </is>
      </c>
      <c r="D255" s="31" t="inlineStr">
        <is>
          <t>No</t>
        </is>
      </c>
      <c r="E255" s="31" t="n"/>
      <c r="F255" s="31" t="n"/>
      <c r="G255" s="31" t="inlineStr">
        <is>
          <t>Not Received</t>
        </is>
      </c>
      <c r="H255" s="31" t="inlineStr">
        <is>
          <t>Not Received</t>
        </is>
      </c>
      <c r="I255" s="31" t="inlineStr">
        <is>
          <t>Not Received</t>
        </is>
      </c>
      <c r="J255" s="31" t="inlineStr">
        <is>
          <t>Not Received</t>
        </is>
      </c>
      <c r="K255" s="31" t="inlineStr">
        <is>
          <t>Not Received</t>
        </is>
      </c>
      <c r="L255" s="31" t="inlineStr">
        <is>
          <t>Not Received</t>
        </is>
      </c>
      <c r="M255" s="31" t="inlineStr">
        <is>
          <t>Not Received</t>
        </is>
      </c>
      <c r="N255" s="31" t="inlineStr">
        <is>
          <t>Not Received</t>
        </is>
      </c>
      <c r="O255" s="32">
        <f>IF($B255="","",COUNTIF(G255:N255,"Accepted")+COUNTIF(G255:N255,"Received")+COUNTIF(G255:N255,"Needs Correction"))</f>
        <v/>
      </c>
      <c r="P255" s="32">
        <f>IF($B255="","",SUMPRODUCT(((G255:N255="Accepted")+(G255:N255="Not Needed"))*(Settings!$C$11:$J$11="Yes")))</f>
        <v/>
      </c>
      <c r="Q255" s="32">
        <f>IF($B255="","",SUMPRODUCT(((G255:N255="Accepted")+(G255:N255="Not Needed"))*(Settings!$C$15:$J$15="Yes")))</f>
        <v/>
      </c>
      <c r="R255" s="33">
        <f>IF($B255="","",IF($D255="No","No PTO/PTA",IF($D255&lt;&gt;"Yes","Not Yet Confirmed",IF($Q255&gt;=Settings!$C$13,"Legalized",IF($P255&gt;=Settings!$C$12,"Registered",IF($O255&gt;0,"In Progress","Not Started"))))))</f>
        <v/>
      </c>
      <c r="S255" s="32">
        <f>IF($B255="","",COUNTIF(G255:N255,"Received"))</f>
        <v/>
      </c>
      <c r="T255" s="32">
        <f>IF($B255="","",COUNTIF(G255:N255,"Needs Correction"))</f>
        <v/>
      </c>
      <c r="U255" s="33">
        <f>IF($B255="","",IF($D255&lt;&gt;"Yes","",IF($Q255&gt;=Settings!$C$13,"None",MID(IF(AND(G255&lt;&gt;"Accepted",G255&lt;&gt;"Not Needed",Settings!$C$15="Yes"),", "&amp;G$1,"")&amp;IF(AND(H255&lt;&gt;"Accepted",H255&lt;&gt;"Not Needed",Settings!$D$15="Yes"),", "&amp;H$1,"")&amp;IF(AND(I255&lt;&gt;"Accepted",I255&lt;&gt;"Not Needed",Settings!$E$15="Yes"),", "&amp;I$1,"")&amp;IF(AND(J255&lt;&gt;"Accepted",J255&lt;&gt;"Not Needed",Settings!$F$15="Yes"),", "&amp;J$1,"")&amp;IF(AND(K255&lt;&gt;"Accepted",K255&lt;&gt;"Not Needed",Settings!$G$15="Yes"),", "&amp;K$1,"")&amp;IF(AND(L255&lt;&gt;"Accepted",L255&lt;&gt;"Not Needed",Settings!$H$15="Yes"),", "&amp;L$1,"")&amp;IF(AND(M255&lt;&gt;"Accepted",M255&lt;&gt;"Not Needed",Settings!$I$15="Yes"),", "&amp;M$1,"")&amp;IF(AND(N255&lt;&gt;"Accepted",N255&lt;&gt;"Not Needed",Settings!$J$15="Yes"),", "&amp;N$1,""),3,400))))</f>
        <v/>
      </c>
    </row>
    <row r="256" ht="15" customHeight="1" s="21">
      <c r="A256" s="31" t="inlineStr">
        <is>
          <t>2026-27</t>
        </is>
      </c>
      <c r="B256" s="31" t="inlineStr">
        <is>
          <t>Wesley ES</t>
        </is>
      </c>
      <c r="C256" s="31" t="inlineStr">
        <is>
          <t>NES Elementary</t>
        </is>
      </c>
      <c r="D256" s="31" t="inlineStr">
        <is>
          <t>No</t>
        </is>
      </c>
      <c r="E256" s="31" t="n"/>
      <c r="F256" s="31" t="n"/>
      <c r="G256" s="31" t="inlineStr">
        <is>
          <t>Not Received</t>
        </is>
      </c>
      <c r="H256" s="31" t="inlineStr">
        <is>
          <t>Not Received</t>
        </is>
      </c>
      <c r="I256" s="31" t="inlineStr">
        <is>
          <t>Not Received</t>
        </is>
      </c>
      <c r="J256" s="31" t="inlineStr">
        <is>
          <t>Not Received</t>
        </is>
      </c>
      <c r="K256" s="31" t="inlineStr">
        <is>
          <t>Not Received</t>
        </is>
      </c>
      <c r="L256" s="31" t="inlineStr">
        <is>
          <t>Not Received</t>
        </is>
      </c>
      <c r="M256" s="31" t="inlineStr">
        <is>
          <t>Not Received</t>
        </is>
      </c>
      <c r="N256" s="31" t="inlineStr">
        <is>
          <t>Not Received</t>
        </is>
      </c>
      <c r="O256" s="32">
        <f>IF($B256="","",COUNTIF(G256:N256,"Accepted")+COUNTIF(G256:N256,"Received")+COUNTIF(G256:N256,"Needs Correction"))</f>
        <v/>
      </c>
      <c r="P256" s="32">
        <f>IF($B256="","",SUMPRODUCT(((G256:N256="Accepted")+(G256:N256="Not Needed"))*(Settings!$C$11:$J$11="Yes")))</f>
        <v/>
      </c>
      <c r="Q256" s="32">
        <f>IF($B256="","",SUMPRODUCT(((G256:N256="Accepted")+(G256:N256="Not Needed"))*(Settings!$C$15:$J$15="Yes")))</f>
        <v/>
      </c>
      <c r="R256" s="33">
        <f>IF($B256="","",IF($D256="No","No PTO/PTA",IF($D256&lt;&gt;"Yes","Not Yet Confirmed",IF($Q256&gt;=Settings!$C$13,"Legalized",IF($P256&gt;=Settings!$C$12,"Registered",IF($O256&gt;0,"In Progress","Not Started"))))))</f>
        <v/>
      </c>
      <c r="S256" s="32">
        <f>IF($B256="","",COUNTIF(G256:N256,"Received"))</f>
        <v/>
      </c>
      <c r="T256" s="32">
        <f>IF($B256="","",COUNTIF(G256:N256,"Needs Correction"))</f>
        <v/>
      </c>
      <c r="U256" s="33">
        <f>IF($B256="","",IF($D256&lt;&gt;"Yes","",IF($Q256&gt;=Settings!$C$13,"None",MID(IF(AND(G256&lt;&gt;"Accepted",G256&lt;&gt;"Not Needed",Settings!$C$15="Yes"),", "&amp;G$1,"")&amp;IF(AND(H256&lt;&gt;"Accepted",H256&lt;&gt;"Not Needed",Settings!$D$15="Yes"),", "&amp;H$1,"")&amp;IF(AND(I256&lt;&gt;"Accepted",I256&lt;&gt;"Not Needed",Settings!$E$15="Yes"),", "&amp;I$1,"")&amp;IF(AND(J256&lt;&gt;"Accepted",J256&lt;&gt;"Not Needed",Settings!$F$15="Yes"),", "&amp;J$1,"")&amp;IF(AND(K256&lt;&gt;"Accepted",K256&lt;&gt;"Not Needed",Settings!$G$15="Yes"),", "&amp;K$1,"")&amp;IF(AND(L256&lt;&gt;"Accepted",L256&lt;&gt;"Not Needed",Settings!$H$15="Yes"),", "&amp;L$1,"")&amp;IF(AND(M256&lt;&gt;"Accepted",M256&lt;&gt;"Not Needed",Settings!$I$15="Yes"),", "&amp;M$1,"")&amp;IF(AND(N256&lt;&gt;"Accepted",N256&lt;&gt;"Not Needed",Settings!$J$15="Yes"),", "&amp;N$1,""),3,400))))</f>
        <v/>
      </c>
    </row>
    <row r="257" ht="15" customHeight="1" s="21">
      <c r="A257" s="31" t="inlineStr">
        <is>
          <t>2026-27</t>
        </is>
      </c>
      <c r="B257" s="31" t="inlineStr">
        <is>
          <t>Wheatley HS</t>
        </is>
      </c>
      <c r="C257" s="31" t="inlineStr">
        <is>
          <t>NES Secondary</t>
        </is>
      </c>
      <c r="D257" s="31" t="inlineStr">
        <is>
          <t>No</t>
        </is>
      </c>
      <c r="E257" s="31" t="n"/>
      <c r="F257" s="31" t="n"/>
      <c r="G257" s="31" t="inlineStr">
        <is>
          <t>Not Received</t>
        </is>
      </c>
      <c r="H257" s="31" t="inlineStr">
        <is>
          <t>Not Received</t>
        </is>
      </c>
      <c r="I257" s="31" t="inlineStr">
        <is>
          <t>Not Received</t>
        </is>
      </c>
      <c r="J257" s="31" t="inlineStr">
        <is>
          <t>Not Received</t>
        </is>
      </c>
      <c r="K257" s="31" t="inlineStr">
        <is>
          <t>Not Received</t>
        </is>
      </c>
      <c r="L257" s="31" t="inlineStr">
        <is>
          <t>Not Received</t>
        </is>
      </c>
      <c r="M257" s="31" t="inlineStr">
        <is>
          <t>Not Received</t>
        </is>
      </c>
      <c r="N257" s="31" t="inlineStr">
        <is>
          <t>Not Received</t>
        </is>
      </c>
      <c r="O257" s="32">
        <f>IF($B257="","",COUNTIF(G257:N257,"Accepted")+COUNTIF(G257:N257,"Received")+COUNTIF(G257:N257,"Needs Correction"))</f>
        <v/>
      </c>
      <c r="P257" s="32">
        <f>IF($B257="","",SUMPRODUCT(((G257:N257="Accepted")+(G257:N257="Not Needed"))*(Settings!$C$11:$J$11="Yes")))</f>
        <v/>
      </c>
      <c r="Q257" s="32">
        <f>IF($B257="","",SUMPRODUCT(((G257:N257="Accepted")+(G257:N257="Not Needed"))*(Settings!$C$15:$J$15="Yes")))</f>
        <v/>
      </c>
      <c r="R257" s="33">
        <f>IF($B257="","",IF($D257="No","No PTO/PTA",IF($D257&lt;&gt;"Yes","Not Yet Confirmed",IF($Q257&gt;=Settings!$C$13,"Legalized",IF($P257&gt;=Settings!$C$12,"Registered",IF($O257&gt;0,"In Progress","Not Started"))))))</f>
        <v/>
      </c>
      <c r="S257" s="32">
        <f>IF($B257="","",COUNTIF(G257:N257,"Received"))</f>
        <v/>
      </c>
      <c r="T257" s="32">
        <f>IF($B257="","",COUNTIF(G257:N257,"Needs Correction"))</f>
        <v/>
      </c>
      <c r="U257" s="33">
        <f>IF($B257="","",IF($D257&lt;&gt;"Yes","",IF($Q257&gt;=Settings!$C$13,"None",MID(IF(AND(G257&lt;&gt;"Accepted",G257&lt;&gt;"Not Needed",Settings!$C$15="Yes"),", "&amp;G$1,"")&amp;IF(AND(H257&lt;&gt;"Accepted",H257&lt;&gt;"Not Needed",Settings!$D$15="Yes"),", "&amp;H$1,"")&amp;IF(AND(I257&lt;&gt;"Accepted",I257&lt;&gt;"Not Needed",Settings!$E$15="Yes"),", "&amp;I$1,"")&amp;IF(AND(J257&lt;&gt;"Accepted",J257&lt;&gt;"Not Needed",Settings!$F$15="Yes"),", "&amp;J$1,"")&amp;IF(AND(K257&lt;&gt;"Accepted",K257&lt;&gt;"Not Needed",Settings!$G$15="Yes"),", "&amp;K$1,"")&amp;IF(AND(L257&lt;&gt;"Accepted",L257&lt;&gt;"Not Needed",Settings!$H$15="Yes"),", "&amp;L$1,"")&amp;IF(AND(M257&lt;&gt;"Accepted",M257&lt;&gt;"Not Needed",Settings!$I$15="Yes"),", "&amp;M$1,"")&amp;IF(AND(N257&lt;&gt;"Accepted",N257&lt;&gt;"Not Needed",Settings!$J$15="Yes"),", "&amp;N$1,""),3,400))))</f>
        <v/>
      </c>
    </row>
    <row r="258" ht="15" customHeight="1" s="21">
      <c r="A258" s="31" t="inlineStr">
        <is>
          <t>2026-27</t>
        </is>
      </c>
      <c r="B258" s="31" t="inlineStr">
        <is>
          <t>Whidby ES</t>
        </is>
      </c>
      <c r="C258" s="31" t="inlineStr">
        <is>
          <t>NES Elementary</t>
        </is>
      </c>
      <c r="D258" s="31" t="inlineStr">
        <is>
          <t>No</t>
        </is>
      </c>
      <c r="E258" s="31" t="n"/>
      <c r="F258" s="31" t="n"/>
      <c r="G258" s="31" t="inlineStr">
        <is>
          <t>Not Received</t>
        </is>
      </c>
      <c r="H258" s="31" t="inlineStr">
        <is>
          <t>Not Received</t>
        </is>
      </c>
      <c r="I258" s="31" t="inlineStr">
        <is>
          <t>Not Received</t>
        </is>
      </c>
      <c r="J258" s="31" t="inlineStr">
        <is>
          <t>Not Received</t>
        </is>
      </c>
      <c r="K258" s="31" t="inlineStr">
        <is>
          <t>Not Received</t>
        </is>
      </c>
      <c r="L258" s="31" t="inlineStr">
        <is>
          <t>Not Received</t>
        </is>
      </c>
      <c r="M258" s="31" t="inlineStr">
        <is>
          <t>Not Received</t>
        </is>
      </c>
      <c r="N258" s="31" t="inlineStr">
        <is>
          <t>Not Received</t>
        </is>
      </c>
      <c r="O258" s="32">
        <f>IF($B258="","",COUNTIF(G258:N258,"Accepted")+COUNTIF(G258:N258,"Received")+COUNTIF(G258:N258,"Needs Correction"))</f>
        <v/>
      </c>
      <c r="P258" s="32">
        <f>IF($B258="","",SUMPRODUCT(((G258:N258="Accepted")+(G258:N258="Not Needed"))*(Settings!$C$11:$J$11="Yes")))</f>
        <v/>
      </c>
      <c r="Q258" s="32">
        <f>IF($B258="","",SUMPRODUCT(((G258:N258="Accepted")+(G258:N258="Not Needed"))*(Settings!$C$15:$J$15="Yes")))</f>
        <v/>
      </c>
      <c r="R258" s="33">
        <f>IF($B258="","",IF($D258="No","No PTO/PTA",IF($D258&lt;&gt;"Yes","Not Yet Confirmed",IF($Q258&gt;=Settings!$C$13,"Legalized",IF($P258&gt;=Settings!$C$12,"Registered",IF($O258&gt;0,"In Progress","Not Started"))))))</f>
        <v/>
      </c>
      <c r="S258" s="32">
        <f>IF($B258="","",COUNTIF(G258:N258,"Received"))</f>
        <v/>
      </c>
      <c r="T258" s="32">
        <f>IF($B258="","",COUNTIF(G258:N258,"Needs Correction"))</f>
        <v/>
      </c>
      <c r="U258" s="33">
        <f>IF($B258="","",IF($D258&lt;&gt;"Yes","",IF($Q258&gt;=Settings!$C$13,"None",MID(IF(AND(G258&lt;&gt;"Accepted",G258&lt;&gt;"Not Needed",Settings!$C$15="Yes"),", "&amp;G$1,"")&amp;IF(AND(H258&lt;&gt;"Accepted",H258&lt;&gt;"Not Needed",Settings!$D$15="Yes"),", "&amp;H$1,"")&amp;IF(AND(I258&lt;&gt;"Accepted",I258&lt;&gt;"Not Needed",Settings!$E$15="Yes"),", "&amp;I$1,"")&amp;IF(AND(J258&lt;&gt;"Accepted",J258&lt;&gt;"Not Needed",Settings!$F$15="Yes"),", "&amp;J$1,"")&amp;IF(AND(K258&lt;&gt;"Accepted",K258&lt;&gt;"Not Needed",Settings!$G$15="Yes"),", "&amp;K$1,"")&amp;IF(AND(L258&lt;&gt;"Accepted",L258&lt;&gt;"Not Needed",Settings!$H$15="Yes"),", "&amp;L$1,"")&amp;IF(AND(M258&lt;&gt;"Accepted",M258&lt;&gt;"Not Needed",Settings!$I$15="Yes"),", "&amp;M$1,"")&amp;IF(AND(N258&lt;&gt;"Accepted",N258&lt;&gt;"Not Needed",Settings!$J$15="Yes"),", "&amp;N$1,""),3,400))))</f>
        <v/>
      </c>
    </row>
    <row r="259" ht="15" customHeight="1" s="21">
      <c r="A259" s="31" t="inlineStr">
        <is>
          <t>2026-27</t>
        </is>
      </c>
      <c r="B259" s="31" t="inlineStr">
        <is>
          <t>White E ES</t>
        </is>
      </c>
      <c r="C259" s="31" t="inlineStr">
        <is>
          <t>NES Elementary</t>
        </is>
      </c>
      <c r="D259" s="31" t="inlineStr">
        <is>
          <t>No</t>
        </is>
      </c>
      <c r="E259" s="31" t="n"/>
      <c r="F259" s="31" t="n"/>
      <c r="G259" s="31" t="inlineStr">
        <is>
          <t>Not Received</t>
        </is>
      </c>
      <c r="H259" s="31" t="inlineStr">
        <is>
          <t>Not Received</t>
        </is>
      </c>
      <c r="I259" s="31" t="inlineStr">
        <is>
          <t>Not Received</t>
        </is>
      </c>
      <c r="J259" s="31" t="inlineStr">
        <is>
          <t>Not Received</t>
        </is>
      </c>
      <c r="K259" s="31" t="inlineStr">
        <is>
          <t>Not Received</t>
        </is>
      </c>
      <c r="L259" s="31" t="inlineStr">
        <is>
          <t>Not Received</t>
        </is>
      </c>
      <c r="M259" s="31" t="inlineStr">
        <is>
          <t>Not Received</t>
        </is>
      </c>
      <c r="N259" s="31" t="inlineStr">
        <is>
          <t>Not Received</t>
        </is>
      </c>
      <c r="O259" s="32">
        <f>IF($B259="","",COUNTIF(G259:N259,"Accepted")+COUNTIF(G259:N259,"Received")+COUNTIF(G259:N259,"Needs Correction"))</f>
        <v/>
      </c>
      <c r="P259" s="32">
        <f>IF($B259="","",SUMPRODUCT(((G259:N259="Accepted")+(G259:N259="Not Needed"))*(Settings!$C$11:$J$11="Yes")))</f>
        <v/>
      </c>
      <c r="Q259" s="32">
        <f>IF($B259="","",SUMPRODUCT(((G259:N259="Accepted")+(G259:N259="Not Needed"))*(Settings!$C$15:$J$15="Yes")))</f>
        <v/>
      </c>
      <c r="R259" s="33">
        <f>IF($B259="","",IF($D259="No","No PTO/PTA",IF($D259&lt;&gt;"Yes","Not Yet Confirmed",IF($Q259&gt;=Settings!$C$13,"Legalized",IF($P259&gt;=Settings!$C$12,"Registered",IF($O259&gt;0,"In Progress","Not Started"))))))</f>
        <v/>
      </c>
      <c r="S259" s="32">
        <f>IF($B259="","",COUNTIF(G259:N259,"Received"))</f>
        <v/>
      </c>
      <c r="T259" s="32">
        <f>IF($B259="","",COUNTIF(G259:N259,"Needs Correction"))</f>
        <v/>
      </c>
      <c r="U259" s="33">
        <f>IF($B259="","",IF($D259&lt;&gt;"Yes","",IF($Q259&gt;=Settings!$C$13,"None",MID(IF(AND(G259&lt;&gt;"Accepted",G259&lt;&gt;"Not Needed",Settings!$C$15="Yes"),", "&amp;G$1,"")&amp;IF(AND(H259&lt;&gt;"Accepted",H259&lt;&gt;"Not Needed",Settings!$D$15="Yes"),", "&amp;H$1,"")&amp;IF(AND(I259&lt;&gt;"Accepted",I259&lt;&gt;"Not Needed",Settings!$E$15="Yes"),", "&amp;I$1,"")&amp;IF(AND(J259&lt;&gt;"Accepted",J259&lt;&gt;"Not Needed",Settings!$F$15="Yes"),", "&amp;J$1,"")&amp;IF(AND(K259&lt;&gt;"Accepted",K259&lt;&gt;"Not Needed",Settings!$G$15="Yes"),", "&amp;K$1,"")&amp;IF(AND(L259&lt;&gt;"Accepted",L259&lt;&gt;"Not Needed",Settings!$H$15="Yes"),", "&amp;L$1,"")&amp;IF(AND(M259&lt;&gt;"Accepted",M259&lt;&gt;"Not Needed",Settings!$I$15="Yes"),", "&amp;M$1,"")&amp;IF(AND(N259&lt;&gt;"Accepted",N259&lt;&gt;"Not Needed",Settings!$J$15="Yes"),", "&amp;N$1,""),3,400))))</f>
        <v/>
      </c>
    </row>
    <row r="260" ht="15" customHeight="1" s="21">
      <c r="A260" s="31" t="inlineStr">
        <is>
          <t>2026-27</t>
        </is>
      </c>
      <c r="B260" s="31" t="inlineStr">
        <is>
          <t>Whittier ES</t>
        </is>
      </c>
      <c r="C260" s="31" t="inlineStr">
        <is>
          <t>NES Elementary</t>
        </is>
      </c>
      <c r="D260" s="31" t="inlineStr">
        <is>
          <t>Not Yet Confirmed</t>
        </is>
      </c>
      <c r="E260" s="31" t="n"/>
      <c r="F260" s="31" t="n"/>
      <c r="G260" s="31" t="inlineStr">
        <is>
          <t>Not Received</t>
        </is>
      </c>
      <c r="H260" s="31" t="inlineStr">
        <is>
          <t>Not Received</t>
        </is>
      </c>
      <c r="I260" s="31" t="inlineStr">
        <is>
          <t>Not Received</t>
        </is>
      </c>
      <c r="J260" s="31" t="inlineStr">
        <is>
          <t>Not Received</t>
        </is>
      </c>
      <c r="K260" s="31" t="inlineStr">
        <is>
          <t>Not Received</t>
        </is>
      </c>
      <c r="L260" s="31" t="inlineStr">
        <is>
          <t>Not Received</t>
        </is>
      </c>
      <c r="M260" s="31" t="inlineStr">
        <is>
          <t>Not Received</t>
        </is>
      </c>
      <c r="N260" s="31" t="inlineStr">
        <is>
          <t>Not Received</t>
        </is>
      </c>
      <c r="O260" s="32">
        <f>IF($B260="","",COUNTIF(G260:N260,"Accepted")+COUNTIF(G260:N260,"Received")+COUNTIF(G260:N260,"Needs Correction"))</f>
        <v/>
      </c>
      <c r="P260" s="32">
        <f>IF($B260="","",SUMPRODUCT(((G260:N260="Accepted")+(G260:N260="Not Needed"))*(Settings!$C$11:$J$11="Yes")))</f>
        <v/>
      </c>
      <c r="Q260" s="32">
        <f>IF($B260="","",SUMPRODUCT(((G260:N260="Accepted")+(G260:N260="Not Needed"))*(Settings!$C$15:$J$15="Yes")))</f>
        <v/>
      </c>
      <c r="R260" s="33">
        <f>IF($B260="","",IF($D260="No","No PTO/PTA",IF($D260&lt;&gt;"Yes","Not Yet Confirmed",IF($Q260&gt;=Settings!$C$13,"Legalized",IF($P260&gt;=Settings!$C$12,"Registered",IF($O260&gt;0,"In Progress","Not Started"))))))</f>
        <v/>
      </c>
      <c r="S260" s="32">
        <f>IF($B260="","",COUNTIF(G260:N260,"Received"))</f>
        <v/>
      </c>
      <c r="T260" s="32">
        <f>IF($B260="","",COUNTIF(G260:N260,"Needs Correction"))</f>
        <v/>
      </c>
      <c r="U260" s="33">
        <f>IF($B260="","",IF($D260&lt;&gt;"Yes","",IF($Q260&gt;=Settings!$C$13,"None",MID(IF(AND(G260&lt;&gt;"Accepted",G260&lt;&gt;"Not Needed",Settings!$C$15="Yes"),", "&amp;G$1,"")&amp;IF(AND(H260&lt;&gt;"Accepted",H260&lt;&gt;"Not Needed",Settings!$D$15="Yes"),", "&amp;H$1,"")&amp;IF(AND(I260&lt;&gt;"Accepted",I260&lt;&gt;"Not Needed",Settings!$E$15="Yes"),", "&amp;I$1,"")&amp;IF(AND(J260&lt;&gt;"Accepted",J260&lt;&gt;"Not Needed",Settings!$F$15="Yes"),", "&amp;J$1,"")&amp;IF(AND(K260&lt;&gt;"Accepted",K260&lt;&gt;"Not Needed",Settings!$G$15="Yes"),", "&amp;K$1,"")&amp;IF(AND(L260&lt;&gt;"Accepted",L260&lt;&gt;"Not Needed",Settings!$H$15="Yes"),", "&amp;L$1,"")&amp;IF(AND(M260&lt;&gt;"Accepted",M260&lt;&gt;"Not Needed",Settings!$I$15="Yes"),", "&amp;M$1,"")&amp;IF(AND(N260&lt;&gt;"Accepted",N260&lt;&gt;"Not Needed",Settings!$J$15="Yes"),", "&amp;N$1,""),3,400))))</f>
        <v/>
      </c>
    </row>
    <row r="261" ht="15" customHeight="1" s="21">
      <c r="A261" s="31" t="inlineStr">
        <is>
          <t>2026-27</t>
        </is>
      </c>
      <c r="B261" s="31" t="inlineStr">
        <is>
          <t>Windsor Village ES</t>
        </is>
      </c>
      <c r="C261" s="31" t="inlineStr">
        <is>
          <t>EAS Elementary</t>
        </is>
      </c>
      <c r="D261" s="31" t="inlineStr">
        <is>
          <t>Not Yet Confirmed</t>
        </is>
      </c>
      <c r="E261" s="31" t="n"/>
      <c r="F261" s="31" t="n"/>
      <c r="G261" s="31" t="inlineStr">
        <is>
          <t>Not Received</t>
        </is>
      </c>
      <c r="H261" s="31" t="inlineStr">
        <is>
          <t>Not Received</t>
        </is>
      </c>
      <c r="I261" s="31" t="inlineStr">
        <is>
          <t>Not Received</t>
        </is>
      </c>
      <c r="J261" s="31" t="inlineStr">
        <is>
          <t>Not Received</t>
        </is>
      </c>
      <c r="K261" s="31" t="inlineStr">
        <is>
          <t>Not Received</t>
        </is>
      </c>
      <c r="L261" s="31" t="inlineStr">
        <is>
          <t>Not Received</t>
        </is>
      </c>
      <c r="M261" s="31" t="inlineStr">
        <is>
          <t>Not Received</t>
        </is>
      </c>
      <c r="N261" s="31" t="inlineStr">
        <is>
          <t>Not Received</t>
        </is>
      </c>
      <c r="O261" s="32">
        <f>IF($B261="","",COUNTIF(G261:N261,"Accepted")+COUNTIF(G261:N261,"Received")+COUNTIF(G261:N261,"Needs Correction"))</f>
        <v/>
      </c>
      <c r="P261" s="32">
        <f>IF($B261="","",SUMPRODUCT(((G261:N261="Accepted")+(G261:N261="Not Needed"))*(Settings!$C$11:$J$11="Yes")))</f>
        <v/>
      </c>
      <c r="Q261" s="32">
        <f>IF($B261="","",SUMPRODUCT(((G261:N261="Accepted")+(G261:N261="Not Needed"))*(Settings!$C$15:$J$15="Yes")))</f>
        <v/>
      </c>
      <c r="R261" s="33">
        <f>IF($B261="","",IF($D261="No","No PTO/PTA",IF($D261&lt;&gt;"Yes","Not Yet Confirmed",IF($Q261&gt;=Settings!$C$13,"Legalized",IF($P261&gt;=Settings!$C$12,"Registered",IF($O261&gt;0,"In Progress","Not Started"))))))</f>
        <v/>
      </c>
      <c r="S261" s="32">
        <f>IF($B261="","",COUNTIF(G261:N261,"Received"))</f>
        <v/>
      </c>
      <c r="T261" s="32">
        <f>IF($B261="","",COUNTIF(G261:N261,"Needs Correction"))</f>
        <v/>
      </c>
      <c r="U261" s="33">
        <f>IF($B261="","",IF($D261&lt;&gt;"Yes","",IF($Q261&gt;=Settings!$C$13,"None",MID(IF(AND(G261&lt;&gt;"Accepted",G261&lt;&gt;"Not Needed",Settings!$C$15="Yes"),", "&amp;G$1,"")&amp;IF(AND(H261&lt;&gt;"Accepted",H261&lt;&gt;"Not Needed",Settings!$D$15="Yes"),", "&amp;H$1,"")&amp;IF(AND(I261&lt;&gt;"Accepted",I261&lt;&gt;"Not Needed",Settings!$E$15="Yes"),", "&amp;I$1,"")&amp;IF(AND(J261&lt;&gt;"Accepted",J261&lt;&gt;"Not Needed",Settings!$F$15="Yes"),", "&amp;J$1,"")&amp;IF(AND(K261&lt;&gt;"Accepted",K261&lt;&gt;"Not Needed",Settings!$G$15="Yes"),", "&amp;K$1,"")&amp;IF(AND(L261&lt;&gt;"Accepted",L261&lt;&gt;"Not Needed",Settings!$H$15="Yes"),", "&amp;L$1,"")&amp;IF(AND(M261&lt;&gt;"Accepted",M261&lt;&gt;"Not Needed",Settings!$I$15="Yes"),", "&amp;M$1,"")&amp;IF(AND(N261&lt;&gt;"Accepted",N261&lt;&gt;"Not Needed",Settings!$J$15="Yes"),", "&amp;N$1,""),3,400))))</f>
        <v/>
      </c>
    </row>
    <row r="262" ht="15" customHeight="1" s="21">
      <c r="A262" s="31" t="inlineStr">
        <is>
          <t>2026-27</t>
        </is>
      </c>
      <c r="B262" s="31" t="inlineStr">
        <is>
          <t>Wisdom HS</t>
        </is>
      </c>
      <c r="C262" s="31" t="inlineStr">
        <is>
          <t>NES Secondary</t>
        </is>
      </c>
      <c r="D262" s="31" t="inlineStr">
        <is>
          <t>No</t>
        </is>
      </c>
      <c r="E262" s="31" t="n"/>
      <c r="F262" s="31" t="n"/>
      <c r="G262" s="31" t="inlineStr">
        <is>
          <t>Not Received</t>
        </is>
      </c>
      <c r="H262" s="31" t="inlineStr">
        <is>
          <t>Not Received</t>
        </is>
      </c>
      <c r="I262" s="31" t="inlineStr">
        <is>
          <t>Not Received</t>
        </is>
      </c>
      <c r="J262" s="31" t="inlineStr">
        <is>
          <t>Not Received</t>
        </is>
      </c>
      <c r="K262" s="31" t="inlineStr">
        <is>
          <t>Not Received</t>
        </is>
      </c>
      <c r="L262" s="31" t="inlineStr">
        <is>
          <t>Not Received</t>
        </is>
      </c>
      <c r="M262" s="31" t="inlineStr">
        <is>
          <t>Not Received</t>
        </is>
      </c>
      <c r="N262" s="31" t="inlineStr">
        <is>
          <t>Not Received</t>
        </is>
      </c>
      <c r="O262" s="32">
        <f>IF($B262="","",COUNTIF(G262:N262,"Accepted")+COUNTIF(G262:N262,"Received")+COUNTIF(G262:N262,"Needs Correction"))</f>
        <v/>
      </c>
      <c r="P262" s="32">
        <f>IF($B262="","",SUMPRODUCT(((G262:N262="Accepted")+(G262:N262="Not Needed"))*(Settings!$C$11:$J$11="Yes")))</f>
        <v/>
      </c>
      <c r="Q262" s="32">
        <f>IF($B262="","",SUMPRODUCT(((G262:N262="Accepted")+(G262:N262="Not Needed"))*(Settings!$C$15:$J$15="Yes")))</f>
        <v/>
      </c>
      <c r="R262" s="33">
        <f>IF($B262="","",IF($D262="No","No PTO/PTA",IF($D262&lt;&gt;"Yes","Not Yet Confirmed",IF($Q262&gt;=Settings!$C$13,"Legalized",IF($P262&gt;=Settings!$C$12,"Registered",IF($O262&gt;0,"In Progress","Not Started"))))))</f>
        <v/>
      </c>
      <c r="S262" s="32">
        <f>IF($B262="","",COUNTIF(G262:N262,"Received"))</f>
        <v/>
      </c>
      <c r="T262" s="32">
        <f>IF($B262="","",COUNTIF(G262:N262,"Needs Correction"))</f>
        <v/>
      </c>
      <c r="U262" s="33">
        <f>IF($B262="","",IF($D262&lt;&gt;"Yes","",IF($Q262&gt;=Settings!$C$13,"None",MID(IF(AND(G262&lt;&gt;"Accepted",G262&lt;&gt;"Not Needed",Settings!$C$15="Yes"),", "&amp;G$1,"")&amp;IF(AND(H262&lt;&gt;"Accepted",H262&lt;&gt;"Not Needed",Settings!$D$15="Yes"),", "&amp;H$1,"")&amp;IF(AND(I262&lt;&gt;"Accepted",I262&lt;&gt;"Not Needed",Settings!$E$15="Yes"),", "&amp;I$1,"")&amp;IF(AND(J262&lt;&gt;"Accepted",J262&lt;&gt;"Not Needed",Settings!$F$15="Yes"),", "&amp;J$1,"")&amp;IF(AND(K262&lt;&gt;"Accepted",K262&lt;&gt;"Not Needed",Settings!$G$15="Yes"),", "&amp;K$1,"")&amp;IF(AND(L262&lt;&gt;"Accepted",L262&lt;&gt;"Not Needed",Settings!$H$15="Yes"),", "&amp;L$1,"")&amp;IF(AND(M262&lt;&gt;"Accepted",M262&lt;&gt;"Not Needed",Settings!$I$15="Yes"),", "&amp;M$1,"")&amp;IF(AND(N262&lt;&gt;"Accepted",N262&lt;&gt;"Not Needed",Settings!$J$15="Yes"),", "&amp;N$1,""),3,400))))</f>
        <v/>
      </c>
    </row>
    <row r="263" ht="15" customHeight="1" s="21">
      <c r="A263" s="31" t="inlineStr">
        <is>
          <t>2026-27</t>
        </is>
      </c>
      <c r="B263" s="31" t="inlineStr">
        <is>
          <t>Young ES</t>
        </is>
      </c>
      <c r="C263" s="31" t="inlineStr">
        <is>
          <t>NES Elementary</t>
        </is>
      </c>
      <c r="D263" s="31" t="inlineStr">
        <is>
          <t>No</t>
        </is>
      </c>
      <c r="E263" s="31" t="n"/>
      <c r="F263" s="31" t="n"/>
      <c r="G263" s="31" t="inlineStr">
        <is>
          <t>Not Received</t>
        </is>
      </c>
      <c r="H263" s="31" t="inlineStr">
        <is>
          <t>Not Received</t>
        </is>
      </c>
      <c r="I263" s="31" t="inlineStr">
        <is>
          <t>Not Received</t>
        </is>
      </c>
      <c r="J263" s="31" t="inlineStr">
        <is>
          <t>Not Received</t>
        </is>
      </c>
      <c r="K263" s="31" t="inlineStr">
        <is>
          <t>Not Received</t>
        </is>
      </c>
      <c r="L263" s="31" t="inlineStr">
        <is>
          <t>Not Received</t>
        </is>
      </c>
      <c r="M263" s="31" t="inlineStr">
        <is>
          <t>Not Received</t>
        </is>
      </c>
      <c r="N263" s="31" t="inlineStr">
        <is>
          <t>Not Received</t>
        </is>
      </c>
      <c r="O263" s="32">
        <f>IF($B263="","",COUNTIF(G263:N263,"Accepted")+COUNTIF(G263:N263,"Received")+COUNTIF(G263:N263,"Needs Correction"))</f>
        <v/>
      </c>
      <c r="P263" s="32">
        <f>IF($B263="","",SUMPRODUCT(((G263:N263="Accepted")+(G263:N263="Not Needed"))*(Settings!$C$11:$J$11="Yes")))</f>
        <v/>
      </c>
      <c r="Q263" s="32">
        <f>IF($B263="","",SUMPRODUCT(((G263:N263="Accepted")+(G263:N263="Not Needed"))*(Settings!$C$15:$J$15="Yes")))</f>
        <v/>
      </c>
      <c r="R263" s="33">
        <f>IF($B263="","",IF($D263="No","No PTO/PTA",IF($D263&lt;&gt;"Yes","Not Yet Confirmed",IF($Q263&gt;=Settings!$C$13,"Legalized",IF($P263&gt;=Settings!$C$12,"Registered",IF($O263&gt;0,"In Progress","Not Started"))))))</f>
        <v/>
      </c>
      <c r="S263" s="32">
        <f>IF($B263="","",COUNTIF(G263:N263,"Received"))</f>
        <v/>
      </c>
      <c r="T263" s="32">
        <f>IF($B263="","",COUNTIF(G263:N263,"Needs Correction"))</f>
        <v/>
      </c>
      <c r="U263" s="33">
        <f>IF($B263="","",IF($D263&lt;&gt;"Yes","",IF($Q263&gt;=Settings!$C$13,"None",MID(IF(AND(G263&lt;&gt;"Accepted",G263&lt;&gt;"Not Needed",Settings!$C$15="Yes"),", "&amp;G$1,"")&amp;IF(AND(H263&lt;&gt;"Accepted",H263&lt;&gt;"Not Needed",Settings!$D$15="Yes"),", "&amp;H$1,"")&amp;IF(AND(I263&lt;&gt;"Accepted",I263&lt;&gt;"Not Needed",Settings!$E$15="Yes"),", "&amp;I$1,"")&amp;IF(AND(J263&lt;&gt;"Accepted",J263&lt;&gt;"Not Needed",Settings!$F$15="Yes"),", "&amp;J$1,"")&amp;IF(AND(K263&lt;&gt;"Accepted",K263&lt;&gt;"Not Needed",Settings!$G$15="Yes"),", "&amp;K$1,"")&amp;IF(AND(L263&lt;&gt;"Accepted",L263&lt;&gt;"Not Needed",Settings!$H$15="Yes"),", "&amp;L$1,"")&amp;IF(AND(M263&lt;&gt;"Accepted",M263&lt;&gt;"Not Needed",Settings!$I$15="Yes"),", "&amp;M$1,"")&amp;IF(AND(N263&lt;&gt;"Accepted",N263&lt;&gt;"Not Needed",Settings!$J$15="Yes"),", "&amp;N$1,""),3,400))))</f>
        <v/>
      </c>
    </row>
    <row r="264" ht="15" customHeight="1" s="21">
      <c r="A264" s="31" t="n"/>
      <c r="B264" s="31" t="n"/>
      <c r="C264" s="31" t="n"/>
      <c r="D264" s="31" t="n"/>
      <c r="E264" s="31" t="n"/>
      <c r="F264" s="31" t="n"/>
      <c r="G264" s="31" t="n"/>
      <c r="H264" s="31" t="n"/>
      <c r="I264" s="31" t="n"/>
      <c r="J264" s="31" t="n"/>
      <c r="K264" s="31" t="n"/>
      <c r="L264" s="31" t="n"/>
      <c r="M264" s="31" t="n"/>
      <c r="N264" s="31" t="n"/>
      <c r="O264" s="32">
        <f>IF($B264="","",COUNTIF(G264:N264,"Accepted")+COUNTIF(G264:N264,"Received")+COUNTIF(G264:N264,"Needs Correction"))</f>
        <v/>
      </c>
      <c r="P264" s="32">
        <f>IF($B264="","",SUMPRODUCT(((G264:N264="Accepted")+(G264:N264="Not Needed"))*(Settings!$C$11:$J$11="Yes")))</f>
        <v/>
      </c>
      <c r="Q264" s="32">
        <f>IF($B264="","",SUMPRODUCT(((G264:N264="Accepted")+(G264:N264="Not Needed"))*(Settings!$C$15:$J$15="Yes")))</f>
        <v/>
      </c>
      <c r="R264" s="33">
        <f>IF($B264="","",IF($D264="No","No PTO/PTA",IF($D264&lt;&gt;"Yes","Not Yet Confirmed",IF($Q264&gt;=Settings!$C$13,"Legalized",IF($P264&gt;=Settings!$C$12,"Registered",IF($O264&gt;0,"In Progress","Not Started"))))))</f>
        <v/>
      </c>
      <c r="S264" s="32">
        <f>IF($B264="","",COUNTIF(G264:N264,"Received"))</f>
        <v/>
      </c>
      <c r="T264" s="32">
        <f>IF($B264="","",COUNTIF(G264:N264,"Needs Correction"))</f>
        <v/>
      </c>
      <c r="U264" s="33">
        <f>IF($B264="","",IF($D264&lt;&gt;"Yes","",IF($Q264&gt;=Settings!$C$13,"None",MID(IF(AND(G264&lt;&gt;"Accepted",G264&lt;&gt;"Not Needed",Settings!$C$15="Yes"),", "&amp;G$1,"")&amp;IF(AND(H264&lt;&gt;"Accepted",H264&lt;&gt;"Not Needed",Settings!$D$15="Yes"),", "&amp;H$1,"")&amp;IF(AND(I264&lt;&gt;"Accepted",I264&lt;&gt;"Not Needed",Settings!$E$15="Yes"),", "&amp;I$1,"")&amp;IF(AND(J264&lt;&gt;"Accepted",J264&lt;&gt;"Not Needed",Settings!$F$15="Yes"),", "&amp;J$1,"")&amp;IF(AND(K264&lt;&gt;"Accepted",K264&lt;&gt;"Not Needed",Settings!$G$15="Yes"),", "&amp;K$1,"")&amp;IF(AND(L264&lt;&gt;"Accepted",L264&lt;&gt;"Not Needed",Settings!$H$15="Yes"),", "&amp;L$1,"")&amp;IF(AND(M264&lt;&gt;"Accepted",M264&lt;&gt;"Not Needed",Settings!$I$15="Yes"),", "&amp;M$1,"")&amp;IF(AND(N264&lt;&gt;"Accepted",N264&lt;&gt;"Not Needed",Settings!$J$15="Yes"),", "&amp;N$1,""),3,400))))</f>
        <v/>
      </c>
    </row>
    <row r="265" ht="15" customHeight="1" s="21">
      <c r="A265" s="31" t="n"/>
      <c r="B265" s="31" t="n"/>
      <c r="C265" s="31" t="n"/>
      <c r="D265" s="31" t="n"/>
      <c r="E265" s="31" t="n"/>
      <c r="F265" s="31" t="n"/>
      <c r="G265" s="31" t="n"/>
      <c r="H265" s="31" t="n"/>
      <c r="I265" s="31" t="n"/>
      <c r="J265" s="31" t="n"/>
      <c r="K265" s="31" t="n"/>
      <c r="L265" s="31" t="n"/>
      <c r="M265" s="31" t="n"/>
      <c r="N265" s="31" t="n"/>
      <c r="O265" s="32">
        <f>IF($B265="","",COUNTIF(G265:N265,"Accepted")+COUNTIF(G265:N265,"Received")+COUNTIF(G265:N265,"Needs Correction"))</f>
        <v/>
      </c>
      <c r="P265" s="32">
        <f>IF($B265="","",SUMPRODUCT(((G265:N265="Accepted")+(G265:N265="Not Needed"))*(Settings!$C$11:$J$11="Yes")))</f>
        <v/>
      </c>
      <c r="Q265" s="32">
        <f>IF($B265="","",SUMPRODUCT(((G265:N265="Accepted")+(G265:N265="Not Needed"))*(Settings!$C$15:$J$15="Yes")))</f>
        <v/>
      </c>
      <c r="R265" s="33">
        <f>IF($B265="","",IF($D265="No","No PTO/PTA",IF($D265&lt;&gt;"Yes","Not Yet Confirmed",IF($Q265&gt;=Settings!$C$13,"Legalized",IF($P265&gt;=Settings!$C$12,"Registered",IF($O265&gt;0,"In Progress","Not Started"))))))</f>
        <v/>
      </c>
      <c r="S265" s="32">
        <f>IF($B265="","",COUNTIF(G265:N265,"Received"))</f>
        <v/>
      </c>
      <c r="T265" s="32">
        <f>IF($B265="","",COUNTIF(G265:N265,"Needs Correction"))</f>
        <v/>
      </c>
      <c r="U265" s="33">
        <f>IF($B265="","",IF($D265&lt;&gt;"Yes","",IF($Q265&gt;=Settings!$C$13,"None",MID(IF(AND(G265&lt;&gt;"Accepted",G265&lt;&gt;"Not Needed",Settings!$C$15="Yes"),", "&amp;G$1,"")&amp;IF(AND(H265&lt;&gt;"Accepted",H265&lt;&gt;"Not Needed",Settings!$D$15="Yes"),", "&amp;H$1,"")&amp;IF(AND(I265&lt;&gt;"Accepted",I265&lt;&gt;"Not Needed",Settings!$E$15="Yes"),", "&amp;I$1,"")&amp;IF(AND(J265&lt;&gt;"Accepted",J265&lt;&gt;"Not Needed",Settings!$F$15="Yes"),", "&amp;J$1,"")&amp;IF(AND(K265&lt;&gt;"Accepted",K265&lt;&gt;"Not Needed",Settings!$G$15="Yes"),", "&amp;K$1,"")&amp;IF(AND(L265&lt;&gt;"Accepted",L265&lt;&gt;"Not Needed",Settings!$H$15="Yes"),", "&amp;L$1,"")&amp;IF(AND(M265&lt;&gt;"Accepted",M265&lt;&gt;"Not Needed",Settings!$I$15="Yes"),", "&amp;M$1,"")&amp;IF(AND(N265&lt;&gt;"Accepted",N265&lt;&gt;"Not Needed",Settings!$J$15="Yes"),", "&amp;N$1,""),3,400))))</f>
        <v/>
      </c>
    </row>
    <row r="266" ht="15" customHeight="1" s="21">
      <c r="A266" s="31" t="n"/>
      <c r="B266" s="31" t="n"/>
      <c r="C266" s="31" t="n"/>
      <c r="D266" s="31" t="n"/>
      <c r="E266" s="31" t="n"/>
      <c r="F266" s="31" t="n"/>
      <c r="G266" s="31" t="n"/>
      <c r="H266" s="31" t="n"/>
      <c r="I266" s="31" t="n"/>
      <c r="J266" s="31" t="n"/>
      <c r="K266" s="31" t="n"/>
      <c r="L266" s="31" t="n"/>
      <c r="M266" s="31" t="n"/>
      <c r="N266" s="31" t="n"/>
      <c r="O266" s="32">
        <f>IF($B266="","",COUNTIF(G266:N266,"Accepted")+COUNTIF(G266:N266,"Received")+COUNTIF(G266:N266,"Needs Correction"))</f>
        <v/>
      </c>
      <c r="P266" s="32">
        <f>IF($B266="","",SUMPRODUCT(((G266:N266="Accepted")+(G266:N266="Not Needed"))*(Settings!$C$11:$J$11="Yes")))</f>
        <v/>
      </c>
      <c r="Q266" s="32">
        <f>IF($B266="","",SUMPRODUCT(((G266:N266="Accepted")+(G266:N266="Not Needed"))*(Settings!$C$15:$J$15="Yes")))</f>
        <v/>
      </c>
      <c r="R266" s="33">
        <f>IF($B266="","",IF($D266="No","No PTO/PTA",IF($D266&lt;&gt;"Yes","Not Yet Confirmed",IF($Q266&gt;=Settings!$C$13,"Legalized",IF($P266&gt;=Settings!$C$12,"Registered",IF($O266&gt;0,"In Progress","Not Started"))))))</f>
        <v/>
      </c>
      <c r="S266" s="32">
        <f>IF($B266="","",COUNTIF(G266:N266,"Received"))</f>
        <v/>
      </c>
      <c r="T266" s="32">
        <f>IF($B266="","",COUNTIF(G266:N266,"Needs Correction"))</f>
        <v/>
      </c>
      <c r="U266" s="33">
        <f>IF($B266="","",IF($D266&lt;&gt;"Yes","",IF($Q266&gt;=Settings!$C$13,"None",MID(IF(AND(G266&lt;&gt;"Accepted",G266&lt;&gt;"Not Needed",Settings!$C$15="Yes"),", "&amp;G$1,"")&amp;IF(AND(H266&lt;&gt;"Accepted",H266&lt;&gt;"Not Needed",Settings!$D$15="Yes"),", "&amp;H$1,"")&amp;IF(AND(I266&lt;&gt;"Accepted",I266&lt;&gt;"Not Needed",Settings!$E$15="Yes"),", "&amp;I$1,"")&amp;IF(AND(J266&lt;&gt;"Accepted",J266&lt;&gt;"Not Needed",Settings!$F$15="Yes"),", "&amp;J$1,"")&amp;IF(AND(K266&lt;&gt;"Accepted",K266&lt;&gt;"Not Needed",Settings!$G$15="Yes"),", "&amp;K$1,"")&amp;IF(AND(L266&lt;&gt;"Accepted",L266&lt;&gt;"Not Needed",Settings!$H$15="Yes"),", "&amp;L$1,"")&amp;IF(AND(M266&lt;&gt;"Accepted",M266&lt;&gt;"Not Needed",Settings!$I$15="Yes"),", "&amp;M$1,"")&amp;IF(AND(N266&lt;&gt;"Accepted",N266&lt;&gt;"Not Needed",Settings!$J$15="Yes"),", "&amp;N$1,""),3,400))))</f>
        <v/>
      </c>
    </row>
    <row r="267" ht="15" customHeight="1" s="21">
      <c r="A267" s="31" t="n"/>
      <c r="B267" s="31" t="n"/>
      <c r="C267" s="31" t="n"/>
      <c r="D267" s="31" t="n"/>
      <c r="E267" s="31" t="n"/>
      <c r="F267" s="31" t="n"/>
      <c r="G267" s="31" t="n"/>
      <c r="H267" s="31" t="n"/>
      <c r="I267" s="31" t="n"/>
      <c r="J267" s="31" t="n"/>
      <c r="K267" s="31" t="n"/>
      <c r="L267" s="31" t="n"/>
      <c r="M267" s="31" t="n"/>
      <c r="N267" s="31" t="n"/>
      <c r="O267" s="32">
        <f>IF($B267="","",COUNTIF(G267:N267,"Accepted")+COUNTIF(G267:N267,"Received")+COUNTIF(G267:N267,"Needs Correction"))</f>
        <v/>
      </c>
      <c r="P267" s="32">
        <f>IF($B267="","",SUMPRODUCT(((G267:N267="Accepted")+(G267:N267="Not Needed"))*(Settings!$C$11:$J$11="Yes")))</f>
        <v/>
      </c>
      <c r="Q267" s="32">
        <f>IF($B267="","",SUMPRODUCT(((G267:N267="Accepted")+(G267:N267="Not Needed"))*(Settings!$C$15:$J$15="Yes")))</f>
        <v/>
      </c>
      <c r="R267" s="33">
        <f>IF($B267="","",IF($D267="No","No PTO/PTA",IF($D267&lt;&gt;"Yes","Not Yet Confirmed",IF($Q267&gt;=Settings!$C$13,"Legalized",IF($P267&gt;=Settings!$C$12,"Registered",IF($O267&gt;0,"In Progress","Not Started"))))))</f>
        <v/>
      </c>
      <c r="S267" s="32">
        <f>IF($B267="","",COUNTIF(G267:N267,"Received"))</f>
        <v/>
      </c>
      <c r="T267" s="32">
        <f>IF($B267="","",COUNTIF(G267:N267,"Needs Correction"))</f>
        <v/>
      </c>
      <c r="U267" s="33">
        <f>IF($B267="","",IF($D267&lt;&gt;"Yes","",IF($Q267&gt;=Settings!$C$13,"None",MID(IF(AND(G267&lt;&gt;"Accepted",G267&lt;&gt;"Not Needed",Settings!$C$15="Yes"),", "&amp;G$1,"")&amp;IF(AND(H267&lt;&gt;"Accepted",H267&lt;&gt;"Not Needed",Settings!$D$15="Yes"),", "&amp;H$1,"")&amp;IF(AND(I267&lt;&gt;"Accepted",I267&lt;&gt;"Not Needed",Settings!$E$15="Yes"),", "&amp;I$1,"")&amp;IF(AND(J267&lt;&gt;"Accepted",J267&lt;&gt;"Not Needed",Settings!$F$15="Yes"),", "&amp;J$1,"")&amp;IF(AND(K267&lt;&gt;"Accepted",K267&lt;&gt;"Not Needed",Settings!$G$15="Yes"),", "&amp;K$1,"")&amp;IF(AND(L267&lt;&gt;"Accepted",L267&lt;&gt;"Not Needed",Settings!$H$15="Yes"),", "&amp;L$1,"")&amp;IF(AND(M267&lt;&gt;"Accepted",M267&lt;&gt;"Not Needed",Settings!$I$15="Yes"),", "&amp;M$1,"")&amp;IF(AND(N267&lt;&gt;"Accepted",N267&lt;&gt;"Not Needed",Settings!$J$15="Yes"),", "&amp;N$1,""),3,400))))</f>
        <v/>
      </c>
    </row>
    <row r="268" ht="15" customHeight="1" s="21">
      <c r="A268" s="31" t="n"/>
      <c r="B268" s="31" t="n"/>
      <c r="C268" s="31" t="n"/>
      <c r="D268" s="31" t="n"/>
      <c r="E268" s="31" t="n"/>
      <c r="F268" s="31" t="n"/>
      <c r="G268" s="31" t="n"/>
      <c r="H268" s="31" t="n"/>
      <c r="I268" s="31" t="n"/>
      <c r="J268" s="31" t="n"/>
      <c r="K268" s="31" t="n"/>
      <c r="L268" s="31" t="n"/>
      <c r="M268" s="31" t="n"/>
      <c r="N268" s="31" t="n"/>
      <c r="O268" s="32">
        <f>IF($B268="","",COUNTIF(G268:N268,"Accepted")+COUNTIF(G268:N268,"Received")+COUNTIF(G268:N268,"Needs Correction"))</f>
        <v/>
      </c>
      <c r="P268" s="32">
        <f>IF($B268="","",SUMPRODUCT(((G268:N268="Accepted")+(G268:N268="Not Needed"))*(Settings!$C$11:$J$11="Yes")))</f>
        <v/>
      </c>
      <c r="Q268" s="32">
        <f>IF($B268="","",SUMPRODUCT(((G268:N268="Accepted")+(G268:N268="Not Needed"))*(Settings!$C$15:$J$15="Yes")))</f>
        <v/>
      </c>
      <c r="R268" s="33">
        <f>IF($B268="","",IF($D268="No","No PTO/PTA",IF($D268&lt;&gt;"Yes","Not Yet Confirmed",IF($Q268&gt;=Settings!$C$13,"Legalized",IF($P268&gt;=Settings!$C$12,"Registered",IF($O268&gt;0,"In Progress","Not Started"))))))</f>
        <v/>
      </c>
      <c r="S268" s="32">
        <f>IF($B268="","",COUNTIF(G268:N268,"Received"))</f>
        <v/>
      </c>
      <c r="T268" s="32">
        <f>IF($B268="","",COUNTIF(G268:N268,"Needs Correction"))</f>
        <v/>
      </c>
      <c r="U268" s="33">
        <f>IF($B268="","",IF($D268&lt;&gt;"Yes","",IF($Q268&gt;=Settings!$C$13,"None",MID(IF(AND(G268&lt;&gt;"Accepted",G268&lt;&gt;"Not Needed",Settings!$C$15="Yes"),", "&amp;G$1,"")&amp;IF(AND(H268&lt;&gt;"Accepted",H268&lt;&gt;"Not Needed",Settings!$D$15="Yes"),", "&amp;H$1,"")&amp;IF(AND(I268&lt;&gt;"Accepted",I268&lt;&gt;"Not Needed",Settings!$E$15="Yes"),", "&amp;I$1,"")&amp;IF(AND(J268&lt;&gt;"Accepted",J268&lt;&gt;"Not Needed",Settings!$F$15="Yes"),", "&amp;J$1,"")&amp;IF(AND(K268&lt;&gt;"Accepted",K268&lt;&gt;"Not Needed",Settings!$G$15="Yes"),", "&amp;K$1,"")&amp;IF(AND(L268&lt;&gt;"Accepted",L268&lt;&gt;"Not Needed",Settings!$H$15="Yes"),", "&amp;L$1,"")&amp;IF(AND(M268&lt;&gt;"Accepted",M268&lt;&gt;"Not Needed",Settings!$I$15="Yes"),", "&amp;M$1,"")&amp;IF(AND(N268&lt;&gt;"Accepted",N268&lt;&gt;"Not Needed",Settings!$J$15="Yes"),", "&amp;N$1,""),3,400))))</f>
        <v/>
      </c>
    </row>
    <row r="269" ht="15" customHeight="1" s="21">
      <c r="A269" s="31" t="n"/>
      <c r="B269" s="31" t="n"/>
      <c r="C269" s="31" t="n"/>
      <c r="D269" s="31" t="n"/>
      <c r="E269" s="31" t="n"/>
      <c r="F269" s="31" t="n"/>
      <c r="G269" s="31" t="n"/>
      <c r="H269" s="31" t="n"/>
      <c r="I269" s="31" t="n"/>
      <c r="J269" s="31" t="n"/>
      <c r="K269" s="31" t="n"/>
      <c r="L269" s="31" t="n"/>
      <c r="M269" s="31" t="n"/>
      <c r="N269" s="31" t="n"/>
      <c r="O269" s="32">
        <f>IF($B269="","",COUNTIF(G269:N269,"Accepted")+COUNTIF(G269:N269,"Received")+COUNTIF(G269:N269,"Needs Correction"))</f>
        <v/>
      </c>
      <c r="P269" s="32">
        <f>IF($B269="","",SUMPRODUCT(((G269:N269="Accepted")+(G269:N269="Not Needed"))*(Settings!$C$11:$J$11="Yes")))</f>
        <v/>
      </c>
      <c r="Q269" s="32">
        <f>IF($B269="","",SUMPRODUCT(((G269:N269="Accepted")+(G269:N269="Not Needed"))*(Settings!$C$15:$J$15="Yes")))</f>
        <v/>
      </c>
      <c r="R269" s="33">
        <f>IF($B269="","",IF($D269="No","No PTO/PTA",IF($D269&lt;&gt;"Yes","Not Yet Confirmed",IF($Q269&gt;=Settings!$C$13,"Legalized",IF($P269&gt;=Settings!$C$12,"Registered",IF($O269&gt;0,"In Progress","Not Started"))))))</f>
        <v/>
      </c>
      <c r="S269" s="32">
        <f>IF($B269="","",COUNTIF(G269:N269,"Received"))</f>
        <v/>
      </c>
      <c r="T269" s="32">
        <f>IF($B269="","",COUNTIF(G269:N269,"Needs Correction"))</f>
        <v/>
      </c>
      <c r="U269" s="33">
        <f>IF($B269="","",IF($D269&lt;&gt;"Yes","",IF($Q269&gt;=Settings!$C$13,"None",MID(IF(AND(G269&lt;&gt;"Accepted",G269&lt;&gt;"Not Needed",Settings!$C$15="Yes"),", "&amp;G$1,"")&amp;IF(AND(H269&lt;&gt;"Accepted",H269&lt;&gt;"Not Needed",Settings!$D$15="Yes"),", "&amp;H$1,"")&amp;IF(AND(I269&lt;&gt;"Accepted",I269&lt;&gt;"Not Needed",Settings!$E$15="Yes"),", "&amp;I$1,"")&amp;IF(AND(J269&lt;&gt;"Accepted",J269&lt;&gt;"Not Needed",Settings!$F$15="Yes"),", "&amp;J$1,"")&amp;IF(AND(K269&lt;&gt;"Accepted",K269&lt;&gt;"Not Needed",Settings!$G$15="Yes"),", "&amp;K$1,"")&amp;IF(AND(L269&lt;&gt;"Accepted",L269&lt;&gt;"Not Needed",Settings!$H$15="Yes"),", "&amp;L$1,"")&amp;IF(AND(M269&lt;&gt;"Accepted",M269&lt;&gt;"Not Needed",Settings!$I$15="Yes"),", "&amp;M$1,"")&amp;IF(AND(N269&lt;&gt;"Accepted",N269&lt;&gt;"Not Needed",Settings!$J$15="Yes"),", "&amp;N$1,""),3,400))))</f>
        <v/>
      </c>
    </row>
    <row r="270" ht="15" customHeight="1" s="21">
      <c r="A270" s="31" t="n"/>
      <c r="B270" s="31" t="n"/>
      <c r="C270" s="31" t="n"/>
      <c r="D270" s="31" t="n"/>
      <c r="E270" s="31" t="n"/>
      <c r="F270" s="31" t="n"/>
      <c r="G270" s="31" t="n"/>
      <c r="H270" s="31" t="n"/>
      <c r="I270" s="31" t="n"/>
      <c r="J270" s="31" t="n"/>
      <c r="K270" s="31" t="n"/>
      <c r="L270" s="31" t="n"/>
      <c r="M270" s="31" t="n"/>
      <c r="N270" s="31" t="n"/>
      <c r="O270" s="32">
        <f>IF($B270="","",COUNTIF(G270:N270,"Accepted")+COUNTIF(G270:N270,"Received")+COUNTIF(G270:N270,"Needs Correction"))</f>
        <v/>
      </c>
      <c r="P270" s="32">
        <f>IF($B270="","",SUMPRODUCT(((G270:N270="Accepted")+(G270:N270="Not Needed"))*(Settings!$C$11:$J$11="Yes")))</f>
        <v/>
      </c>
      <c r="Q270" s="32">
        <f>IF($B270="","",SUMPRODUCT(((G270:N270="Accepted")+(G270:N270="Not Needed"))*(Settings!$C$15:$J$15="Yes")))</f>
        <v/>
      </c>
      <c r="R270" s="33">
        <f>IF($B270="","",IF($D270="No","No PTO/PTA",IF($D270&lt;&gt;"Yes","Not Yet Confirmed",IF($Q270&gt;=Settings!$C$13,"Legalized",IF($P270&gt;=Settings!$C$12,"Registered",IF($O270&gt;0,"In Progress","Not Started"))))))</f>
        <v/>
      </c>
      <c r="S270" s="32">
        <f>IF($B270="","",COUNTIF(G270:N270,"Received"))</f>
        <v/>
      </c>
      <c r="T270" s="32">
        <f>IF($B270="","",COUNTIF(G270:N270,"Needs Correction"))</f>
        <v/>
      </c>
      <c r="U270" s="33">
        <f>IF($B270="","",IF($D270&lt;&gt;"Yes","",IF($Q270&gt;=Settings!$C$13,"None",MID(IF(AND(G270&lt;&gt;"Accepted",G270&lt;&gt;"Not Needed",Settings!$C$15="Yes"),", "&amp;G$1,"")&amp;IF(AND(H270&lt;&gt;"Accepted",H270&lt;&gt;"Not Needed",Settings!$D$15="Yes"),", "&amp;H$1,"")&amp;IF(AND(I270&lt;&gt;"Accepted",I270&lt;&gt;"Not Needed",Settings!$E$15="Yes"),", "&amp;I$1,"")&amp;IF(AND(J270&lt;&gt;"Accepted",J270&lt;&gt;"Not Needed",Settings!$F$15="Yes"),", "&amp;J$1,"")&amp;IF(AND(K270&lt;&gt;"Accepted",K270&lt;&gt;"Not Needed",Settings!$G$15="Yes"),", "&amp;K$1,"")&amp;IF(AND(L270&lt;&gt;"Accepted",L270&lt;&gt;"Not Needed",Settings!$H$15="Yes"),", "&amp;L$1,"")&amp;IF(AND(M270&lt;&gt;"Accepted",M270&lt;&gt;"Not Needed",Settings!$I$15="Yes"),", "&amp;M$1,"")&amp;IF(AND(N270&lt;&gt;"Accepted",N270&lt;&gt;"Not Needed",Settings!$J$15="Yes"),", "&amp;N$1,""),3,400))))</f>
        <v/>
      </c>
    </row>
    <row r="271" ht="15" customHeight="1" s="21">
      <c r="A271" s="31" t="n"/>
      <c r="B271" s="31" t="n"/>
      <c r="C271" s="31" t="n"/>
      <c r="D271" s="31" t="n"/>
      <c r="E271" s="31" t="n"/>
      <c r="F271" s="31" t="n"/>
      <c r="G271" s="31" t="n"/>
      <c r="H271" s="31" t="n"/>
      <c r="I271" s="31" t="n"/>
      <c r="J271" s="31" t="n"/>
      <c r="K271" s="31" t="n"/>
      <c r="L271" s="31" t="n"/>
      <c r="M271" s="31" t="n"/>
      <c r="N271" s="31" t="n"/>
      <c r="O271" s="32">
        <f>IF($B271="","",COUNTIF(G271:N271,"Accepted")+COUNTIF(G271:N271,"Received")+COUNTIF(G271:N271,"Needs Correction"))</f>
        <v/>
      </c>
      <c r="P271" s="32">
        <f>IF($B271="","",SUMPRODUCT(((G271:N271="Accepted")+(G271:N271="Not Needed"))*(Settings!$C$11:$J$11="Yes")))</f>
        <v/>
      </c>
      <c r="Q271" s="32">
        <f>IF($B271="","",SUMPRODUCT(((G271:N271="Accepted")+(G271:N271="Not Needed"))*(Settings!$C$15:$J$15="Yes")))</f>
        <v/>
      </c>
      <c r="R271" s="33">
        <f>IF($B271="","",IF($D271="No","No PTO/PTA",IF($D271&lt;&gt;"Yes","Not Yet Confirmed",IF($Q271&gt;=Settings!$C$13,"Legalized",IF($P271&gt;=Settings!$C$12,"Registered",IF($O271&gt;0,"In Progress","Not Started"))))))</f>
        <v/>
      </c>
      <c r="S271" s="32">
        <f>IF($B271="","",COUNTIF(G271:N271,"Received"))</f>
        <v/>
      </c>
      <c r="T271" s="32">
        <f>IF($B271="","",COUNTIF(G271:N271,"Needs Correction"))</f>
        <v/>
      </c>
      <c r="U271" s="33">
        <f>IF($B271="","",IF($D271&lt;&gt;"Yes","",IF($Q271&gt;=Settings!$C$13,"None",MID(IF(AND(G271&lt;&gt;"Accepted",G271&lt;&gt;"Not Needed",Settings!$C$15="Yes"),", "&amp;G$1,"")&amp;IF(AND(H271&lt;&gt;"Accepted",H271&lt;&gt;"Not Needed",Settings!$D$15="Yes"),", "&amp;H$1,"")&amp;IF(AND(I271&lt;&gt;"Accepted",I271&lt;&gt;"Not Needed",Settings!$E$15="Yes"),", "&amp;I$1,"")&amp;IF(AND(J271&lt;&gt;"Accepted",J271&lt;&gt;"Not Needed",Settings!$F$15="Yes"),", "&amp;J$1,"")&amp;IF(AND(K271&lt;&gt;"Accepted",K271&lt;&gt;"Not Needed",Settings!$G$15="Yes"),", "&amp;K$1,"")&amp;IF(AND(L271&lt;&gt;"Accepted",L271&lt;&gt;"Not Needed",Settings!$H$15="Yes"),", "&amp;L$1,"")&amp;IF(AND(M271&lt;&gt;"Accepted",M271&lt;&gt;"Not Needed",Settings!$I$15="Yes"),", "&amp;M$1,"")&amp;IF(AND(N271&lt;&gt;"Accepted",N271&lt;&gt;"Not Needed",Settings!$J$15="Yes"),", "&amp;N$1,""),3,400))))</f>
        <v/>
      </c>
    </row>
    <row r="272" ht="15" customHeight="1" s="21">
      <c r="A272" s="31" t="n"/>
      <c r="B272" s="31" t="n"/>
      <c r="C272" s="31" t="n"/>
      <c r="D272" s="31" t="n"/>
      <c r="E272" s="31" t="n"/>
      <c r="F272" s="31" t="n"/>
      <c r="G272" s="31" t="n"/>
      <c r="H272" s="31" t="n"/>
      <c r="I272" s="31" t="n"/>
      <c r="J272" s="31" t="n"/>
      <c r="K272" s="31" t="n"/>
      <c r="L272" s="31" t="n"/>
      <c r="M272" s="31" t="n"/>
      <c r="N272" s="31" t="n"/>
      <c r="O272" s="32">
        <f>IF($B272="","",COUNTIF(G272:N272,"Accepted")+COUNTIF(G272:N272,"Received")+COUNTIF(G272:N272,"Needs Correction"))</f>
        <v/>
      </c>
      <c r="P272" s="32">
        <f>IF($B272="","",SUMPRODUCT(((G272:N272="Accepted")+(G272:N272="Not Needed"))*(Settings!$C$11:$J$11="Yes")))</f>
        <v/>
      </c>
      <c r="Q272" s="32">
        <f>IF($B272="","",SUMPRODUCT(((G272:N272="Accepted")+(G272:N272="Not Needed"))*(Settings!$C$15:$J$15="Yes")))</f>
        <v/>
      </c>
      <c r="R272" s="33">
        <f>IF($B272="","",IF($D272="No","No PTO/PTA",IF($D272&lt;&gt;"Yes","Not Yet Confirmed",IF($Q272&gt;=Settings!$C$13,"Legalized",IF($P272&gt;=Settings!$C$12,"Registered",IF($O272&gt;0,"In Progress","Not Started"))))))</f>
        <v/>
      </c>
      <c r="S272" s="32">
        <f>IF($B272="","",COUNTIF(G272:N272,"Received"))</f>
        <v/>
      </c>
      <c r="T272" s="32">
        <f>IF($B272="","",COUNTIF(G272:N272,"Needs Correction"))</f>
        <v/>
      </c>
      <c r="U272" s="33">
        <f>IF($B272="","",IF($D272&lt;&gt;"Yes","",IF($Q272&gt;=Settings!$C$13,"None",MID(IF(AND(G272&lt;&gt;"Accepted",G272&lt;&gt;"Not Needed",Settings!$C$15="Yes"),", "&amp;G$1,"")&amp;IF(AND(H272&lt;&gt;"Accepted",H272&lt;&gt;"Not Needed",Settings!$D$15="Yes"),", "&amp;H$1,"")&amp;IF(AND(I272&lt;&gt;"Accepted",I272&lt;&gt;"Not Needed",Settings!$E$15="Yes"),", "&amp;I$1,"")&amp;IF(AND(J272&lt;&gt;"Accepted",J272&lt;&gt;"Not Needed",Settings!$F$15="Yes"),", "&amp;J$1,"")&amp;IF(AND(K272&lt;&gt;"Accepted",K272&lt;&gt;"Not Needed",Settings!$G$15="Yes"),", "&amp;K$1,"")&amp;IF(AND(L272&lt;&gt;"Accepted",L272&lt;&gt;"Not Needed",Settings!$H$15="Yes"),", "&amp;L$1,"")&amp;IF(AND(M272&lt;&gt;"Accepted",M272&lt;&gt;"Not Needed",Settings!$I$15="Yes"),", "&amp;M$1,"")&amp;IF(AND(N272&lt;&gt;"Accepted",N272&lt;&gt;"Not Needed",Settings!$J$15="Yes"),", "&amp;N$1,""),3,400))))</f>
        <v/>
      </c>
    </row>
    <row r="273" ht="15" customHeight="1" s="21">
      <c r="A273" s="31" t="n"/>
      <c r="B273" s="31" t="n"/>
      <c r="C273" s="31" t="n"/>
      <c r="D273" s="31" t="n"/>
      <c r="E273" s="31" t="n"/>
      <c r="F273" s="31" t="n"/>
      <c r="G273" s="31" t="n"/>
      <c r="H273" s="31" t="n"/>
      <c r="I273" s="31" t="n"/>
      <c r="J273" s="31" t="n"/>
      <c r="K273" s="31" t="n"/>
      <c r="L273" s="31" t="n"/>
      <c r="M273" s="31" t="n"/>
      <c r="N273" s="31" t="n"/>
      <c r="O273" s="32">
        <f>IF($B273="","",COUNTIF(G273:N273,"Accepted")+COUNTIF(G273:N273,"Received")+COUNTIF(G273:N273,"Needs Correction"))</f>
        <v/>
      </c>
      <c r="P273" s="32">
        <f>IF($B273="","",SUMPRODUCT(((G273:N273="Accepted")+(G273:N273="Not Needed"))*(Settings!$C$11:$J$11="Yes")))</f>
        <v/>
      </c>
      <c r="Q273" s="32">
        <f>IF($B273="","",SUMPRODUCT(((G273:N273="Accepted")+(G273:N273="Not Needed"))*(Settings!$C$15:$J$15="Yes")))</f>
        <v/>
      </c>
      <c r="R273" s="33">
        <f>IF($B273="","",IF($D273="No","No PTO/PTA",IF($D273&lt;&gt;"Yes","Not Yet Confirmed",IF($Q273&gt;=Settings!$C$13,"Legalized",IF($P273&gt;=Settings!$C$12,"Registered",IF($O273&gt;0,"In Progress","Not Started"))))))</f>
        <v/>
      </c>
      <c r="S273" s="32">
        <f>IF($B273="","",COUNTIF(G273:N273,"Received"))</f>
        <v/>
      </c>
      <c r="T273" s="32">
        <f>IF($B273="","",COUNTIF(G273:N273,"Needs Correction"))</f>
        <v/>
      </c>
      <c r="U273" s="33">
        <f>IF($B273="","",IF($D273&lt;&gt;"Yes","",IF($Q273&gt;=Settings!$C$13,"None",MID(IF(AND(G273&lt;&gt;"Accepted",G273&lt;&gt;"Not Needed",Settings!$C$15="Yes"),", "&amp;G$1,"")&amp;IF(AND(H273&lt;&gt;"Accepted",H273&lt;&gt;"Not Needed",Settings!$D$15="Yes"),", "&amp;H$1,"")&amp;IF(AND(I273&lt;&gt;"Accepted",I273&lt;&gt;"Not Needed",Settings!$E$15="Yes"),", "&amp;I$1,"")&amp;IF(AND(J273&lt;&gt;"Accepted",J273&lt;&gt;"Not Needed",Settings!$F$15="Yes"),", "&amp;J$1,"")&amp;IF(AND(K273&lt;&gt;"Accepted",K273&lt;&gt;"Not Needed",Settings!$G$15="Yes"),", "&amp;K$1,"")&amp;IF(AND(L273&lt;&gt;"Accepted",L273&lt;&gt;"Not Needed",Settings!$H$15="Yes"),", "&amp;L$1,"")&amp;IF(AND(M273&lt;&gt;"Accepted",M273&lt;&gt;"Not Needed",Settings!$I$15="Yes"),", "&amp;M$1,"")&amp;IF(AND(N273&lt;&gt;"Accepted",N273&lt;&gt;"Not Needed",Settings!$J$15="Yes"),", "&amp;N$1,""),3,400))))</f>
        <v/>
      </c>
    </row>
    <row r="274" ht="15" customHeight="1" s="21">
      <c r="A274" s="31" t="n"/>
      <c r="B274" s="31" t="n"/>
      <c r="C274" s="31" t="n"/>
      <c r="D274" s="31" t="n"/>
      <c r="E274" s="31" t="n"/>
      <c r="F274" s="31" t="n"/>
      <c r="G274" s="31" t="n"/>
      <c r="H274" s="31" t="n"/>
      <c r="I274" s="31" t="n"/>
      <c r="J274" s="31" t="n"/>
      <c r="K274" s="31" t="n"/>
      <c r="L274" s="31" t="n"/>
      <c r="M274" s="31" t="n"/>
      <c r="N274" s="31" t="n"/>
      <c r="O274" s="32">
        <f>IF($B274="","",COUNTIF(G274:N274,"Accepted")+COUNTIF(G274:N274,"Received")+COUNTIF(G274:N274,"Needs Correction"))</f>
        <v/>
      </c>
      <c r="P274" s="32">
        <f>IF($B274="","",SUMPRODUCT(((G274:N274="Accepted")+(G274:N274="Not Needed"))*(Settings!$C$11:$J$11="Yes")))</f>
        <v/>
      </c>
      <c r="Q274" s="32">
        <f>IF($B274="","",SUMPRODUCT(((G274:N274="Accepted")+(G274:N274="Not Needed"))*(Settings!$C$15:$J$15="Yes")))</f>
        <v/>
      </c>
      <c r="R274" s="33">
        <f>IF($B274="","",IF($D274="No","No PTO/PTA",IF($D274&lt;&gt;"Yes","Not Yet Confirmed",IF($Q274&gt;=Settings!$C$13,"Legalized",IF($P274&gt;=Settings!$C$12,"Registered",IF($O274&gt;0,"In Progress","Not Started"))))))</f>
        <v/>
      </c>
      <c r="S274" s="32">
        <f>IF($B274="","",COUNTIF(G274:N274,"Received"))</f>
        <v/>
      </c>
      <c r="T274" s="32">
        <f>IF($B274="","",COUNTIF(G274:N274,"Needs Correction"))</f>
        <v/>
      </c>
      <c r="U274" s="33">
        <f>IF($B274="","",IF($D274&lt;&gt;"Yes","",IF($Q274&gt;=Settings!$C$13,"None",MID(IF(AND(G274&lt;&gt;"Accepted",G274&lt;&gt;"Not Needed",Settings!$C$15="Yes"),", "&amp;G$1,"")&amp;IF(AND(H274&lt;&gt;"Accepted",H274&lt;&gt;"Not Needed",Settings!$D$15="Yes"),", "&amp;H$1,"")&amp;IF(AND(I274&lt;&gt;"Accepted",I274&lt;&gt;"Not Needed",Settings!$E$15="Yes"),", "&amp;I$1,"")&amp;IF(AND(J274&lt;&gt;"Accepted",J274&lt;&gt;"Not Needed",Settings!$F$15="Yes"),", "&amp;J$1,"")&amp;IF(AND(K274&lt;&gt;"Accepted",K274&lt;&gt;"Not Needed",Settings!$G$15="Yes"),", "&amp;K$1,"")&amp;IF(AND(L274&lt;&gt;"Accepted",L274&lt;&gt;"Not Needed",Settings!$H$15="Yes"),", "&amp;L$1,"")&amp;IF(AND(M274&lt;&gt;"Accepted",M274&lt;&gt;"Not Needed",Settings!$I$15="Yes"),", "&amp;M$1,"")&amp;IF(AND(N274&lt;&gt;"Accepted",N274&lt;&gt;"Not Needed",Settings!$J$15="Yes"),", "&amp;N$1,""),3,400))))</f>
        <v/>
      </c>
    </row>
    <row r="275" ht="15" customHeight="1" s="21">
      <c r="A275" s="31" t="n"/>
      <c r="B275" s="31" t="n"/>
      <c r="C275" s="31" t="n"/>
      <c r="D275" s="31" t="n"/>
      <c r="E275" s="31" t="n"/>
      <c r="F275" s="31" t="n"/>
      <c r="G275" s="31" t="n"/>
      <c r="H275" s="31" t="n"/>
      <c r="I275" s="31" t="n"/>
      <c r="J275" s="31" t="n"/>
      <c r="K275" s="31" t="n"/>
      <c r="L275" s="31" t="n"/>
      <c r="M275" s="31" t="n"/>
      <c r="N275" s="31" t="n"/>
      <c r="O275" s="32">
        <f>IF($B275="","",COUNTIF(G275:N275,"Accepted")+COUNTIF(G275:N275,"Received")+COUNTIF(G275:N275,"Needs Correction"))</f>
        <v/>
      </c>
      <c r="P275" s="32">
        <f>IF($B275="","",SUMPRODUCT(((G275:N275="Accepted")+(G275:N275="Not Needed"))*(Settings!$C$11:$J$11="Yes")))</f>
        <v/>
      </c>
      <c r="Q275" s="32">
        <f>IF($B275="","",SUMPRODUCT(((G275:N275="Accepted")+(G275:N275="Not Needed"))*(Settings!$C$15:$J$15="Yes")))</f>
        <v/>
      </c>
      <c r="R275" s="33">
        <f>IF($B275="","",IF($D275="No","No PTO/PTA",IF($D275&lt;&gt;"Yes","Not Yet Confirmed",IF($Q275&gt;=Settings!$C$13,"Legalized",IF($P275&gt;=Settings!$C$12,"Registered",IF($O275&gt;0,"In Progress","Not Started"))))))</f>
        <v/>
      </c>
      <c r="S275" s="32">
        <f>IF($B275="","",COUNTIF(G275:N275,"Received"))</f>
        <v/>
      </c>
      <c r="T275" s="32">
        <f>IF($B275="","",COUNTIF(G275:N275,"Needs Correction"))</f>
        <v/>
      </c>
      <c r="U275" s="33">
        <f>IF($B275="","",IF($D275&lt;&gt;"Yes","",IF($Q275&gt;=Settings!$C$13,"None",MID(IF(AND(G275&lt;&gt;"Accepted",G275&lt;&gt;"Not Needed",Settings!$C$15="Yes"),", "&amp;G$1,"")&amp;IF(AND(H275&lt;&gt;"Accepted",H275&lt;&gt;"Not Needed",Settings!$D$15="Yes"),", "&amp;H$1,"")&amp;IF(AND(I275&lt;&gt;"Accepted",I275&lt;&gt;"Not Needed",Settings!$E$15="Yes"),", "&amp;I$1,"")&amp;IF(AND(J275&lt;&gt;"Accepted",J275&lt;&gt;"Not Needed",Settings!$F$15="Yes"),", "&amp;J$1,"")&amp;IF(AND(K275&lt;&gt;"Accepted",K275&lt;&gt;"Not Needed",Settings!$G$15="Yes"),", "&amp;K$1,"")&amp;IF(AND(L275&lt;&gt;"Accepted",L275&lt;&gt;"Not Needed",Settings!$H$15="Yes"),", "&amp;L$1,"")&amp;IF(AND(M275&lt;&gt;"Accepted",M275&lt;&gt;"Not Needed",Settings!$I$15="Yes"),", "&amp;M$1,"")&amp;IF(AND(N275&lt;&gt;"Accepted",N275&lt;&gt;"Not Needed",Settings!$J$15="Yes"),", "&amp;N$1,""),3,400))))</f>
        <v/>
      </c>
    </row>
    <row r="276" ht="15" customHeight="1" s="21">
      <c r="A276" s="31" t="n"/>
      <c r="B276" s="31" t="n"/>
      <c r="C276" s="31" t="n"/>
      <c r="D276" s="31" t="n"/>
      <c r="E276" s="31" t="n"/>
      <c r="F276" s="31" t="n"/>
      <c r="G276" s="31" t="n"/>
      <c r="H276" s="31" t="n"/>
      <c r="I276" s="31" t="n"/>
      <c r="J276" s="31" t="n"/>
      <c r="K276" s="31" t="n"/>
      <c r="L276" s="31" t="n"/>
      <c r="M276" s="31" t="n"/>
      <c r="N276" s="31" t="n"/>
      <c r="O276" s="32">
        <f>IF($B276="","",COUNTIF(G276:N276,"Accepted")+COUNTIF(G276:N276,"Received")+COUNTIF(G276:N276,"Needs Correction"))</f>
        <v/>
      </c>
      <c r="P276" s="32">
        <f>IF($B276="","",SUMPRODUCT(((G276:N276="Accepted")+(G276:N276="Not Needed"))*(Settings!$C$11:$J$11="Yes")))</f>
        <v/>
      </c>
      <c r="Q276" s="32">
        <f>IF($B276="","",SUMPRODUCT(((G276:N276="Accepted")+(G276:N276="Not Needed"))*(Settings!$C$15:$J$15="Yes")))</f>
        <v/>
      </c>
      <c r="R276" s="33">
        <f>IF($B276="","",IF($D276="No","No PTO/PTA",IF($D276&lt;&gt;"Yes","Not Yet Confirmed",IF($Q276&gt;=Settings!$C$13,"Legalized",IF($P276&gt;=Settings!$C$12,"Registered",IF($O276&gt;0,"In Progress","Not Started"))))))</f>
        <v/>
      </c>
      <c r="S276" s="32">
        <f>IF($B276="","",COUNTIF(G276:N276,"Received"))</f>
        <v/>
      </c>
      <c r="T276" s="32">
        <f>IF($B276="","",COUNTIF(G276:N276,"Needs Correction"))</f>
        <v/>
      </c>
      <c r="U276" s="33">
        <f>IF($B276="","",IF($D276&lt;&gt;"Yes","",IF($Q276&gt;=Settings!$C$13,"None",MID(IF(AND(G276&lt;&gt;"Accepted",G276&lt;&gt;"Not Needed",Settings!$C$15="Yes"),", "&amp;G$1,"")&amp;IF(AND(H276&lt;&gt;"Accepted",H276&lt;&gt;"Not Needed",Settings!$D$15="Yes"),", "&amp;H$1,"")&amp;IF(AND(I276&lt;&gt;"Accepted",I276&lt;&gt;"Not Needed",Settings!$E$15="Yes"),", "&amp;I$1,"")&amp;IF(AND(J276&lt;&gt;"Accepted",J276&lt;&gt;"Not Needed",Settings!$F$15="Yes"),", "&amp;J$1,"")&amp;IF(AND(K276&lt;&gt;"Accepted",K276&lt;&gt;"Not Needed",Settings!$G$15="Yes"),", "&amp;K$1,"")&amp;IF(AND(L276&lt;&gt;"Accepted",L276&lt;&gt;"Not Needed",Settings!$H$15="Yes"),", "&amp;L$1,"")&amp;IF(AND(M276&lt;&gt;"Accepted",M276&lt;&gt;"Not Needed",Settings!$I$15="Yes"),", "&amp;M$1,"")&amp;IF(AND(N276&lt;&gt;"Accepted",N276&lt;&gt;"Not Needed",Settings!$J$15="Yes"),", "&amp;N$1,""),3,400))))</f>
        <v/>
      </c>
    </row>
    <row r="277" ht="15" customHeight="1" s="21">
      <c r="A277" s="31" t="n"/>
      <c r="B277" s="31" t="n"/>
      <c r="C277" s="31" t="n"/>
      <c r="D277" s="31" t="n"/>
      <c r="E277" s="31" t="n"/>
      <c r="F277" s="31" t="n"/>
      <c r="G277" s="31" t="n"/>
      <c r="H277" s="31" t="n"/>
      <c r="I277" s="31" t="n"/>
      <c r="J277" s="31" t="n"/>
      <c r="K277" s="31" t="n"/>
      <c r="L277" s="31" t="n"/>
      <c r="M277" s="31" t="n"/>
      <c r="N277" s="31" t="n"/>
      <c r="O277" s="32">
        <f>IF($B277="","",COUNTIF(G277:N277,"Accepted")+COUNTIF(G277:N277,"Received")+COUNTIF(G277:N277,"Needs Correction"))</f>
        <v/>
      </c>
      <c r="P277" s="32">
        <f>IF($B277="","",SUMPRODUCT(((G277:N277="Accepted")+(G277:N277="Not Needed"))*(Settings!$C$11:$J$11="Yes")))</f>
        <v/>
      </c>
      <c r="Q277" s="32">
        <f>IF($B277="","",SUMPRODUCT(((G277:N277="Accepted")+(G277:N277="Not Needed"))*(Settings!$C$15:$J$15="Yes")))</f>
        <v/>
      </c>
      <c r="R277" s="33">
        <f>IF($B277="","",IF($D277="No","No PTO/PTA",IF($D277&lt;&gt;"Yes","Not Yet Confirmed",IF($Q277&gt;=Settings!$C$13,"Legalized",IF($P277&gt;=Settings!$C$12,"Registered",IF($O277&gt;0,"In Progress","Not Started"))))))</f>
        <v/>
      </c>
      <c r="S277" s="32">
        <f>IF($B277="","",COUNTIF(G277:N277,"Received"))</f>
        <v/>
      </c>
      <c r="T277" s="32">
        <f>IF($B277="","",COUNTIF(G277:N277,"Needs Correction"))</f>
        <v/>
      </c>
      <c r="U277" s="33">
        <f>IF($B277="","",IF($D277&lt;&gt;"Yes","",IF($Q277&gt;=Settings!$C$13,"None",MID(IF(AND(G277&lt;&gt;"Accepted",G277&lt;&gt;"Not Needed",Settings!$C$15="Yes"),", "&amp;G$1,"")&amp;IF(AND(H277&lt;&gt;"Accepted",H277&lt;&gt;"Not Needed",Settings!$D$15="Yes"),", "&amp;H$1,"")&amp;IF(AND(I277&lt;&gt;"Accepted",I277&lt;&gt;"Not Needed",Settings!$E$15="Yes"),", "&amp;I$1,"")&amp;IF(AND(J277&lt;&gt;"Accepted",J277&lt;&gt;"Not Needed",Settings!$F$15="Yes"),", "&amp;J$1,"")&amp;IF(AND(K277&lt;&gt;"Accepted",K277&lt;&gt;"Not Needed",Settings!$G$15="Yes"),", "&amp;K$1,"")&amp;IF(AND(L277&lt;&gt;"Accepted",L277&lt;&gt;"Not Needed",Settings!$H$15="Yes"),", "&amp;L$1,"")&amp;IF(AND(M277&lt;&gt;"Accepted",M277&lt;&gt;"Not Needed",Settings!$I$15="Yes"),", "&amp;M$1,"")&amp;IF(AND(N277&lt;&gt;"Accepted",N277&lt;&gt;"Not Needed",Settings!$J$15="Yes"),", "&amp;N$1,""),3,400))))</f>
        <v/>
      </c>
    </row>
    <row r="278" ht="15" customHeight="1" s="21">
      <c r="A278" s="31" t="n"/>
      <c r="B278" s="31" t="n"/>
      <c r="C278" s="31" t="n"/>
      <c r="D278" s="31" t="n"/>
      <c r="E278" s="31" t="n"/>
      <c r="F278" s="31" t="n"/>
      <c r="G278" s="31" t="n"/>
      <c r="H278" s="31" t="n"/>
      <c r="I278" s="31" t="n"/>
      <c r="J278" s="31" t="n"/>
      <c r="K278" s="31" t="n"/>
      <c r="L278" s="31" t="n"/>
      <c r="M278" s="31" t="n"/>
      <c r="N278" s="31" t="n"/>
      <c r="O278" s="32">
        <f>IF($B278="","",COUNTIF(G278:N278,"Accepted")+COUNTIF(G278:N278,"Received")+COUNTIF(G278:N278,"Needs Correction"))</f>
        <v/>
      </c>
      <c r="P278" s="32">
        <f>IF($B278="","",SUMPRODUCT(((G278:N278="Accepted")+(G278:N278="Not Needed"))*(Settings!$C$11:$J$11="Yes")))</f>
        <v/>
      </c>
      <c r="Q278" s="32">
        <f>IF($B278="","",SUMPRODUCT(((G278:N278="Accepted")+(G278:N278="Not Needed"))*(Settings!$C$15:$J$15="Yes")))</f>
        <v/>
      </c>
      <c r="R278" s="33">
        <f>IF($B278="","",IF($D278="No","No PTO/PTA",IF($D278&lt;&gt;"Yes","Not Yet Confirmed",IF($Q278&gt;=Settings!$C$13,"Legalized",IF($P278&gt;=Settings!$C$12,"Registered",IF($O278&gt;0,"In Progress","Not Started"))))))</f>
        <v/>
      </c>
      <c r="S278" s="32">
        <f>IF($B278="","",COUNTIF(G278:N278,"Received"))</f>
        <v/>
      </c>
      <c r="T278" s="32">
        <f>IF($B278="","",COUNTIF(G278:N278,"Needs Correction"))</f>
        <v/>
      </c>
      <c r="U278" s="33">
        <f>IF($B278="","",IF($D278&lt;&gt;"Yes","",IF($Q278&gt;=Settings!$C$13,"None",MID(IF(AND(G278&lt;&gt;"Accepted",G278&lt;&gt;"Not Needed",Settings!$C$15="Yes"),", "&amp;G$1,"")&amp;IF(AND(H278&lt;&gt;"Accepted",H278&lt;&gt;"Not Needed",Settings!$D$15="Yes"),", "&amp;H$1,"")&amp;IF(AND(I278&lt;&gt;"Accepted",I278&lt;&gt;"Not Needed",Settings!$E$15="Yes"),", "&amp;I$1,"")&amp;IF(AND(J278&lt;&gt;"Accepted",J278&lt;&gt;"Not Needed",Settings!$F$15="Yes"),", "&amp;J$1,"")&amp;IF(AND(K278&lt;&gt;"Accepted",K278&lt;&gt;"Not Needed",Settings!$G$15="Yes"),", "&amp;K$1,"")&amp;IF(AND(L278&lt;&gt;"Accepted",L278&lt;&gt;"Not Needed",Settings!$H$15="Yes"),", "&amp;L$1,"")&amp;IF(AND(M278&lt;&gt;"Accepted",M278&lt;&gt;"Not Needed",Settings!$I$15="Yes"),", "&amp;M$1,"")&amp;IF(AND(N278&lt;&gt;"Accepted",N278&lt;&gt;"Not Needed",Settings!$J$15="Yes"),", "&amp;N$1,""),3,400))))</f>
        <v/>
      </c>
    </row>
    <row r="279" ht="15" customHeight="1" s="21">
      <c r="A279" s="31" t="n"/>
      <c r="B279" s="31" t="n"/>
      <c r="C279" s="31" t="n"/>
      <c r="D279" s="31" t="n"/>
      <c r="E279" s="31" t="n"/>
      <c r="F279" s="31" t="n"/>
      <c r="G279" s="31" t="n"/>
      <c r="H279" s="31" t="n"/>
      <c r="I279" s="31" t="n"/>
      <c r="J279" s="31" t="n"/>
      <c r="K279" s="31" t="n"/>
      <c r="L279" s="31" t="n"/>
      <c r="M279" s="31" t="n"/>
      <c r="N279" s="31" t="n"/>
      <c r="O279" s="32">
        <f>IF($B279="","",COUNTIF(G279:N279,"Accepted")+COUNTIF(G279:N279,"Received")+COUNTIF(G279:N279,"Needs Correction"))</f>
        <v/>
      </c>
      <c r="P279" s="32">
        <f>IF($B279="","",SUMPRODUCT(((G279:N279="Accepted")+(G279:N279="Not Needed"))*(Settings!$C$11:$J$11="Yes")))</f>
        <v/>
      </c>
      <c r="Q279" s="32">
        <f>IF($B279="","",SUMPRODUCT(((G279:N279="Accepted")+(G279:N279="Not Needed"))*(Settings!$C$15:$J$15="Yes")))</f>
        <v/>
      </c>
      <c r="R279" s="33">
        <f>IF($B279="","",IF($D279="No","No PTO/PTA",IF($D279&lt;&gt;"Yes","Not Yet Confirmed",IF($Q279&gt;=Settings!$C$13,"Legalized",IF($P279&gt;=Settings!$C$12,"Registered",IF($O279&gt;0,"In Progress","Not Started"))))))</f>
        <v/>
      </c>
      <c r="S279" s="32">
        <f>IF($B279="","",COUNTIF(G279:N279,"Received"))</f>
        <v/>
      </c>
      <c r="T279" s="32">
        <f>IF($B279="","",COUNTIF(G279:N279,"Needs Correction"))</f>
        <v/>
      </c>
      <c r="U279" s="33">
        <f>IF($B279="","",IF($D279&lt;&gt;"Yes","",IF($Q279&gt;=Settings!$C$13,"None",MID(IF(AND(G279&lt;&gt;"Accepted",G279&lt;&gt;"Not Needed",Settings!$C$15="Yes"),", "&amp;G$1,"")&amp;IF(AND(H279&lt;&gt;"Accepted",H279&lt;&gt;"Not Needed",Settings!$D$15="Yes"),", "&amp;H$1,"")&amp;IF(AND(I279&lt;&gt;"Accepted",I279&lt;&gt;"Not Needed",Settings!$E$15="Yes"),", "&amp;I$1,"")&amp;IF(AND(J279&lt;&gt;"Accepted",J279&lt;&gt;"Not Needed",Settings!$F$15="Yes"),", "&amp;J$1,"")&amp;IF(AND(K279&lt;&gt;"Accepted",K279&lt;&gt;"Not Needed",Settings!$G$15="Yes"),", "&amp;K$1,"")&amp;IF(AND(L279&lt;&gt;"Accepted",L279&lt;&gt;"Not Needed",Settings!$H$15="Yes"),", "&amp;L$1,"")&amp;IF(AND(M279&lt;&gt;"Accepted",M279&lt;&gt;"Not Needed",Settings!$I$15="Yes"),", "&amp;M$1,"")&amp;IF(AND(N279&lt;&gt;"Accepted",N279&lt;&gt;"Not Needed",Settings!$J$15="Yes"),", "&amp;N$1,""),3,400))))</f>
        <v/>
      </c>
    </row>
    <row r="280" ht="15" customHeight="1" s="21">
      <c r="A280" s="31" t="n"/>
      <c r="B280" s="31" t="n"/>
      <c r="C280" s="31" t="n"/>
      <c r="D280" s="31" t="n"/>
      <c r="E280" s="31" t="n"/>
      <c r="F280" s="31" t="n"/>
      <c r="G280" s="31" t="n"/>
      <c r="H280" s="31" t="n"/>
      <c r="I280" s="31" t="n"/>
      <c r="J280" s="31" t="n"/>
      <c r="K280" s="31" t="n"/>
      <c r="L280" s="31" t="n"/>
      <c r="M280" s="31" t="n"/>
      <c r="N280" s="31" t="n"/>
      <c r="O280" s="32">
        <f>IF($B280="","",COUNTIF(G280:N280,"Accepted")+COUNTIF(G280:N280,"Received")+COUNTIF(G280:N280,"Needs Correction"))</f>
        <v/>
      </c>
      <c r="P280" s="32">
        <f>IF($B280="","",SUMPRODUCT(((G280:N280="Accepted")+(G280:N280="Not Needed"))*(Settings!$C$11:$J$11="Yes")))</f>
        <v/>
      </c>
      <c r="Q280" s="32">
        <f>IF($B280="","",SUMPRODUCT(((G280:N280="Accepted")+(G280:N280="Not Needed"))*(Settings!$C$15:$J$15="Yes")))</f>
        <v/>
      </c>
      <c r="R280" s="33">
        <f>IF($B280="","",IF($D280="No","No PTO/PTA",IF($D280&lt;&gt;"Yes","Not Yet Confirmed",IF($Q280&gt;=Settings!$C$13,"Legalized",IF($P280&gt;=Settings!$C$12,"Registered",IF($O280&gt;0,"In Progress","Not Started"))))))</f>
        <v/>
      </c>
      <c r="S280" s="32">
        <f>IF($B280="","",COUNTIF(G280:N280,"Received"))</f>
        <v/>
      </c>
      <c r="T280" s="32">
        <f>IF($B280="","",COUNTIF(G280:N280,"Needs Correction"))</f>
        <v/>
      </c>
      <c r="U280" s="33">
        <f>IF($B280="","",IF($D280&lt;&gt;"Yes","",IF($Q280&gt;=Settings!$C$13,"None",MID(IF(AND(G280&lt;&gt;"Accepted",G280&lt;&gt;"Not Needed",Settings!$C$15="Yes"),", "&amp;G$1,"")&amp;IF(AND(H280&lt;&gt;"Accepted",H280&lt;&gt;"Not Needed",Settings!$D$15="Yes"),", "&amp;H$1,"")&amp;IF(AND(I280&lt;&gt;"Accepted",I280&lt;&gt;"Not Needed",Settings!$E$15="Yes"),", "&amp;I$1,"")&amp;IF(AND(J280&lt;&gt;"Accepted",J280&lt;&gt;"Not Needed",Settings!$F$15="Yes"),", "&amp;J$1,"")&amp;IF(AND(K280&lt;&gt;"Accepted",K280&lt;&gt;"Not Needed",Settings!$G$15="Yes"),", "&amp;K$1,"")&amp;IF(AND(L280&lt;&gt;"Accepted",L280&lt;&gt;"Not Needed",Settings!$H$15="Yes"),", "&amp;L$1,"")&amp;IF(AND(M280&lt;&gt;"Accepted",M280&lt;&gt;"Not Needed",Settings!$I$15="Yes"),", "&amp;M$1,"")&amp;IF(AND(N280&lt;&gt;"Accepted",N280&lt;&gt;"Not Needed",Settings!$J$15="Yes"),", "&amp;N$1,""),3,400))))</f>
        <v/>
      </c>
    </row>
    <row r="281" ht="15" customHeight="1" s="21">
      <c r="A281" s="31" t="n"/>
      <c r="B281" s="31" t="n"/>
      <c r="C281" s="31" t="n"/>
      <c r="D281" s="31" t="n"/>
      <c r="E281" s="31" t="n"/>
      <c r="F281" s="31" t="n"/>
      <c r="G281" s="31" t="n"/>
      <c r="H281" s="31" t="n"/>
      <c r="I281" s="31" t="n"/>
      <c r="J281" s="31" t="n"/>
      <c r="K281" s="31" t="n"/>
      <c r="L281" s="31" t="n"/>
      <c r="M281" s="31" t="n"/>
      <c r="N281" s="31" t="n"/>
      <c r="O281" s="32">
        <f>IF($B281="","",COUNTIF(G281:N281,"Accepted")+COUNTIF(G281:N281,"Received")+COUNTIF(G281:N281,"Needs Correction"))</f>
        <v/>
      </c>
      <c r="P281" s="32">
        <f>IF($B281="","",SUMPRODUCT(((G281:N281="Accepted")+(G281:N281="Not Needed"))*(Settings!$C$11:$J$11="Yes")))</f>
        <v/>
      </c>
      <c r="Q281" s="32">
        <f>IF($B281="","",SUMPRODUCT(((G281:N281="Accepted")+(G281:N281="Not Needed"))*(Settings!$C$15:$J$15="Yes")))</f>
        <v/>
      </c>
      <c r="R281" s="33">
        <f>IF($B281="","",IF($D281="No","No PTO/PTA",IF($D281&lt;&gt;"Yes","Not Yet Confirmed",IF($Q281&gt;=Settings!$C$13,"Legalized",IF($P281&gt;=Settings!$C$12,"Registered",IF($O281&gt;0,"In Progress","Not Started"))))))</f>
        <v/>
      </c>
      <c r="S281" s="32">
        <f>IF($B281="","",COUNTIF(G281:N281,"Received"))</f>
        <v/>
      </c>
      <c r="T281" s="32">
        <f>IF($B281="","",COUNTIF(G281:N281,"Needs Correction"))</f>
        <v/>
      </c>
      <c r="U281" s="33">
        <f>IF($B281="","",IF($D281&lt;&gt;"Yes","",IF($Q281&gt;=Settings!$C$13,"None",MID(IF(AND(G281&lt;&gt;"Accepted",G281&lt;&gt;"Not Needed",Settings!$C$15="Yes"),", "&amp;G$1,"")&amp;IF(AND(H281&lt;&gt;"Accepted",H281&lt;&gt;"Not Needed",Settings!$D$15="Yes"),", "&amp;H$1,"")&amp;IF(AND(I281&lt;&gt;"Accepted",I281&lt;&gt;"Not Needed",Settings!$E$15="Yes"),", "&amp;I$1,"")&amp;IF(AND(J281&lt;&gt;"Accepted",J281&lt;&gt;"Not Needed",Settings!$F$15="Yes"),", "&amp;J$1,"")&amp;IF(AND(K281&lt;&gt;"Accepted",K281&lt;&gt;"Not Needed",Settings!$G$15="Yes"),", "&amp;K$1,"")&amp;IF(AND(L281&lt;&gt;"Accepted",L281&lt;&gt;"Not Needed",Settings!$H$15="Yes"),", "&amp;L$1,"")&amp;IF(AND(M281&lt;&gt;"Accepted",M281&lt;&gt;"Not Needed",Settings!$I$15="Yes"),", "&amp;M$1,"")&amp;IF(AND(N281&lt;&gt;"Accepted",N281&lt;&gt;"Not Needed",Settings!$J$15="Yes"),", "&amp;N$1,""),3,400))))</f>
        <v/>
      </c>
    </row>
    <row r="282" ht="15" customHeight="1" s="21">
      <c r="A282" s="31" t="n"/>
      <c r="B282" s="31" t="n"/>
      <c r="C282" s="31" t="n"/>
      <c r="D282" s="31" t="n"/>
      <c r="E282" s="31" t="n"/>
      <c r="F282" s="31" t="n"/>
      <c r="G282" s="31" t="n"/>
      <c r="H282" s="31" t="n"/>
      <c r="I282" s="31" t="n"/>
      <c r="J282" s="31" t="n"/>
      <c r="K282" s="31" t="n"/>
      <c r="L282" s="31" t="n"/>
      <c r="M282" s="31" t="n"/>
      <c r="N282" s="31" t="n"/>
      <c r="O282" s="32">
        <f>IF($B282="","",COUNTIF(G282:N282,"Accepted")+COUNTIF(G282:N282,"Received")+COUNTIF(G282:N282,"Needs Correction"))</f>
        <v/>
      </c>
      <c r="P282" s="32">
        <f>IF($B282="","",SUMPRODUCT(((G282:N282="Accepted")+(G282:N282="Not Needed"))*(Settings!$C$11:$J$11="Yes")))</f>
        <v/>
      </c>
      <c r="Q282" s="32">
        <f>IF($B282="","",SUMPRODUCT(((G282:N282="Accepted")+(G282:N282="Not Needed"))*(Settings!$C$15:$J$15="Yes")))</f>
        <v/>
      </c>
      <c r="R282" s="33">
        <f>IF($B282="","",IF($D282="No","No PTO/PTA",IF($D282&lt;&gt;"Yes","Not Yet Confirmed",IF($Q282&gt;=Settings!$C$13,"Legalized",IF($P282&gt;=Settings!$C$12,"Registered",IF($O282&gt;0,"In Progress","Not Started"))))))</f>
        <v/>
      </c>
      <c r="S282" s="32">
        <f>IF($B282="","",COUNTIF(G282:N282,"Received"))</f>
        <v/>
      </c>
      <c r="T282" s="32">
        <f>IF($B282="","",COUNTIF(G282:N282,"Needs Correction"))</f>
        <v/>
      </c>
      <c r="U282" s="33">
        <f>IF($B282="","",IF($D282&lt;&gt;"Yes","",IF($Q282&gt;=Settings!$C$13,"None",MID(IF(AND(G282&lt;&gt;"Accepted",G282&lt;&gt;"Not Needed",Settings!$C$15="Yes"),", "&amp;G$1,"")&amp;IF(AND(H282&lt;&gt;"Accepted",H282&lt;&gt;"Not Needed",Settings!$D$15="Yes"),", "&amp;H$1,"")&amp;IF(AND(I282&lt;&gt;"Accepted",I282&lt;&gt;"Not Needed",Settings!$E$15="Yes"),", "&amp;I$1,"")&amp;IF(AND(J282&lt;&gt;"Accepted",J282&lt;&gt;"Not Needed",Settings!$F$15="Yes"),", "&amp;J$1,"")&amp;IF(AND(K282&lt;&gt;"Accepted",K282&lt;&gt;"Not Needed",Settings!$G$15="Yes"),", "&amp;K$1,"")&amp;IF(AND(L282&lt;&gt;"Accepted",L282&lt;&gt;"Not Needed",Settings!$H$15="Yes"),", "&amp;L$1,"")&amp;IF(AND(M282&lt;&gt;"Accepted",M282&lt;&gt;"Not Needed",Settings!$I$15="Yes"),", "&amp;M$1,"")&amp;IF(AND(N282&lt;&gt;"Accepted",N282&lt;&gt;"Not Needed",Settings!$J$15="Yes"),", "&amp;N$1,""),3,400))))</f>
        <v/>
      </c>
    </row>
    <row r="283" ht="15" customHeight="1" s="21">
      <c r="A283" s="31" t="n"/>
      <c r="B283" s="31" t="n"/>
      <c r="C283" s="31" t="n"/>
      <c r="D283" s="31" t="n"/>
      <c r="E283" s="31" t="n"/>
      <c r="F283" s="31" t="n"/>
      <c r="G283" s="31" t="n"/>
      <c r="H283" s="31" t="n"/>
      <c r="I283" s="31" t="n"/>
      <c r="J283" s="31" t="n"/>
      <c r="K283" s="31" t="n"/>
      <c r="L283" s="31" t="n"/>
      <c r="M283" s="31" t="n"/>
      <c r="N283" s="31" t="n"/>
      <c r="O283" s="32">
        <f>IF($B283="","",COUNTIF(G283:N283,"Accepted")+COUNTIF(G283:N283,"Received")+COUNTIF(G283:N283,"Needs Correction"))</f>
        <v/>
      </c>
      <c r="P283" s="32">
        <f>IF($B283="","",SUMPRODUCT(((G283:N283="Accepted")+(G283:N283="Not Needed"))*(Settings!$C$11:$J$11="Yes")))</f>
        <v/>
      </c>
      <c r="Q283" s="32">
        <f>IF($B283="","",SUMPRODUCT(((G283:N283="Accepted")+(G283:N283="Not Needed"))*(Settings!$C$15:$J$15="Yes")))</f>
        <v/>
      </c>
      <c r="R283" s="33">
        <f>IF($B283="","",IF($D283="No","No PTO/PTA",IF($D283&lt;&gt;"Yes","Not Yet Confirmed",IF($Q283&gt;=Settings!$C$13,"Legalized",IF($P283&gt;=Settings!$C$12,"Registered",IF($O283&gt;0,"In Progress","Not Started"))))))</f>
        <v/>
      </c>
      <c r="S283" s="32">
        <f>IF($B283="","",COUNTIF(G283:N283,"Received"))</f>
        <v/>
      </c>
      <c r="T283" s="32">
        <f>IF($B283="","",COUNTIF(G283:N283,"Needs Correction"))</f>
        <v/>
      </c>
      <c r="U283" s="33">
        <f>IF($B283="","",IF($D283&lt;&gt;"Yes","",IF($Q283&gt;=Settings!$C$13,"None",MID(IF(AND(G283&lt;&gt;"Accepted",G283&lt;&gt;"Not Needed",Settings!$C$15="Yes"),", "&amp;G$1,"")&amp;IF(AND(H283&lt;&gt;"Accepted",H283&lt;&gt;"Not Needed",Settings!$D$15="Yes"),", "&amp;H$1,"")&amp;IF(AND(I283&lt;&gt;"Accepted",I283&lt;&gt;"Not Needed",Settings!$E$15="Yes"),", "&amp;I$1,"")&amp;IF(AND(J283&lt;&gt;"Accepted",J283&lt;&gt;"Not Needed",Settings!$F$15="Yes"),", "&amp;J$1,"")&amp;IF(AND(K283&lt;&gt;"Accepted",K283&lt;&gt;"Not Needed",Settings!$G$15="Yes"),", "&amp;K$1,"")&amp;IF(AND(L283&lt;&gt;"Accepted",L283&lt;&gt;"Not Needed",Settings!$H$15="Yes"),", "&amp;L$1,"")&amp;IF(AND(M283&lt;&gt;"Accepted",M283&lt;&gt;"Not Needed",Settings!$I$15="Yes"),", "&amp;M$1,"")&amp;IF(AND(N283&lt;&gt;"Accepted",N283&lt;&gt;"Not Needed",Settings!$J$15="Yes"),", "&amp;N$1,""),3,400))))</f>
        <v/>
      </c>
    </row>
    <row r="284" ht="15" customHeight="1" s="21">
      <c r="A284" s="31" t="n"/>
      <c r="B284" s="31" t="n"/>
      <c r="C284" s="31" t="n"/>
      <c r="D284" s="31" t="n"/>
      <c r="E284" s="31" t="n"/>
      <c r="F284" s="31" t="n"/>
      <c r="G284" s="31" t="n"/>
      <c r="H284" s="31" t="n"/>
      <c r="I284" s="31" t="n"/>
      <c r="J284" s="31" t="n"/>
      <c r="K284" s="31" t="n"/>
      <c r="L284" s="31" t="n"/>
      <c r="M284" s="31" t="n"/>
      <c r="N284" s="31" t="n"/>
      <c r="O284" s="32">
        <f>IF($B284="","",COUNTIF(G284:N284,"Accepted")+COUNTIF(G284:N284,"Received")+COUNTIF(G284:N284,"Needs Correction"))</f>
        <v/>
      </c>
      <c r="P284" s="32">
        <f>IF($B284="","",SUMPRODUCT(((G284:N284="Accepted")+(G284:N284="Not Needed"))*(Settings!$C$11:$J$11="Yes")))</f>
        <v/>
      </c>
      <c r="Q284" s="32">
        <f>IF($B284="","",SUMPRODUCT(((G284:N284="Accepted")+(G284:N284="Not Needed"))*(Settings!$C$15:$J$15="Yes")))</f>
        <v/>
      </c>
      <c r="R284" s="33">
        <f>IF($B284="","",IF($D284="No","No PTO/PTA",IF($D284&lt;&gt;"Yes","Not Yet Confirmed",IF($Q284&gt;=Settings!$C$13,"Legalized",IF($P284&gt;=Settings!$C$12,"Registered",IF($O284&gt;0,"In Progress","Not Started"))))))</f>
        <v/>
      </c>
      <c r="S284" s="32">
        <f>IF($B284="","",COUNTIF(G284:N284,"Received"))</f>
        <v/>
      </c>
      <c r="T284" s="32">
        <f>IF($B284="","",COUNTIF(G284:N284,"Needs Correction"))</f>
        <v/>
      </c>
      <c r="U284" s="33">
        <f>IF($B284="","",IF($D284&lt;&gt;"Yes","",IF($Q284&gt;=Settings!$C$13,"None",MID(IF(AND(G284&lt;&gt;"Accepted",G284&lt;&gt;"Not Needed",Settings!$C$15="Yes"),", "&amp;G$1,"")&amp;IF(AND(H284&lt;&gt;"Accepted",H284&lt;&gt;"Not Needed",Settings!$D$15="Yes"),", "&amp;H$1,"")&amp;IF(AND(I284&lt;&gt;"Accepted",I284&lt;&gt;"Not Needed",Settings!$E$15="Yes"),", "&amp;I$1,"")&amp;IF(AND(J284&lt;&gt;"Accepted",J284&lt;&gt;"Not Needed",Settings!$F$15="Yes"),", "&amp;J$1,"")&amp;IF(AND(K284&lt;&gt;"Accepted",K284&lt;&gt;"Not Needed",Settings!$G$15="Yes"),", "&amp;K$1,"")&amp;IF(AND(L284&lt;&gt;"Accepted",L284&lt;&gt;"Not Needed",Settings!$H$15="Yes"),", "&amp;L$1,"")&amp;IF(AND(M284&lt;&gt;"Accepted",M284&lt;&gt;"Not Needed",Settings!$I$15="Yes"),", "&amp;M$1,"")&amp;IF(AND(N284&lt;&gt;"Accepted",N284&lt;&gt;"Not Needed",Settings!$J$15="Yes"),", "&amp;N$1,""),3,400))))</f>
        <v/>
      </c>
    </row>
    <row r="285" ht="15" customHeight="1" s="21">
      <c r="A285" s="31" t="n"/>
      <c r="B285" s="31" t="n"/>
      <c r="C285" s="31" t="n"/>
      <c r="D285" s="31" t="n"/>
      <c r="E285" s="31" t="n"/>
      <c r="F285" s="31" t="n"/>
      <c r="G285" s="31" t="n"/>
      <c r="H285" s="31" t="n"/>
      <c r="I285" s="31" t="n"/>
      <c r="J285" s="31" t="n"/>
      <c r="K285" s="31" t="n"/>
      <c r="L285" s="31" t="n"/>
      <c r="M285" s="31" t="n"/>
      <c r="N285" s="31" t="n"/>
      <c r="O285" s="32">
        <f>IF($B285="","",COUNTIF(G285:N285,"Accepted")+COUNTIF(G285:N285,"Received")+COUNTIF(G285:N285,"Needs Correction"))</f>
        <v/>
      </c>
      <c r="P285" s="32">
        <f>IF($B285="","",SUMPRODUCT(((G285:N285="Accepted")+(G285:N285="Not Needed"))*(Settings!$C$11:$J$11="Yes")))</f>
        <v/>
      </c>
      <c r="Q285" s="32">
        <f>IF($B285="","",SUMPRODUCT(((G285:N285="Accepted")+(G285:N285="Not Needed"))*(Settings!$C$15:$J$15="Yes")))</f>
        <v/>
      </c>
      <c r="R285" s="33">
        <f>IF($B285="","",IF($D285="No","No PTO/PTA",IF($D285&lt;&gt;"Yes","Not Yet Confirmed",IF($Q285&gt;=Settings!$C$13,"Legalized",IF($P285&gt;=Settings!$C$12,"Registered",IF($O285&gt;0,"In Progress","Not Started"))))))</f>
        <v/>
      </c>
      <c r="S285" s="32">
        <f>IF($B285="","",COUNTIF(G285:N285,"Received"))</f>
        <v/>
      </c>
      <c r="T285" s="32">
        <f>IF($B285="","",COUNTIF(G285:N285,"Needs Correction"))</f>
        <v/>
      </c>
      <c r="U285" s="33">
        <f>IF($B285="","",IF($D285&lt;&gt;"Yes","",IF($Q285&gt;=Settings!$C$13,"None",MID(IF(AND(G285&lt;&gt;"Accepted",G285&lt;&gt;"Not Needed",Settings!$C$15="Yes"),", "&amp;G$1,"")&amp;IF(AND(H285&lt;&gt;"Accepted",H285&lt;&gt;"Not Needed",Settings!$D$15="Yes"),", "&amp;H$1,"")&amp;IF(AND(I285&lt;&gt;"Accepted",I285&lt;&gt;"Not Needed",Settings!$E$15="Yes"),", "&amp;I$1,"")&amp;IF(AND(J285&lt;&gt;"Accepted",J285&lt;&gt;"Not Needed",Settings!$F$15="Yes"),", "&amp;J$1,"")&amp;IF(AND(K285&lt;&gt;"Accepted",K285&lt;&gt;"Not Needed",Settings!$G$15="Yes"),", "&amp;K$1,"")&amp;IF(AND(L285&lt;&gt;"Accepted",L285&lt;&gt;"Not Needed",Settings!$H$15="Yes"),", "&amp;L$1,"")&amp;IF(AND(M285&lt;&gt;"Accepted",M285&lt;&gt;"Not Needed",Settings!$I$15="Yes"),", "&amp;M$1,"")&amp;IF(AND(N285&lt;&gt;"Accepted",N285&lt;&gt;"Not Needed",Settings!$J$15="Yes"),", "&amp;N$1,""),3,400))))</f>
        <v/>
      </c>
    </row>
    <row r="286" ht="15" customHeight="1" s="21">
      <c r="A286" s="31" t="n"/>
      <c r="B286" s="31" t="n"/>
      <c r="C286" s="31" t="n"/>
      <c r="D286" s="31" t="n"/>
      <c r="E286" s="31" t="n"/>
      <c r="F286" s="31" t="n"/>
      <c r="G286" s="31" t="n"/>
      <c r="H286" s="31" t="n"/>
      <c r="I286" s="31" t="n"/>
      <c r="J286" s="31" t="n"/>
      <c r="K286" s="31" t="n"/>
      <c r="L286" s="31" t="n"/>
      <c r="M286" s="31" t="n"/>
      <c r="N286" s="31" t="n"/>
      <c r="O286" s="32">
        <f>IF($B286="","",COUNTIF(G286:N286,"Accepted")+COUNTIF(G286:N286,"Received")+COUNTIF(G286:N286,"Needs Correction"))</f>
        <v/>
      </c>
      <c r="P286" s="32">
        <f>IF($B286="","",SUMPRODUCT(((G286:N286="Accepted")+(G286:N286="Not Needed"))*(Settings!$C$11:$J$11="Yes")))</f>
        <v/>
      </c>
      <c r="Q286" s="32">
        <f>IF($B286="","",SUMPRODUCT(((G286:N286="Accepted")+(G286:N286="Not Needed"))*(Settings!$C$15:$J$15="Yes")))</f>
        <v/>
      </c>
      <c r="R286" s="33">
        <f>IF($B286="","",IF($D286="No","No PTO/PTA",IF($D286&lt;&gt;"Yes","Not Yet Confirmed",IF($Q286&gt;=Settings!$C$13,"Legalized",IF($P286&gt;=Settings!$C$12,"Registered",IF($O286&gt;0,"In Progress","Not Started"))))))</f>
        <v/>
      </c>
      <c r="S286" s="32">
        <f>IF($B286="","",COUNTIF(G286:N286,"Received"))</f>
        <v/>
      </c>
      <c r="T286" s="32">
        <f>IF($B286="","",COUNTIF(G286:N286,"Needs Correction"))</f>
        <v/>
      </c>
      <c r="U286" s="33">
        <f>IF($B286="","",IF($D286&lt;&gt;"Yes","",IF($Q286&gt;=Settings!$C$13,"None",MID(IF(AND(G286&lt;&gt;"Accepted",G286&lt;&gt;"Not Needed",Settings!$C$15="Yes"),", "&amp;G$1,"")&amp;IF(AND(H286&lt;&gt;"Accepted",H286&lt;&gt;"Not Needed",Settings!$D$15="Yes"),", "&amp;H$1,"")&amp;IF(AND(I286&lt;&gt;"Accepted",I286&lt;&gt;"Not Needed",Settings!$E$15="Yes"),", "&amp;I$1,"")&amp;IF(AND(J286&lt;&gt;"Accepted",J286&lt;&gt;"Not Needed",Settings!$F$15="Yes"),", "&amp;J$1,"")&amp;IF(AND(K286&lt;&gt;"Accepted",K286&lt;&gt;"Not Needed",Settings!$G$15="Yes"),", "&amp;K$1,"")&amp;IF(AND(L286&lt;&gt;"Accepted",L286&lt;&gt;"Not Needed",Settings!$H$15="Yes"),", "&amp;L$1,"")&amp;IF(AND(M286&lt;&gt;"Accepted",M286&lt;&gt;"Not Needed",Settings!$I$15="Yes"),", "&amp;M$1,"")&amp;IF(AND(N286&lt;&gt;"Accepted",N286&lt;&gt;"Not Needed",Settings!$J$15="Yes"),", "&amp;N$1,""),3,400))))</f>
        <v/>
      </c>
    </row>
    <row r="287" ht="15" customHeight="1" s="21">
      <c r="A287" s="31" t="n"/>
      <c r="B287" s="31" t="n"/>
      <c r="C287" s="31" t="n"/>
      <c r="D287" s="31" t="n"/>
      <c r="E287" s="31" t="n"/>
      <c r="F287" s="31" t="n"/>
      <c r="G287" s="31" t="n"/>
      <c r="H287" s="31" t="n"/>
      <c r="I287" s="31" t="n"/>
      <c r="J287" s="31" t="n"/>
      <c r="K287" s="31" t="n"/>
      <c r="L287" s="31" t="n"/>
      <c r="M287" s="31" t="n"/>
      <c r="N287" s="31" t="n"/>
      <c r="O287" s="32">
        <f>IF($B287="","",COUNTIF(G287:N287,"Accepted")+COUNTIF(G287:N287,"Received")+COUNTIF(G287:N287,"Needs Correction"))</f>
        <v/>
      </c>
      <c r="P287" s="32">
        <f>IF($B287="","",SUMPRODUCT(((G287:N287="Accepted")+(G287:N287="Not Needed"))*(Settings!$C$11:$J$11="Yes")))</f>
        <v/>
      </c>
      <c r="Q287" s="32">
        <f>IF($B287="","",SUMPRODUCT(((G287:N287="Accepted")+(G287:N287="Not Needed"))*(Settings!$C$15:$J$15="Yes")))</f>
        <v/>
      </c>
      <c r="R287" s="33">
        <f>IF($B287="","",IF($D287="No","No PTO/PTA",IF($D287&lt;&gt;"Yes","Not Yet Confirmed",IF($Q287&gt;=Settings!$C$13,"Legalized",IF($P287&gt;=Settings!$C$12,"Registered",IF($O287&gt;0,"In Progress","Not Started"))))))</f>
        <v/>
      </c>
      <c r="S287" s="32">
        <f>IF($B287="","",COUNTIF(G287:N287,"Received"))</f>
        <v/>
      </c>
      <c r="T287" s="32">
        <f>IF($B287="","",COUNTIF(G287:N287,"Needs Correction"))</f>
        <v/>
      </c>
      <c r="U287" s="33">
        <f>IF($B287="","",IF($D287&lt;&gt;"Yes","",IF($Q287&gt;=Settings!$C$13,"None",MID(IF(AND(G287&lt;&gt;"Accepted",G287&lt;&gt;"Not Needed",Settings!$C$15="Yes"),", "&amp;G$1,"")&amp;IF(AND(H287&lt;&gt;"Accepted",H287&lt;&gt;"Not Needed",Settings!$D$15="Yes"),", "&amp;H$1,"")&amp;IF(AND(I287&lt;&gt;"Accepted",I287&lt;&gt;"Not Needed",Settings!$E$15="Yes"),", "&amp;I$1,"")&amp;IF(AND(J287&lt;&gt;"Accepted",J287&lt;&gt;"Not Needed",Settings!$F$15="Yes"),", "&amp;J$1,"")&amp;IF(AND(K287&lt;&gt;"Accepted",K287&lt;&gt;"Not Needed",Settings!$G$15="Yes"),", "&amp;K$1,"")&amp;IF(AND(L287&lt;&gt;"Accepted",L287&lt;&gt;"Not Needed",Settings!$H$15="Yes"),", "&amp;L$1,"")&amp;IF(AND(M287&lt;&gt;"Accepted",M287&lt;&gt;"Not Needed",Settings!$I$15="Yes"),", "&amp;M$1,"")&amp;IF(AND(N287&lt;&gt;"Accepted",N287&lt;&gt;"Not Needed",Settings!$J$15="Yes"),", "&amp;N$1,""),3,400))))</f>
        <v/>
      </c>
    </row>
    <row r="288" ht="15" customHeight="1" s="21">
      <c r="A288" s="31" t="n"/>
      <c r="B288" s="31" t="n"/>
      <c r="C288" s="31" t="n"/>
      <c r="D288" s="31" t="n"/>
      <c r="E288" s="31" t="n"/>
      <c r="F288" s="31" t="n"/>
      <c r="G288" s="31" t="n"/>
      <c r="H288" s="31" t="n"/>
      <c r="I288" s="31" t="n"/>
      <c r="J288" s="31" t="n"/>
      <c r="K288" s="31" t="n"/>
      <c r="L288" s="31" t="n"/>
      <c r="M288" s="31" t="n"/>
      <c r="N288" s="31" t="n"/>
      <c r="O288" s="32">
        <f>IF($B288="","",COUNTIF(G288:N288,"Accepted")+COUNTIF(G288:N288,"Received")+COUNTIF(G288:N288,"Needs Correction"))</f>
        <v/>
      </c>
      <c r="P288" s="32">
        <f>IF($B288="","",SUMPRODUCT(((G288:N288="Accepted")+(G288:N288="Not Needed"))*(Settings!$C$11:$J$11="Yes")))</f>
        <v/>
      </c>
      <c r="Q288" s="32">
        <f>IF($B288="","",SUMPRODUCT(((G288:N288="Accepted")+(G288:N288="Not Needed"))*(Settings!$C$15:$J$15="Yes")))</f>
        <v/>
      </c>
      <c r="R288" s="33">
        <f>IF($B288="","",IF($D288="No","No PTO/PTA",IF($D288&lt;&gt;"Yes","Not Yet Confirmed",IF($Q288&gt;=Settings!$C$13,"Legalized",IF($P288&gt;=Settings!$C$12,"Registered",IF($O288&gt;0,"In Progress","Not Started"))))))</f>
        <v/>
      </c>
      <c r="S288" s="32">
        <f>IF($B288="","",COUNTIF(G288:N288,"Received"))</f>
        <v/>
      </c>
      <c r="T288" s="32">
        <f>IF($B288="","",COUNTIF(G288:N288,"Needs Correction"))</f>
        <v/>
      </c>
      <c r="U288" s="33">
        <f>IF($B288="","",IF($D288&lt;&gt;"Yes","",IF($Q288&gt;=Settings!$C$13,"None",MID(IF(AND(G288&lt;&gt;"Accepted",G288&lt;&gt;"Not Needed",Settings!$C$15="Yes"),", "&amp;G$1,"")&amp;IF(AND(H288&lt;&gt;"Accepted",H288&lt;&gt;"Not Needed",Settings!$D$15="Yes"),", "&amp;H$1,"")&amp;IF(AND(I288&lt;&gt;"Accepted",I288&lt;&gt;"Not Needed",Settings!$E$15="Yes"),", "&amp;I$1,"")&amp;IF(AND(J288&lt;&gt;"Accepted",J288&lt;&gt;"Not Needed",Settings!$F$15="Yes"),", "&amp;J$1,"")&amp;IF(AND(K288&lt;&gt;"Accepted",K288&lt;&gt;"Not Needed",Settings!$G$15="Yes"),", "&amp;K$1,"")&amp;IF(AND(L288&lt;&gt;"Accepted",L288&lt;&gt;"Not Needed",Settings!$H$15="Yes"),", "&amp;L$1,"")&amp;IF(AND(M288&lt;&gt;"Accepted",M288&lt;&gt;"Not Needed",Settings!$I$15="Yes"),", "&amp;M$1,"")&amp;IF(AND(N288&lt;&gt;"Accepted",N288&lt;&gt;"Not Needed",Settings!$J$15="Yes"),", "&amp;N$1,""),3,400))))</f>
        <v/>
      </c>
    </row>
    <row r="289" ht="15" customHeight="1" s="21">
      <c r="A289" s="31" t="n"/>
      <c r="B289" s="31" t="n"/>
      <c r="C289" s="31" t="n"/>
      <c r="D289" s="31" t="n"/>
      <c r="E289" s="31" t="n"/>
      <c r="F289" s="31" t="n"/>
      <c r="G289" s="31" t="n"/>
      <c r="H289" s="31" t="n"/>
      <c r="I289" s="31" t="n"/>
      <c r="J289" s="31" t="n"/>
      <c r="K289" s="31" t="n"/>
      <c r="L289" s="31" t="n"/>
      <c r="M289" s="31" t="n"/>
      <c r="N289" s="31" t="n"/>
      <c r="O289" s="32">
        <f>IF($B289="","",COUNTIF(G289:N289,"Accepted")+COUNTIF(G289:N289,"Received")+COUNTIF(G289:N289,"Needs Correction"))</f>
        <v/>
      </c>
      <c r="P289" s="32">
        <f>IF($B289="","",SUMPRODUCT(((G289:N289="Accepted")+(G289:N289="Not Needed"))*(Settings!$C$11:$J$11="Yes")))</f>
        <v/>
      </c>
      <c r="Q289" s="32">
        <f>IF($B289="","",SUMPRODUCT(((G289:N289="Accepted")+(G289:N289="Not Needed"))*(Settings!$C$15:$J$15="Yes")))</f>
        <v/>
      </c>
      <c r="R289" s="33">
        <f>IF($B289="","",IF($D289="No","No PTO/PTA",IF($D289&lt;&gt;"Yes","Not Yet Confirmed",IF($Q289&gt;=Settings!$C$13,"Legalized",IF($P289&gt;=Settings!$C$12,"Registered",IF($O289&gt;0,"In Progress","Not Started"))))))</f>
        <v/>
      </c>
      <c r="S289" s="32">
        <f>IF($B289="","",COUNTIF(G289:N289,"Received"))</f>
        <v/>
      </c>
      <c r="T289" s="32">
        <f>IF($B289="","",COUNTIF(G289:N289,"Needs Correction"))</f>
        <v/>
      </c>
      <c r="U289" s="33">
        <f>IF($B289="","",IF($D289&lt;&gt;"Yes","",IF($Q289&gt;=Settings!$C$13,"None",MID(IF(AND(G289&lt;&gt;"Accepted",G289&lt;&gt;"Not Needed",Settings!$C$15="Yes"),", "&amp;G$1,"")&amp;IF(AND(H289&lt;&gt;"Accepted",H289&lt;&gt;"Not Needed",Settings!$D$15="Yes"),", "&amp;H$1,"")&amp;IF(AND(I289&lt;&gt;"Accepted",I289&lt;&gt;"Not Needed",Settings!$E$15="Yes"),", "&amp;I$1,"")&amp;IF(AND(J289&lt;&gt;"Accepted",J289&lt;&gt;"Not Needed",Settings!$F$15="Yes"),", "&amp;J$1,"")&amp;IF(AND(K289&lt;&gt;"Accepted",K289&lt;&gt;"Not Needed",Settings!$G$15="Yes"),", "&amp;K$1,"")&amp;IF(AND(L289&lt;&gt;"Accepted",L289&lt;&gt;"Not Needed",Settings!$H$15="Yes"),", "&amp;L$1,"")&amp;IF(AND(M289&lt;&gt;"Accepted",M289&lt;&gt;"Not Needed",Settings!$I$15="Yes"),", "&amp;M$1,"")&amp;IF(AND(N289&lt;&gt;"Accepted",N289&lt;&gt;"Not Needed",Settings!$J$15="Yes"),", "&amp;N$1,""),3,400))))</f>
        <v/>
      </c>
    </row>
    <row r="290" ht="15" customHeight="1" s="21">
      <c r="A290" s="31" t="n"/>
      <c r="B290" s="31" t="n"/>
      <c r="C290" s="31" t="n"/>
      <c r="D290" s="31" t="n"/>
      <c r="E290" s="31" t="n"/>
      <c r="F290" s="31" t="n"/>
      <c r="G290" s="31" t="n"/>
      <c r="H290" s="31" t="n"/>
      <c r="I290" s="31" t="n"/>
      <c r="J290" s="31" t="n"/>
      <c r="K290" s="31" t="n"/>
      <c r="L290" s="31" t="n"/>
      <c r="M290" s="31" t="n"/>
      <c r="N290" s="31" t="n"/>
      <c r="O290" s="32">
        <f>IF($B290="","",COUNTIF(G290:N290,"Accepted")+COUNTIF(G290:N290,"Received")+COUNTIF(G290:N290,"Needs Correction"))</f>
        <v/>
      </c>
      <c r="P290" s="32">
        <f>IF($B290="","",SUMPRODUCT(((G290:N290="Accepted")+(G290:N290="Not Needed"))*(Settings!$C$11:$J$11="Yes")))</f>
        <v/>
      </c>
      <c r="Q290" s="32">
        <f>IF($B290="","",SUMPRODUCT(((G290:N290="Accepted")+(G290:N290="Not Needed"))*(Settings!$C$15:$J$15="Yes")))</f>
        <v/>
      </c>
      <c r="R290" s="33">
        <f>IF($B290="","",IF($D290="No","No PTO/PTA",IF($D290&lt;&gt;"Yes","Not Yet Confirmed",IF($Q290&gt;=Settings!$C$13,"Legalized",IF($P290&gt;=Settings!$C$12,"Registered",IF($O290&gt;0,"In Progress","Not Started"))))))</f>
        <v/>
      </c>
      <c r="S290" s="32">
        <f>IF($B290="","",COUNTIF(G290:N290,"Received"))</f>
        <v/>
      </c>
      <c r="T290" s="32">
        <f>IF($B290="","",COUNTIF(G290:N290,"Needs Correction"))</f>
        <v/>
      </c>
      <c r="U290" s="33">
        <f>IF($B290="","",IF($D290&lt;&gt;"Yes","",IF($Q290&gt;=Settings!$C$13,"None",MID(IF(AND(G290&lt;&gt;"Accepted",G290&lt;&gt;"Not Needed",Settings!$C$15="Yes"),", "&amp;G$1,"")&amp;IF(AND(H290&lt;&gt;"Accepted",H290&lt;&gt;"Not Needed",Settings!$D$15="Yes"),", "&amp;H$1,"")&amp;IF(AND(I290&lt;&gt;"Accepted",I290&lt;&gt;"Not Needed",Settings!$E$15="Yes"),", "&amp;I$1,"")&amp;IF(AND(J290&lt;&gt;"Accepted",J290&lt;&gt;"Not Needed",Settings!$F$15="Yes"),", "&amp;J$1,"")&amp;IF(AND(K290&lt;&gt;"Accepted",K290&lt;&gt;"Not Needed",Settings!$G$15="Yes"),", "&amp;K$1,"")&amp;IF(AND(L290&lt;&gt;"Accepted",L290&lt;&gt;"Not Needed",Settings!$H$15="Yes"),", "&amp;L$1,"")&amp;IF(AND(M290&lt;&gt;"Accepted",M290&lt;&gt;"Not Needed",Settings!$I$15="Yes"),", "&amp;M$1,"")&amp;IF(AND(N290&lt;&gt;"Accepted",N290&lt;&gt;"Not Needed",Settings!$J$15="Yes"),", "&amp;N$1,""),3,400))))</f>
        <v/>
      </c>
    </row>
    <row r="291" ht="15" customHeight="1" s="21">
      <c r="A291" s="31" t="n"/>
      <c r="B291" s="31" t="n"/>
      <c r="C291" s="31" t="n"/>
      <c r="D291" s="31" t="n"/>
      <c r="E291" s="31" t="n"/>
      <c r="F291" s="31" t="n"/>
      <c r="G291" s="31" t="n"/>
      <c r="H291" s="31" t="n"/>
      <c r="I291" s="31" t="n"/>
      <c r="J291" s="31" t="n"/>
      <c r="K291" s="31" t="n"/>
      <c r="L291" s="31" t="n"/>
      <c r="M291" s="31" t="n"/>
      <c r="N291" s="31" t="n"/>
      <c r="O291" s="32">
        <f>IF($B291="","",COUNTIF(G291:N291,"Accepted")+COUNTIF(G291:N291,"Received")+COUNTIF(G291:N291,"Needs Correction"))</f>
        <v/>
      </c>
      <c r="P291" s="32">
        <f>IF($B291="","",SUMPRODUCT(((G291:N291="Accepted")+(G291:N291="Not Needed"))*(Settings!$C$11:$J$11="Yes")))</f>
        <v/>
      </c>
      <c r="Q291" s="32">
        <f>IF($B291="","",SUMPRODUCT(((G291:N291="Accepted")+(G291:N291="Not Needed"))*(Settings!$C$15:$J$15="Yes")))</f>
        <v/>
      </c>
      <c r="R291" s="33">
        <f>IF($B291="","",IF($D291="No","No PTO/PTA",IF($D291&lt;&gt;"Yes","Not Yet Confirmed",IF($Q291&gt;=Settings!$C$13,"Legalized",IF($P291&gt;=Settings!$C$12,"Registered",IF($O291&gt;0,"In Progress","Not Started"))))))</f>
        <v/>
      </c>
      <c r="S291" s="32">
        <f>IF($B291="","",COUNTIF(G291:N291,"Received"))</f>
        <v/>
      </c>
      <c r="T291" s="32">
        <f>IF($B291="","",COUNTIF(G291:N291,"Needs Correction"))</f>
        <v/>
      </c>
      <c r="U291" s="33">
        <f>IF($B291="","",IF($D291&lt;&gt;"Yes","",IF($Q291&gt;=Settings!$C$13,"None",MID(IF(AND(G291&lt;&gt;"Accepted",G291&lt;&gt;"Not Needed",Settings!$C$15="Yes"),", "&amp;G$1,"")&amp;IF(AND(H291&lt;&gt;"Accepted",H291&lt;&gt;"Not Needed",Settings!$D$15="Yes"),", "&amp;H$1,"")&amp;IF(AND(I291&lt;&gt;"Accepted",I291&lt;&gt;"Not Needed",Settings!$E$15="Yes"),", "&amp;I$1,"")&amp;IF(AND(J291&lt;&gt;"Accepted",J291&lt;&gt;"Not Needed",Settings!$F$15="Yes"),", "&amp;J$1,"")&amp;IF(AND(K291&lt;&gt;"Accepted",K291&lt;&gt;"Not Needed",Settings!$G$15="Yes"),", "&amp;K$1,"")&amp;IF(AND(L291&lt;&gt;"Accepted",L291&lt;&gt;"Not Needed",Settings!$H$15="Yes"),", "&amp;L$1,"")&amp;IF(AND(M291&lt;&gt;"Accepted",M291&lt;&gt;"Not Needed",Settings!$I$15="Yes"),", "&amp;M$1,"")&amp;IF(AND(N291&lt;&gt;"Accepted",N291&lt;&gt;"Not Needed",Settings!$J$15="Yes"),", "&amp;N$1,""),3,400))))</f>
        <v/>
      </c>
    </row>
    <row r="292" ht="15" customHeight="1" s="21">
      <c r="A292" s="31" t="n"/>
      <c r="B292" s="31" t="n"/>
      <c r="C292" s="31" t="n"/>
      <c r="D292" s="31" t="n"/>
      <c r="E292" s="31" t="n"/>
      <c r="F292" s="31" t="n"/>
      <c r="G292" s="31" t="n"/>
      <c r="H292" s="31" t="n"/>
      <c r="I292" s="31" t="n"/>
      <c r="J292" s="31" t="n"/>
      <c r="K292" s="31" t="n"/>
      <c r="L292" s="31" t="n"/>
      <c r="M292" s="31" t="n"/>
      <c r="N292" s="31" t="n"/>
      <c r="O292" s="32">
        <f>IF($B292="","",COUNTIF(G292:N292,"Accepted")+COUNTIF(G292:N292,"Received")+COUNTIF(G292:N292,"Needs Correction"))</f>
        <v/>
      </c>
      <c r="P292" s="32">
        <f>IF($B292="","",SUMPRODUCT(((G292:N292="Accepted")+(G292:N292="Not Needed"))*(Settings!$C$11:$J$11="Yes")))</f>
        <v/>
      </c>
      <c r="Q292" s="32">
        <f>IF($B292="","",SUMPRODUCT(((G292:N292="Accepted")+(G292:N292="Not Needed"))*(Settings!$C$15:$J$15="Yes")))</f>
        <v/>
      </c>
      <c r="R292" s="33">
        <f>IF($B292="","",IF($D292="No","No PTO/PTA",IF($D292&lt;&gt;"Yes","Not Yet Confirmed",IF($Q292&gt;=Settings!$C$13,"Legalized",IF($P292&gt;=Settings!$C$12,"Registered",IF($O292&gt;0,"In Progress","Not Started"))))))</f>
        <v/>
      </c>
      <c r="S292" s="32">
        <f>IF($B292="","",COUNTIF(G292:N292,"Received"))</f>
        <v/>
      </c>
      <c r="T292" s="32">
        <f>IF($B292="","",COUNTIF(G292:N292,"Needs Correction"))</f>
        <v/>
      </c>
      <c r="U292" s="33">
        <f>IF($B292="","",IF($D292&lt;&gt;"Yes","",IF($Q292&gt;=Settings!$C$13,"None",MID(IF(AND(G292&lt;&gt;"Accepted",G292&lt;&gt;"Not Needed",Settings!$C$15="Yes"),", "&amp;G$1,"")&amp;IF(AND(H292&lt;&gt;"Accepted",H292&lt;&gt;"Not Needed",Settings!$D$15="Yes"),", "&amp;H$1,"")&amp;IF(AND(I292&lt;&gt;"Accepted",I292&lt;&gt;"Not Needed",Settings!$E$15="Yes"),", "&amp;I$1,"")&amp;IF(AND(J292&lt;&gt;"Accepted",J292&lt;&gt;"Not Needed",Settings!$F$15="Yes"),", "&amp;J$1,"")&amp;IF(AND(K292&lt;&gt;"Accepted",K292&lt;&gt;"Not Needed",Settings!$G$15="Yes"),", "&amp;K$1,"")&amp;IF(AND(L292&lt;&gt;"Accepted",L292&lt;&gt;"Not Needed",Settings!$H$15="Yes"),", "&amp;L$1,"")&amp;IF(AND(M292&lt;&gt;"Accepted",M292&lt;&gt;"Not Needed",Settings!$I$15="Yes"),", "&amp;M$1,"")&amp;IF(AND(N292&lt;&gt;"Accepted",N292&lt;&gt;"Not Needed",Settings!$J$15="Yes"),", "&amp;N$1,""),3,400))))</f>
        <v/>
      </c>
    </row>
    <row r="293" ht="15" customHeight="1" s="21">
      <c r="A293" s="31" t="n"/>
      <c r="B293" s="31" t="n"/>
      <c r="C293" s="31" t="n"/>
      <c r="D293" s="31" t="n"/>
      <c r="E293" s="31" t="n"/>
      <c r="F293" s="31" t="n"/>
      <c r="G293" s="31" t="n"/>
      <c r="H293" s="31" t="n"/>
      <c r="I293" s="31" t="n"/>
      <c r="J293" s="31" t="n"/>
      <c r="K293" s="31" t="n"/>
      <c r="L293" s="31" t="n"/>
      <c r="M293" s="31" t="n"/>
      <c r="N293" s="31" t="n"/>
      <c r="O293" s="32">
        <f>IF($B293="","",COUNTIF(G293:N293,"Accepted")+COUNTIF(G293:N293,"Received")+COUNTIF(G293:N293,"Needs Correction"))</f>
        <v/>
      </c>
      <c r="P293" s="32">
        <f>IF($B293="","",SUMPRODUCT(((G293:N293="Accepted")+(G293:N293="Not Needed"))*(Settings!$C$11:$J$11="Yes")))</f>
        <v/>
      </c>
      <c r="Q293" s="32">
        <f>IF($B293="","",SUMPRODUCT(((G293:N293="Accepted")+(G293:N293="Not Needed"))*(Settings!$C$15:$J$15="Yes")))</f>
        <v/>
      </c>
      <c r="R293" s="33">
        <f>IF($B293="","",IF($D293="No","No PTO/PTA",IF($D293&lt;&gt;"Yes","Not Yet Confirmed",IF($Q293&gt;=Settings!$C$13,"Legalized",IF($P293&gt;=Settings!$C$12,"Registered",IF($O293&gt;0,"In Progress","Not Started"))))))</f>
        <v/>
      </c>
      <c r="S293" s="32">
        <f>IF($B293="","",COUNTIF(G293:N293,"Received"))</f>
        <v/>
      </c>
      <c r="T293" s="32">
        <f>IF($B293="","",COUNTIF(G293:N293,"Needs Correction"))</f>
        <v/>
      </c>
      <c r="U293" s="33">
        <f>IF($B293="","",IF($D293&lt;&gt;"Yes","",IF($Q293&gt;=Settings!$C$13,"None",MID(IF(AND(G293&lt;&gt;"Accepted",G293&lt;&gt;"Not Needed",Settings!$C$15="Yes"),", "&amp;G$1,"")&amp;IF(AND(H293&lt;&gt;"Accepted",H293&lt;&gt;"Not Needed",Settings!$D$15="Yes"),", "&amp;H$1,"")&amp;IF(AND(I293&lt;&gt;"Accepted",I293&lt;&gt;"Not Needed",Settings!$E$15="Yes"),", "&amp;I$1,"")&amp;IF(AND(J293&lt;&gt;"Accepted",J293&lt;&gt;"Not Needed",Settings!$F$15="Yes"),", "&amp;J$1,"")&amp;IF(AND(K293&lt;&gt;"Accepted",K293&lt;&gt;"Not Needed",Settings!$G$15="Yes"),", "&amp;K$1,"")&amp;IF(AND(L293&lt;&gt;"Accepted",L293&lt;&gt;"Not Needed",Settings!$H$15="Yes"),", "&amp;L$1,"")&amp;IF(AND(M293&lt;&gt;"Accepted",M293&lt;&gt;"Not Needed",Settings!$I$15="Yes"),", "&amp;M$1,"")&amp;IF(AND(N293&lt;&gt;"Accepted",N293&lt;&gt;"Not Needed",Settings!$J$15="Yes"),", "&amp;N$1,""),3,400))))</f>
        <v/>
      </c>
    </row>
    <row r="294" ht="15" customHeight="1" s="21">
      <c r="A294" s="31" t="n"/>
      <c r="B294" s="31" t="n"/>
      <c r="C294" s="31" t="n"/>
      <c r="D294" s="31" t="n"/>
      <c r="E294" s="31" t="n"/>
      <c r="F294" s="31" t="n"/>
      <c r="G294" s="31" t="n"/>
      <c r="H294" s="31" t="n"/>
      <c r="I294" s="31" t="n"/>
      <c r="J294" s="31" t="n"/>
      <c r="K294" s="31" t="n"/>
      <c r="L294" s="31" t="n"/>
      <c r="M294" s="31" t="n"/>
      <c r="N294" s="31" t="n"/>
      <c r="O294" s="32">
        <f>IF($B294="","",COUNTIF(G294:N294,"Accepted")+COUNTIF(G294:N294,"Received")+COUNTIF(G294:N294,"Needs Correction"))</f>
        <v/>
      </c>
      <c r="P294" s="32">
        <f>IF($B294="","",SUMPRODUCT(((G294:N294="Accepted")+(G294:N294="Not Needed"))*(Settings!$C$11:$J$11="Yes")))</f>
        <v/>
      </c>
      <c r="Q294" s="32">
        <f>IF($B294="","",SUMPRODUCT(((G294:N294="Accepted")+(G294:N294="Not Needed"))*(Settings!$C$15:$J$15="Yes")))</f>
        <v/>
      </c>
      <c r="R294" s="33">
        <f>IF($B294="","",IF($D294="No","No PTO/PTA",IF($D294&lt;&gt;"Yes","Not Yet Confirmed",IF($Q294&gt;=Settings!$C$13,"Legalized",IF($P294&gt;=Settings!$C$12,"Registered",IF($O294&gt;0,"In Progress","Not Started"))))))</f>
        <v/>
      </c>
      <c r="S294" s="32">
        <f>IF($B294="","",COUNTIF(G294:N294,"Received"))</f>
        <v/>
      </c>
      <c r="T294" s="32">
        <f>IF($B294="","",COUNTIF(G294:N294,"Needs Correction"))</f>
        <v/>
      </c>
      <c r="U294" s="33">
        <f>IF($B294="","",IF($D294&lt;&gt;"Yes","",IF($Q294&gt;=Settings!$C$13,"None",MID(IF(AND(G294&lt;&gt;"Accepted",G294&lt;&gt;"Not Needed",Settings!$C$15="Yes"),", "&amp;G$1,"")&amp;IF(AND(H294&lt;&gt;"Accepted",H294&lt;&gt;"Not Needed",Settings!$D$15="Yes"),", "&amp;H$1,"")&amp;IF(AND(I294&lt;&gt;"Accepted",I294&lt;&gt;"Not Needed",Settings!$E$15="Yes"),", "&amp;I$1,"")&amp;IF(AND(J294&lt;&gt;"Accepted",J294&lt;&gt;"Not Needed",Settings!$F$15="Yes"),", "&amp;J$1,"")&amp;IF(AND(K294&lt;&gt;"Accepted",K294&lt;&gt;"Not Needed",Settings!$G$15="Yes"),", "&amp;K$1,"")&amp;IF(AND(L294&lt;&gt;"Accepted",L294&lt;&gt;"Not Needed",Settings!$H$15="Yes"),", "&amp;L$1,"")&amp;IF(AND(M294&lt;&gt;"Accepted",M294&lt;&gt;"Not Needed",Settings!$I$15="Yes"),", "&amp;M$1,"")&amp;IF(AND(N294&lt;&gt;"Accepted",N294&lt;&gt;"Not Needed",Settings!$J$15="Yes"),", "&amp;N$1,""),3,400))))</f>
        <v/>
      </c>
    </row>
    <row r="295" ht="15" customHeight="1" s="21">
      <c r="A295" s="31" t="n"/>
      <c r="B295" s="31" t="n"/>
      <c r="C295" s="31" t="n"/>
      <c r="D295" s="31" t="n"/>
      <c r="E295" s="31" t="n"/>
      <c r="F295" s="31" t="n"/>
      <c r="G295" s="31" t="n"/>
      <c r="H295" s="31" t="n"/>
      <c r="I295" s="31" t="n"/>
      <c r="J295" s="31" t="n"/>
      <c r="K295" s="31" t="n"/>
      <c r="L295" s="31" t="n"/>
      <c r="M295" s="31" t="n"/>
      <c r="N295" s="31" t="n"/>
      <c r="O295" s="32">
        <f>IF($B295="","",COUNTIF(G295:N295,"Accepted")+COUNTIF(G295:N295,"Received")+COUNTIF(G295:N295,"Needs Correction"))</f>
        <v/>
      </c>
      <c r="P295" s="32">
        <f>IF($B295="","",SUMPRODUCT(((G295:N295="Accepted")+(G295:N295="Not Needed"))*(Settings!$C$11:$J$11="Yes")))</f>
        <v/>
      </c>
      <c r="Q295" s="32">
        <f>IF($B295="","",SUMPRODUCT(((G295:N295="Accepted")+(G295:N295="Not Needed"))*(Settings!$C$15:$J$15="Yes")))</f>
        <v/>
      </c>
      <c r="R295" s="33">
        <f>IF($B295="","",IF($D295="No","No PTO/PTA",IF($D295&lt;&gt;"Yes","Not Yet Confirmed",IF($Q295&gt;=Settings!$C$13,"Legalized",IF($P295&gt;=Settings!$C$12,"Registered",IF($O295&gt;0,"In Progress","Not Started"))))))</f>
        <v/>
      </c>
      <c r="S295" s="32">
        <f>IF($B295="","",COUNTIF(G295:N295,"Received"))</f>
        <v/>
      </c>
      <c r="T295" s="32">
        <f>IF($B295="","",COUNTIF(G295:N295,"Needs Correction"))</f>
        <v/>
      </c>
      <c r="U295" s="33">
        <f>IF($B295="","",IF($D295&lt;&gt;"Yes","",IF($Q295&gt;=Settings!$C$13,"None",MID(IF(AND(G295&lt;&gt;"Accepted",G295&lt;&gt;"Not Needed",Settings!$C$15="Yes"),", "&amp;G$1,"")&amp;IF(AND(H295&lt;&gt;"Accepted",H295&lt;&gt;"Not Needed",Settings!$D$15="Yes"),", "&amp;H$1,"")&amp;IF(AND(I295&lt;&gt;"Accepted",I295&lt;&gt;"Not Needed",Settings!$E$15="Yes"),", "&amp;I$1,"")&amp;IF(AND(J295&lt;&gt;"Accepted",J295&lt;&gt;"Not Needed",Settings!$F$15="Yes"),", "&amp;J$1,"")&amp;IF(AND(K295&lt;&gt;"Accepted",K295&lt;&gt;"Not Needed",Settings!$G$15="Yes"),", "&amp;K$1,"")&amp;IF(AND(L295&lt;&gt;"Accepted",L295&lt;&gt;"Not Needed",Settings!$H$15="Yes"),", "&amp;L$1,"")&amp;IF(AND(M295&lt;&gt;"Accepted",M295&lt;&gt;"Not Needed",Settings!$I$15="Yes"),", "&amp;M$1,"")&amp;IF(AND(N295&lt;&gt;"Accepted",N295&lt;&gt;"Not Needed",Settings!$J$15="Yes"),", "&amp;N$1,""),3,400))))</f>
        <v/>
      </c>
    </row>
    <row r="296" ht="15" customHeight="1" s="21">
      <c r="A296" s="31" t="n"/>
      <c r="B296" s="31" t="n"/>
      <c r="C296" s="31" t="n"/>
      <c r="D296" s="31" t="n"/>
      <c r="E296" s="31" t="n"/>
      <c r="F296" s="31" t="n"/>
      <c r="G296" s="31" t="n"/>
      <c r="H296" s="31" t="n"/>
      <c r="I296" s="31" t="n"/>
      <c r="J296" s="31" t="n"/>
      <c r="K296" s="31" t="n"/>
      <c r="L296" s="31" t="n"/>
      <c r="M296" s="31" t="n"/>
      <c r="N296" s="31" t="n"/>
      <c r="O296" s="32">
        <f>IF($B296="","",COUNTIF(G296:N296,"Accepted")+COUNTIF(G296:N296,"Received")+COUNTIF(G296:N296,"Needs Correction"))</f>
        <v/>
      </c>
      <c r="P296" s="32">
        <f>IF($B296="","",SUMPRODUCT(((G296:N296="Accepted")+(G296:N296="Not Needed"))*(Settings!$C$11:$J$11="Yes")))</f>
        <v/>
      </c>
      <c r="Q296" s="32">
        <f>IF($B296="","",SUMPRODUCT(((G296:N296="Accepted")+(G296:N296="Not Needed"))*(Settings!$C$15:$J$15="Yes")))</f>
        <v/>
      </c>
      <c r="R296" s="33">
        <f>IF($B296="","",IF($D296="No","No PTO/PTA",IF($D296&lt;&gt;"Yes","Not Yet Confirmed",IF($Q296&gt;=Settings!$C$13,"Legalized",IF($P296&gt;=Settings!$C$12,"Registered",IF($O296&gt;0,"In Progress","Not Started"))))))</f>
        <v/>
      </c>
      <c r="S296" s="32">
        <f>IF($B296="","",COUNTIF(G296:N296,"Received"))</f>
        <v/>
      </c>
      <c r="T296" s="32">
        <f>IF($B296="","",COUNTIF(G296:N296,"Needs Correction"))</f>
        <v/>
      </c>
      <c r="U296" s="33">
        <f>IF($B296="","",IF($D296&lt;&gt;"Yes","",IF($Q296&gt;=Settings!$C$13,"None",MID(IF(AND(G296&lt;&gt;"Accepted",G296&lt;&gt;"Not Needed",Settings!$C$15="Yes"),", "&amp;G$1,"")&amp;IF(AND(H296&lt;&gt;"Accepted",H296&lt;&gt;"Not Needed",Settings!$D$15="Yes"),", "&amp;H$1,"")&amp;IF(AND(I296&lt;&gt;"Accepted",I296&lt;&gt;"Not Needed",Settings!$E$15="Yes"),", "&amp;I$1,"")&amp;IF(AND(J296&lt;&gt;"Accepted",J296&lt;&gt;"Not Needed",Settings!$F$15="Yes"),", "&amp;J$1,"")&amp;IF(AND(K296&lt;&gt;"Accepted",K296&lt;&gt;"Not Needed",Settings!$G$15="Yes"),", "&amp;K$1,"")&amp;IF(AND(L296&lt;&gt;"Accepted",L296&lt;&gt;"Not Needed",Settings!$H$15="Yes"),", "&amp;L$1,"")&amp;IF(AND(M296&lt;&gt;"Accepted",M296&lt;&gt;"Not Needed",Settings!$I$15="Yes"),", "&amp;M$1,"")&amp;IF(AND(N296&lt;&gt;"Accepted",N296&lt;&gt;"Not Needed",Settings!$J$15="Yes"),", "&amp;N$1,""),3,400))))</f>
        <v/>
      </c>
    </row>
    <row r="297" ht="15" customHeight="1" s="21">
      <c r="A297" s="31" t="n"/>
      <c r="B297" s="31" t="n"/>
      <c r="C297" s="31" t="n"/>
      <c r="D297" s="31" t="n"/>
      <c r="E297" s="31" t="n"/>
      <c r="F297" s="31" t="n"/>
      <c r="G297" s="31" t="n"/>
      <c r="H297" s="31" t="n"/>
      <c r="I297" s="31" t="n"/>
      <c r="J297" s="31" t="n"/>
      <c r="K297" s="31" t="n"/>
      <c r="L297" s="31" t="n"/>
      <c r="M297" s="31" t="n"/>
      <c r="N297" s="31" t="n"/>
      <c r="O297" s="32">
        <f>IF($B297="","",COUNTIF(G297:N297,"Accepted")+COUNTIF(G297:N297,"Received")+COUNTIF(G297:N297,"Needs Correction"))</f>
        <v/>
      </c>
      <c r="P297" s="32">
        <f>IF($B297="","",SUMPRODUCT(((G297:N297="Accepted")+(G297:N297="Not Needed"))*(Settings!$C$11:$J$11="Yes")))</f>
        <v/>
      </c>
      <c r="Q297" s="32">
        <f>IF($B297="","",SUMPRODUCT(((G297:N297="Accepted")+(G297:N297="Not Needed"))*(Settings!$C$15:$J$15="Yes")))</f>
        <v/>
      </c>
      <c r="R297" s="33">
        <f>IF($B297="","",IF($D297="No","No PTO/PTA",IF($D297&lt;&gt;"Yes","Not Yet Confirmed",IF($Q297&gt;=Settings!$C$13,"Legalized",IF($P297&gt;=Settings!$C$12,"Registered",IF($O297&gt;0,"In Progress","Not Started"))))))</f>
        <v/>
      </c>
      <c r="S297" s="32">
        <f>IF($B297="","",COUNTIF(G297:N297,"Received"))</f>
        <v/>
      </c>
      <c r="T297" s="32">
        <f>IF($B297="","",COUNTIF(G297:N297,"Needs Correction"))</f>
        <v/>
      </c>
      <c r="U297" s="33">
        <f>IF($B297="","",IF($D297&lt;&gt;"Yes","",IF($Q297&gt;=Settings!$C$13,"None",MID(IF(AND(G297&lt;&gt;"Accepted",G297&lt;&gt;"Not Needed",Settings!$C$15="Yes"),", "&amp;G$1,"")&amp;IF(AND(H297&lt;&gt;"Accepted",H297&lt;&gt;"Not Needed",Settings!$D$15="Yes"),", "&amp;H$1,"")&amp;IF(AND(I297&lt;&gt;"Accepted",I297&lt;&gt;"Not Needed",Settings!$E$15="Yes"),", "&amp;I$1,"")&amp;IF(AND(J297&lt;&gt;"Accepted",J297&lt;&gt;"Not Needed",Settings!$F$15="Yes"),", "&amp;J$1,"")&amp;IF(AND(K297&lt;&gt;"Accepted",K297&lt;&gt;"Not Needed",Settings!$G$15="Yes"),", "&amp;K$1,"")&amp;IF(AND(L297&lt;&gt;"Accepted",L297&lt;&gt;"Not Needed",Settings!$H$15="Yes"),", "&amp;L$1,"")&amp;IF(AND(M297&lt;&gt;"Accepted",M297&lt;&gt;"Not Needed",Settings!$I$15="Yes"),", "&amp;M$1,"")&amp;IF(AND(N297&lt;&gt;"Accepted",N297&lt;&gt;"Not Needed",Settings!$J$15="Yes"),", "&amp;N$1,""),3,400))))</f>
        <v/>
      </c>
    </row>
    <row r="298" ht="15" customHeight="1" s="21">
      <c r="A298" s="31" t="n"/>
      <c r="B298" s="31" t="n"/>
      <c r="C298" s="31" t="n"/>
      <c r="D298" s="31" t="n"/>
      <c r="E298" s="31" t="n"/>
      <c r="F298" s="31" t="n"/>
      <c r="G298" s="31" t="n"/>
      <c r="H298" s="31" t="n"/>
      <c r="I298" s="31" t="n"/>
      <c r="J298" s="31" t="n"/>
      <c r="K298" s="31" t="n"/>
      <c r="L298" s="31" t="n"/>
      <c r="M298" s="31" t="n"/>
      <c r="N298" s="31" t="n"/>
      <c r="O298" s="32">
        <f>IF($B298="","",COUNTIF(G298:N298,"Accepted")+COUNTIF(G298:N298,"Received")+COUNTIF(G298:N298,"Needs Correction"))</f>
        <v/>
      </c>
      <c r="P298" s="32">
        <f>IF($B298="","",SUMPRODUCT(((G298:N298="Accepted")+(G298:N298="Not Needed"))*(Settings!$C$11:$J$11="Yes")))</f>
        <v/>
      </c>
      <c r="Q298" s="32">
        <f>IF($B298="","",SUMPRODUCT(((G298:N298="Accepted")+(G298:N298="Not Needed"))*(Settings!$C$15:$J$15="Yes")))</f>
        <v/>
      </c>
      <c r="R298" s="33">
        <f>IF($B298="","",IF($D298="No","No PTO/PTA",IF($D298&lt;&gt;"Yes","Not Yet Confirmed",IF($Q298&gt;=Settings!$C$13,"Legalized",IF($P298&gt;=Settings!$C$12,"Registered",IF($O298&gt;0,"In Progress","Not Started"))))))</f>
        <v/>
      </c>
      <c r="S298" s="32">
        <f>IF($B298="","",COUNTIF(G298:N298,"Received"))</f>
        <v/>
      </c>
      <c r="T298" s="32">
        <f>IF($B298="","",COUNTIF(G298:N298,"Needs Correction"))</f>
        <v/>
      </c>
      <c r="U298" s="33">
        <f>IF($B298="","",IF($D298&lt;&gt;"Yes","",IF($Q298&gt;=Settings!$C$13,"None",MID(IF(AND(G298&lt;&gt;"Accepted",G298&lt;&gt;"Not Needed",Settings!$C$15="Yes"),", "&amp;G$1,"")&amp;IF(AND(H298&lt;&gt;"Accepted",H298&lt;&gt;"Not Needed",Settings!$D$15="Yes"),", "&amp;H$1,"")&amp;IF(AND(I298&lt;&gt;"Accepted",I298&lt;&gt;"Not Needed",Settings!$E$15="Yes"),", "&amp;I$1,"")&amp;IF(AND(J298&lt;&gt;"Accepted",J298&lt;&gt;"Not Needed",Settings!$F$15="Yes"),", "&amp;J$1,"")&amp;IF(AND(K298&lt;&gt;"Accepted",K298&lt;&gt;"Not Needed",Settings!$G$15="Yes"),", "&amp;K$1,"")&amp;IF(AND(L298&lt;&gt;"Accepted",L298&lt;&gt;"Not Needed",Settings!$H$15="Yes"),", "&amp;L$1,"")&amp;IF(AND(M298&lt;&gt;"Accepted",M298&lt;&gt;"Not Needed",Settings!$I$15="Yes"),", "&amp;M$1,"")&amp;IF(AND(N298&lt;&gt;"Accepted",N298&lt;&gt;"Not Needed",Settings!$J$15="Yes"),", "&amp;N$1,""),3,400))))</f>
        <v/>
      </c>
    </row>
    <row r="299" ht="15" customHeight="1" s="21">
      <c r="A299" s="31" t="n"/>
      <c r="B299" s="31" t="n"/>
      <c r="C299" s="31" t="n"/>
      <c r="D299" s="31" t="n"/>
      <c r="E299" s="31" t="n"/>
      <c r="F299" s="31" t="n"/>
      <c r="G299" s="31" t="n"/>
      <c r="H299" s="31" t="n"/>
      <c r="I299" s="31" t="n"/>
      <c r="J299" s="31" t="n"/>
      <c r="K299" s="31" t="n"/>
      <c r="L299" s="31" t="n"/>
      <c r="M299" s="31" t="n"/>
      <c r="N299" s="31" t="n"/>
      <c r="O299" s="32">
        <f>IF($B299="","",COUNTIF(G299:N299,"Accepted")+COUNTIF(G299:N299,"Received")+COUNTIF(G299:N299,"Needs Correction"))</f>
        <v/>
      </c>
      <c r="P299" s="32">
        <f>IF($B299="","",SUMPRODUCT(((G299:N299="Accepted")+(G299:N299="Not Needed"))*(Settings!$C$11:$J$11="Yes")))</f>
        <v/>
      </c>
      <c r="Q299" s="32">
        <f>IF($B299="","",SUMPRODUCT(((G299:N299="Accepted")+(G299:N299="Not Needed"))*(Settings!$C$15:$J$15="Yes")))</f>
        <v/>
      </c>
      <c r="R299" s="33">
        <f>IF($B299="","",IF($D299="No","No PTO/PTA",IF($D299&lt;&gt;"Yes","Not Yet Confirmed",IF($Q299&gt;=Settings!$C$13,"Legalized",IF($P299&gt;=Settings!$C$12,"Registered",IF($O299&gt;0,"In Progress","Not Started"))))))</f>
        <v/>
      </c>
      <c r="S299" s="32">
        <f>IF($B299="","",COUNTIF(G299:N299,"Received"))</f>
        <v/>
      </c>
      <c r="T299" s="32">
        <f>IF($B299="","",COUNTIF(G299:N299,"Needs Correction"))</f>
        <v/>
      </c>
      <c r="U299" s="33">
        <f>IF($B299="","",IF($D299&lt;&gt;"Yes","",IF($Q299&gt;=Settings!$C$13,"None",MID(IF(AND(G299&lt;&gt;"Accepted",G299&lt;&gt;"Not Needed",Settings!$C$15="Yes"),", "&amp;G$1,"")&amp;IF(AND(H299&lt;&gt;"Accepted",H299&lt;&gt;"Not Needed",Settings!$D$15="Yes"),", "&amp;H$1,"")&amp;IF(AND(I299&lt;&gt;"Accepted",I299&lt;&gt;"Not Needed",Settings!$E$15="Yes"),", "&amp;I$1,"")&amp;IF(AND(J299&lt;&gt;"Accepted",J299&lt;&gt;"Not Needed",Settings!$F$15="Yes"),", "&amp;J$1,"")&amp;IF(AND(K299&lt;&gt;"Accepted",K299&lt;&gt;"Not Needed",Settings!$G$15="Yes"),", "&amp;K$1,"")&amp;IF(AND(L299&lt;&gt;"Accepted",L299&lt;&gt;"Not Needed",Settings!$H$15="Yes"),", "&amp;L$1,"")&amp;IF(AND(M299&lt;&gt;"Accepted",M299&lt;&gt;"Not Needed",Settings!$I$15="Yes"),", "&amp;M$1,"")&amp;IF(AND(N299&lt;&gt;"Accepted",N299&lt;&gt;"Not Needed",Settings!$J$15="Yes"),", "&amp;N$1,""),3,400))))</f>
        <v/>
      </c>
    </row>
    <row r="300" ht="15" customHeight="1" s="21">
      <c r="A300" s="31" t="n"/>
      <c r="B300" s="31" t="n"/>
      <c r="C300" s="31" t="n"/>
      <c r="D300" s="31" t="n"/>
      <c r="E300" s="31" t="n"/>
      <c r="F300" s="31" t="n"/>
      <c r="G300" s="31" t="n"/>
      <c r="H300" s="31" t="n"/>
      <c r="I300" s="31" t="n"/>
      <c r="J300" s="31" t="n"/>
      <c r="K300" s="31" t="n"/>
      <c r="L300" s="31" t="n"/>
      <c r="M300" s="31" t="n"/>
      <c r="N300" s="31" t="n"/>
      <c r="O300" s="32">
        <f>IF($B300="","",COUNTIF(G300:N300,"Accepted")+COUNTIF(G300:N300,"Received")+COUNTIF(G300:N300,"Needs Correction"))</f>
        <v/>
      </c>
      <c r="P300" s="32">
        <f>IF($B300="","",SUMPRODUCT(((G300:N300="Accepted")+(G300:N300="Not Needed"))*(Settings!$C$11:$J$11="Yes")))</f>
        <v/>
      </c>
      <c r="Q300" s="32">
        <f>IF($B300="","",SUMPRODUCT(((G300:N300="Accepted")+(G300:N300="Not Needed"))*(Settings!$C$15:$J$15="Yes")))</f>
        <v/>
      </c>
      <c r="R300" s="33">
        <f>IF($B300="","",IF($D300="No","No PTO/PTA",IF($D300&lt;&gt;"Yes","Not Yet Confirmed",IF($Q300&gt;=Settings!$C$13,"Legalized",IF($P300&gt;=Settings!$C$12,"Registered",IF($O300&gt;0,"In Progress","Not Started"))))))</f>
        <v/>
      </c>
      <c r="S300" s="32">
        <f>IF($B300="","",COUNTIF(G300:N300,"Received"))</f>
        <v/>
      </c>
      <c r="T300" s="32">
        <f>IF($B300="","",COUNTIF(G300:N300,"Needs Correction"))</f>
        <v/>
      </c>
      <c r="U300" s="33">
        <f>IF($B300="","",IF($D300&lt;&gt;"Yes","",IF($Q300&gt;=Settings!$C$13,"None",MID(IF(AND(G300&lt;&gt;"Accepted",G300&lt;&gt;"Not Needed",Settings!$C$15="Yes"),", "&amp;G$1,"")&amp;IF(AND(H300&lt;&gt;"Accepted",H300&lt;&gt;"Not Needed",Settings!$D$15="Yes"),", "&amp;H$1,"")&amp;IF(AND(I300&lt;&gt;"Accepted",I300&lt;&gt;"Not Needed",Settings!$E$15="Yes"),", "&amp;I$1,"")&amp;IF(AND(J300&lt;&gt;"Accepted",J300&lt;&gt;"Not Needed",Settings!$F$15="Yes"),", "&amp;J$1,"")&amp;IF(AND(K300&lt;&gt;"Accepted",K300&lt;&gt;"Not Needed",Settings!$G$15="Yes"),", "&amp;K$1,"")&amp;IF(AND(L300&lt;&gt;"Accepted",L300&lt;&gt;"Not Needed",Settings!$H$15="Yes"),", "&amp;L$1,"")&amp;IF(AND(M300&lt;&gt;"Accepted",M300&lt;&gt;"Not Needed",Settings!$I$15="Yes"),", "&amp;M$1,"")&amp;IF(AND(N300&lt;&gt;"Accepted",N300&lt;&gt;"Not Needed",Settings!$J$15="Yes"),", "&amp;N$1,""),3,400))))</f>
        <v/>
      </c>
    </row>
    <row r="301" ht="15" customHeight="1" s="21">
      <c r="A301" s="31" t="n"/>
      <c r="B301" s="31" t="n"/>
      <c r="C301" s="31" t="n"/>
      <c r="D301" s="31" t="n"/>
      <c r="E301" s="31" t="n"/>
      <c r="F301" s="31" t="n"/>
      <c r="G301" s="31" t="n"/>
      <c r="H301" s="31" t="n"/>
      <c r="I301" s="31" t="n"/>
      <c r="J301" s="31" t="n"/>
      <c r="K301" s="31" t="n"/>
      <c r="L301" s="31" t="n"/>
      <c r="M301" s="31" t="n"/>
      <c r="N301" s="31" t="n"/>
      <c r="O301" s="32">
        <f>IF($B301="","",COUNTIF(G301:N301,"Accepted")+COUNTIF(G301:N301,"Received")+COUNTIF(G301:N301,"Needs Correction"))</f>
        <v/>
      </c>
      <c r="P301" s="32">
        <f>IF($B301="","",SUMPRODUCT(((G301:N301="Accepted")+(G301:N301="Not Needed"))*(Settings!$C$11:$J$11="Yes")))</f>
        <v/>
      </c>
      <c r="Q301" s="32">
        <f>IF($B301="","",SUMPRODUCT(((G301:N301="Accepted")+(G301:N301="Not Needed"))*(Settings!$C$15:$J$15="Yes")))</f>
        <v/>
      </c>
      <c r="R301" s="33">
        <f>IF($B301="","",IF($D301="No","No PTO/PTA",IF($D301&lt;&gt;"Yes","Not Yet Confirmed",IF($Q301&gt;=Settings!$C$13,"Legalized",IF($P301&gt;=Settings!$C$12,"Registered",IF($O301&gt;0,"In Progress","Not Started"))))))</f>
        <v/>
      </c>
      <c r="S301" s="32">
        <f>IF($B301="","",COUNTIF(G301:N301,"Received"))</f>
        <v/>
      </c>
      <c r="T301" s="32">
        <f>IF($B301="","",COUNTIF(G301:N301,"Needs Correction"))</f>
        <v/>
      </c>
      <c r="U301" s="33">
        <f>IF($B301="","",IF($D301&lt;&gt;"Yes","",IF($Q301&gt;=Settings!$C$13,"None",MID(IF(AND(G301&lt;&gt;"Accepted",G301&lt;&gt;"Not Needed",Settings!$C$15="Yes"),", "&amp;G$1,"")&amp;IF(AND(H301&lt;&gt;"Accepted",H301&lt;&gt;"Not Needed",Settings!$D$15="Yes"),", "&amp;H$1,"")&amp;IF(AND(I301&lt;&gt;"Accepted",I301&lt;&gt;"Not Needed",Settings!$E$15="Yes"),", "&amp;I$1,"")&amp;IF(AND(J301&lt;&gt;"Accepted",J301&lt;&gt;"Not Needed",Settings!$F$15="Yes"),", "&amp;J$1,"")&amp;IF(AND(K301&lt;&gt;"Accepted",K301&lt;&gt;"Not Needed",Settings!$G$15="Yes"),", "&amp;K$1,"")&amp;IF(AND(L301&lt;&gt;"Accepted",L301&lt;&gt;"Not Needed",Settings!$H$15="Yes"),", "&amp;L$1,"")&amp;IF(AND(M301&lt;&gt;"Accepted",M301&lt;&gt;"Not Needed",Settings!$I$15="Yes"),", "&amp;M$1,"")&amp;IF(AND(N301&lt;&gt;"Accepted",N301&lt;&gt;"Not Needed",Settings!$J$15="Yes"),", "&amp;N$1,""),3,400))))</f>
        <v/>
      </c>
    </row>
    <row r="302" ht="15" customHeight="1" s="21">
      <c r="A302" s="31" t="n"/>
      <c r="B302" s="31" t="n"/>
      <c r="C302" s="31" t="n"/>
      <c r="D302" s="31" t="n"/>
      <c r="E302" s="31" t="n"/>
      <c r="F302" s="31" t="n"/>
      <c r="G302" s="31" t="n"/>
      <c r="H302" s="31" t="n"/>
      <c r="I302" s="31" t="n"/>
      <c r="J302" s="31" t="n"/>
      <c r="K302" s="31" t="n"/>
      <c r="L302" s="31" t="n"/>
      <c r="M302" s="31" t="n"/>
      <c r="N302" s="31" t="n"/>
      <c r="O302" s="32">
        <f>IF($B302="","",COUNTIF(G302:N302,"Accepted")+COUNTIF(G302:N302,"Received")+COUNTIF(G302:N302,"Needs Correction"))</f>
        <v/>
      </c>
      <c r="P302" s="32">
        <f>IF($B302="","",SUMPRODUCT(((G302:N302="Accepted")+(G302:N302="Not Needed"))*(Settings!$C$11:$J$11="Yes")))</f>
        <v/>
      </c>
      <c r="Q302" s="32">
        <f>IF($B302="","",SUMPRODUCT(((G302:N302="Accepted")+(G302:N302="Not Needed"))*(Settings!$C$15:$J$15="Yes")))</f>
        <v/>
      </c>
      <c r="R302" s="33">
        <f>IF($B302="","",IF($D302="No","No PTO/PTA",IF($D302&lt;&gt;"Yes","Not Yet Confirmed",IF($Q302&gt;=Settings!$C$13,"Legalized",IF($P302&gt;=Settings!$C$12,"Registered",IF($O302&gt;0,"In Progress","Not Started"))))))</f>
        <v/>
      </c>
      <c r="S302" s="32">
        <f>IF($B302="","",COUNTIF(G302:N302,"Received"))</f>
        <v/>
      </c>
      <c r="T302" s="32">
        <f>IF($B302="","",COUNTIF(G302:N302,"Needs Correction"))</f>
        <v/>
      </c>
      <c r="U302" s="33">
        <f>IF($B302="","",IF($D302&lt;&gt;"Yes","",IF($Q302&gt;=Settings!$C$13,"None",MID(IF(AND(G302&lt;&gt;"Accepted",G302&lt;&gt;"Not Needed",Settings!$C$15="Yes"),", "&amp;G$1,"")&amp;IF(AND(H302&lt;&gt;"Accepted",H302&lt;&gt;"Not Needed",Settings!$D$15="Yes"),", "&amp;H$1,"")&amp;IF(AND(I302&lt;&gt;"Accepted",I302&lt;&gt;"Not Needed",Settings!$E$15="Yes"),", "&amp;I$1,"")&amp;IF(AND(J302&lt;&gt;"Accepted",J302&lt;&gt;"Not Needed",Settings!$F$15="Yes"),", "&amp;J$1,"")&amp;IF(AND(K302&lt;&gt;"Accepted",K302&lt;&gt;"Not Needed",Settings!$G$15="Yes"),", "&amp;K$1,"")&amp;IF(AND(L302&lt;&gt;"Accepted",L302&lt;&gt;"Not Needed",Settings!$H$15="Yes"),", "&amp;L$1,"")&amp;IF(AND(M302&lt;&gt;"Accepted",M302&lt;&gt;"Not Needed",Settings!$I$15="Yes"),", "&amp;M$1,"")&amp;IF(AND(N302&lt;&gt;"Accepted",N302&lt;&gt;"Not Needed",Settings!$J$15="Yes"),", "&amp;N$1,""),3,400))))</f>
        <v/>
      </c>
    </row>
    <row r="303" ht="15" customHeight="1" s="21">
      <c r="A303" s="31" t="n"/>
      <c r="B303" s="31" t="n"/>
      <c r="C303" s="31" t="n"/>
      <c r="D303" s="31" t="n"/>
      <c r="E303" s="31" t="n"/>
      <c r="F303" s="31" t="n"/>
      <c r="G303" s="31" t="n"/>
      <c r="H303" s="31" t="n"/>
      <c r="I303" s="31" t="n"/>
      <c r="J303" s="31" t="n"/>
      <c r="K303" s="31" t="n"/>
      <c r="L303" s="31" t="n"/>
      <c r="M303" s="31" t="n"/>
      <c r="N303" s="31" t="n"/>
      <c r="O303" s="32">
        <f>IF($B303="","",COUNTIF(G303:N303,"Accepted")+COUNTIF(G303:N303,"Received")+COUNTIF(G303:N303,"Needs Correction"))</f>
        <v/>
      </c>
      <c r="P303" s="32">
        <f>IF($B303="","",SUMPRODUCT(((G303:N303="Accepted")+(G303:N303="Not Needed"))*(Settings!$C$11:$J$11="Yes")))</f>
        <v/>
      </c>
      <c r="Q303" s="32">
        <f>IF($B303="","",SUMPRODUCT(((G303:N303="Accepted")+(G303:N303="Not Needed"))*(Settings!$C$15:$J$15="Yes")))</f>
        <v/>
      </c>
      <c r="R303" s="33">
        <f>IF($B303="","",IF($D303="No","No PTO/PTA",IF($D303&lt;&gt;"Yes","Not Yet Confirmed",IF($Q303&gt;=Settings!$C$13,"Legalized",IF($P303&gt;=Settings!$C$12,"Registered",IF($O303&gt;0,"In Progress","Not Started"))))))</f>
        <v/>
      </c>
      <c r="S303" s="32">
        <f>IF($B303="","",COUNTIF(G303:N303,"Received"))</f>
        <v/>
      </c>
      <c r="T303" s="32">
        <f>IF($B303="","",COUNTIF(G303:N303,"Needs Correction"))</f>
        <v/>
      </c>
      <c r="U303" s="33">
        <f>IF($B303="","",IF($D303&lt;&gt;"Yes","",IF($Q303&gt;=Settings!$C$13,"None",MID(IF(AND(G303&lt;&gt;"Accepted",G303&lt;&gt;"Not Needed",Settings!$C$15="Yes"),", "&amp;G$1,"")&amp;IF(AND(H303&lt;&gt;"Accepted",H303&lt;&gt;"Not Needed",Settings!$D$15="Yes"),", "&amp;H$1,"")&amp;IF(AND(I303&lt;&gt;"Accepted",I303&lt;&gt;"Not Needed",Settings!$E$15="Yes"),", "&amp;I$1,"")&amp;IF(AND(J303&lt;&gt;"Accepted",J303&lt;&gt;"Not Needed",Settings!$F$15="Yes"),", "&amp;J$1,"")&amp;IF(AND(K303&lt;&gt;"Accepted",K303&lt;&gt;"Not Needed",Settings!$G$15="Yes"),", "&amp;K$1,"")&amp;IF(AND(L303&lt;&gt;"Accepted",L303&lt;&gt;"Not Needed",Settings!$H$15="Yes"),", "&amp;L$1,"")&amp;IF(AND(M303&lt;&gt;"Accepted",M303&lt;&gt;"Not Needed",Settings!$I$15="Yes"),", "&amp;M$1,"")&amp;IF(AND(N303&lt;&gt;"Accepted",N303&lt;&gt;"Not Needed",Settings!$J$15="Yes"),", "&amp;N$1,""),3,400))))</f>
        <v/>
      </c>
    </row>
    <row r="304" ht="15" customHeight="1" s="21">
      <c r="A304" s="31" t="n"/>
      <c r="B304" s="31" t="n"/>
      <c r="C304" s="31" t="n"/>
      <c r="D304" s="31" t="n"/>
      <c r="E304" s="31" t="n"/>
      <c r="F304" s="31" t="n"/>
      <c r="G304" s="31" t="n"/>
      <c r="H304" s="31" t="n"/>
      <c r="I304" s="31" t="n"/>
      <c r="J304" s="31" t="n"/>
      <c r="K304" s="31" t="n"/>
      <c r="L304" s="31" t="n"/>
      <c r="M304" s="31" t="n"/>
      <c r="N304" s="31" t="n"/>
      <c r="O304" s="32">
        <f>IF($B304="","",COUNTIF(G304:N304,"Accepted")+COUNTIF(G304:N304,"Received")+COUNTIF(G304:N304,"Needs Correction"))</f>
        <v/>
      </c>
      <c r="P304" s="32">
        <f>IF($B304="","",SUMPRODUCT(((G304:N304="Accepted")+(G304:N304="Not Needed"))*(Settings!$C$11:$J$11="Yes")))</f>
        <v/>
      </c>
      <c r="Q304" s="32">
        <f>IF($B304="","",SUMPRODUCT(((G304:N304="Accepted")+(G304:N304="Not Needed"))*(Settings!$C$15:$J$15="Yes")))</f>
        <v/>
      </c>
      <c r="R304" s="33">
        <f>IF($B304="","",IF($D304="No","No PTO/PTA",IF($D304&lt;&gt;"Yes","Not Yet Confirmed",IF($Q304&gt;=Settings!$C$13,"Legalized",IF($P304&gt;=Settings!$C$12,"Registered",IF($O304&gt;0,"In Progress","Not Started"))))))</f>
        <v/>
      </c>
      <c r="S304" s="32">
        <f>IF($B304="","",COUNTIF(G304:N304,"Received"))</f>
        <v/>
      </c>
      <c r="T304" s="32">
        <f>IF($B304="","",COUNTIF(G304:N304,"Needs Correction"))</f>
        <v/>
      </c>
      <c r="U304" s="33">
        <f>IF($B304="","",IF($D304&lt;&gt;"Yes","",IF($Q304&gt;=Settings!$C$13,"None",MID(IF(AND(G304&lt;&gt;"Accepted",G304&lt;&gt;"Not Needed",Settings!$C$15="Yes"),", "&amp;G$1,"")&amp;IF(AND(H304&lt;&gt;"Accepted",H304&lt;&gt;"Not Needed",Settings!$D$15="Yes"),", "&amp;H$1,"")&amp;IF(AND(I304&lt;&gt;"Accepted",I304&lt;&gt;"Not Needed",Settings!$E$15="Yes"),", "&amp;I$1,"")&amp;IF(AND(J304&lt;&gt;"Accepted",J304&lt;&gt;"Not Needed",Settings!$F$15="Yes"),", "&amp;J$1,"")&amp;IF(AND(K304&lt;&gt;"Accepted",K304&lt;&gt;"Not Needed",Settings!$G$15="Yes"),", "&amp;K$1,"")&amp;IF(AND(L304&lt;&gt;"Accepted",L304&lt;&gt;"Not Needed",Settings!$H$15="Yes"),", "&amp;L$1,"")&amp;IF(AND(M304&lt;&gt;"Accepted",M304&lt;&gt;"Not Needed",Settings!$I$15="Yes"),", "&amp;M$1,"")&amp;IF(AND(N304&lt;&gt;"Accepted",N304&lt;&gt;"Not Needed",Settings!$J$15="Yes"),", "&amp;N$1,""),3,400))))</f>
        <v/>
      </c>
    </row>
    <row r="305" ht="15" customHeight="1" s="21">
      <c r="A305" s="31" t="n"/>
      <c r="B305" s="31" t="n"/>
      <c r="C305" s="31" t="n"/>
      <c r="D305" s="31" t="n"/>
      <c r="E305" s="31" t="n"/>
      <c r="F305" s="31" t="n"/>
      <c r="G305" s="31" t="n"/>
      <c r="H305" s="31" t="n"/>
      <c r="I305" s="31" t="n"/>
      <c r="J305" s="31" t="n"/>
      <c r="K305" s="31" t="n"/>
      <c r="L305" s="31" t="n"/>
      <c r="M305" s="31" t="n"/>
      <c r="N305" s="31" t="n"/>
      <c r="O305" s="32">
        <f>IF($B305="","",COUNTIF(G305:N305,"Accepted")+COUNTIF(G305:N305,"Received")+COUNTIF(G305:N305,"Needs Correction"))</f>
        <v/>
      </c>
      <c r="P305" s="32">
        <f>IF($B305="","",SUMPRODUCT(((G305:N305="Accepted")+(G305:N305="Not Needed"))*(Settings!$C$11:$J$11="Yes")))</f>
        <v/>
      </c>
      <c r="Q305" s="32">
        <f>IF($B305="","",SUMPRODUCT(((G305:N305="Accepted")+(G305:N305="Not Needed"))*(Settings!$C$15:$J$15="Yes")))</f>
        <v/>
      </c>
      <c r="R305" s="33">
        <f>IF($B305="","",IF($D305="No","No PTO/PTA",IF($D305&lt;&gt;"Yes","Not Yet Confirmed",IF($Q305&gt;=Settings!$C$13,"Legalized",IF($P305&gt;=Settings!$C$12,"Registered",IF($O305&gt;0,"In Progress","Not Started"))))))</f>
        <v/>
      </c>
      <c r="S305" s="32">
        <f>IF($B305="","",COUNTIF(G305:N305,"Received"))</f>
        <v/>
      </c>
      <c r="T305" s="32">
        <f>IF($B305="","",COUNTIF(G305:N305,"Needs Correction"))</f>
        <v/>
      </c>
      <c r="U305" s="33">
        <f>IF($B305="","",IF($D305&lt;&gt;"Yes","",IF($Q305&gt;=Settings!$C$13,"None",MID(IF(AND(G305&lt;&gt;"Accepted",G305&lt;&gt;"Not Needed",Settings!$C$15="Yes"),", "&amp;G$1,"")&amp;IF(AND(H305&lt;&gt;"Accepted",H305&lt;&gt;"Not Needed",Settings!$D$15="Yes"),", "&amp;H$1,"")&amp;IF(AND(I305&lt;&gt;"Accepted",I305&lt;&gt;"Not Needed",Settings!$E$15="Yes"),", "&amp;I$1,"")&amp;IF(AND(J305&lt;&gt;"Accepted",J305&lt;&gt;"Not Needed",Settings!$F$15="Yes"),", "&amp;J$1,"")&amp;IF(AND(K305&lt;&gt;"Accepted",K305&lt;&gt;"Not Needed",Settings!$G$15="Yes"),", "&amp;K$1,"")&amp;IF(AND(L305&lt;&gt;"Accepted",L305&lt;&gt;"Not Needed",Settings!$H$15="Yes"),", "&amp;L$1,"")&amp;IF(AND(M305&lt;&gt;"Accepted",M305&lt;&gt;"Not Needed",Settings!$I$15="Yes"),", "&amp;M$1,"")&amp;IF(AND(N305&lt;&gt;"Accepted",N305&lt;&gt;"Not Needed",Settings!$J$15="Yes"),", "&amp;N$1,""),3,400))))</f>
        <v/>
      </c>
    </row>
    <row r="306" ht="15" customHeight="1" s="21">
      <c r="A306" s="31" t="n"/>
      <c r="B306" s="31" t="n"/>
      <c r="C306" s="31" t="n"/>
      <c r="D306" s="31" t="n"/>
      <c r="E306" s="31" t="n"/>
      <c r="F306" s="31" t="n"/>
      <c r="G306" s="31" t="n"/>
      <c r="H306" s="31" t="n"/>
      <c r="I306" s="31" t="n"/>
      <c r="J306" s="31" t="n"/>
      <c r="K306" s="31" t="n"/>
      <c r="L306" s="31" t="n"/>
      <c r="M306" s="31" t="n"/>
      <c r="N306" s="31" t="n"/>
      <c r="O306" s="32">
        <f>IF($B306="","",COUNTIF(G306:N306,"Accepted")+COUNTIF(G306:N306,"Received")+COUNTIF(G306:N306,"Needs Correction"))</f>
        <v/>
      </c>
      <c r="P306" s="32">
        <f>IF($B306="","",SUMPRODUCT(((G306:N306="Accepted")+(G306:N306="Not Needed"))*(Settings!$C$11:$J$11="Yes")))</f>
        <v/>
      </c>
      <c r="Q306" s="32">
        <f>IF($B306="","",SUMPRODUCT(((G306:N306="Accepted")+(G306:N306="Not Needed"))*(Settings!$C$15:$J$15="Yes")))</f>
        <v/>
      </c>
      <c r="R306" s="33">
        <f>IF($B306="","",IF($D306="No","No PTO/PTA",IF($D306&lt;&gt;"Yes","Not Yet Confirmed",IF($Q306&gt;=Settings!$C$13,"Legalized",IF($P306&gt;=Settings!$C$12,"Registered",IF($O306&gt;0,"In Progress","Not Started"))))))</f>
        <v/>
      </c>
      <c r="S306" s="32">
        <f>IF($B306="","",COUNTIF(G306:N306,"Received"))</f>
        <v/>
      </c>
      <c r="T306" s="32">
        <f>IF($B306="","",COUNTIF(G306:N306,"Needs Correction"))</f>
        <v/>
      </c>
      <c r="U306" s="33">
        <f>IF($B306="","",IF($D306&lt;&gt;"Yes","",IF($Q306&gt;=Settings!$C$13,"None",MID(IF(AND(G306&lt;&gt;"Accepted",G306&lt;&gt;"Not Needed",Settings!$C$15="Yes"),", "&amp;G$1,"")&amp;IF(AND(H306&lt;&gt;"Accepted",H306&lt;&gt;"Not Needed",Settings!$D$15="Yes"),", "&amp;H$1,"")&amp;IF(AND(I306&lt;&gt;"Accepted",I306&lt;&gt;"Not Needed",Settings!$E$15="Yes"),", "&amp;I$1,"")&amp;IF(AND(J306&lt;&gt;"Accepted",J306&lt;&gt;"Not Needed",Settings!$F$15="Yes"),", "&amp;J$1,"")&amp;IF(AND(K306&lt;&gt;"Accepted",K306&lt;&gt;"Not Needed",Settings!$G$15="Yes"),", "&amp;K$1,"")&amp;IF(AND(L306&lt;&gt;"Accepted",L306&lt;&gt;"Not Needed",Settings!$H$15="Yes"),", "&amp;L$1,"")&amp;IF(AND(M306&lt;&gt;"Accepted",M306&lt;&gt;"Not Needed",Settings!$I$15="Yes"),", "&amp;M$1,"")&amp;IF(AND(N306&lt;&gt;"Accepted",N306&lt;&gt;"Not Needed",Settings!$J$15="Yes"),", "&amp;N$1,""),3,400))))</f>
        <v/>
      </c>
    </row>
    <row r="307" ht="15" customHeight="1" s="21">
      <c r="A307" s="31" t="n"/>
      <c r="B307" s="31" t="n"/>
      <c r="C307" s="31" t="n"/>
      <c r="D307" s="31" t="n"/>
      <c r="E307" s="31" t="n"/>
      <c r="F307" s="31" t="n"/>
      <c r="G307" s="31" t="n"/>
      <c r="H307" s="31" t="n"/>
      <c r="I307" s="31" t="n"/>
      <c r="J307" s="31" t="n"/>
      <c r="K307" s="31" t="n"/>
      <c r="L307" s="31" t="n"/>
      <c r="M307" s="31" t="n"/>
      <c r="N307" s="31" t="n"/>
      <c r="O307" s="32">
        <f>IF($B307="","",COUNTIF(G307:N307,"Accepted")+COUNTIF(G307:N307,"Received")+COUNTIF(G307:N307,"Needs Correction"))</f>
        <v/>
      </c>
      <c r="P307" s="32">
        <f>IF($B307="","",SUMPRODUCT(((G307:N307="Accepted")+(G307:N307="Not Needed"))*(Settings!$C$11:$J$11="Yes")))</f>
        <v/>
      </c>
      <c r="Q307" s="32">
        <f>IF($B307="","",SUMPRODUCT(((G307:N307="Accepted")+(G307:N307="Not Needed"))*(Settings!$C$15:$J$15="Yes")))</f>
        <v/>
      </c>
      <c r="R307" s="33">
        <f>IF($B307="","",IF($D307="No","No PTO/PTA",IF($D307&lt;&gt;"Yes","Not Yet Confirmed",IF($Q307&gt;=Settings!$C$13,"Legalized",IF($P307&gt;=Settings!$C$12,"Registered",IF($O307&gt;0,"In Progress","Not Started"))))))</f>
        <v/>
      </c>
      <c r="S307" s="32">
        <f>IF($B307="","",COUNTIF(G307:N307,"Received"))</f>
        <v/>
      </c>
      <c r="T307" s="32">
        <f>IF($B307="","",COUNTIF(G307:N307,"Needs Correction"))</f>
        <v/>
      </c>
      <c r="U307" s="33">
        <f>IF($B307="","",IF($D307&lt;&gt;"Yes","",IF($Q307&gt;=Settings!$C$13,"None",MID(IF(AND(G307&lt;&gt;"Accepted",G307&lt;&gt;"Not Needed",Settings!$C$15="Yes"),", "&amp;G$1,"")&amp;IF(AND(H307&lt;&gt;"Accepted",H307&lt;&gt;"Not Needed",Settings!$D$15="Yes"),", "&amp;H$1,"")&amp;IF(AND(I307&lt;&gt;"Accepted",I307&lt;&gt;"Not Needed",Settings!$E$15="Yes"),", "&amp;I$1,"")&amp;IF(AND(J307&lt;&gt;"Accepted",J307&lt;&gt;"Not Needed",Settings!$F$15="Yes"),", "&amp;J$1,"")&amp;IF(AND(K307&lt;&gt;"Accepted",K307&lt;&gt;"Not Needed",Settings!$G$15="Yes"),", "&amp;K$1,"")&amp;IF(AND(L307&lt;&gt;"Accepted",L307&lt;&gt;"Not Needed",Settings!$H$15="Yes"),", "&amp;L$1,"")&amp;IF(AND(M307&lt;&gt;"Accepted",M307&lt;&gt;"Not Needed",Settings!$I$15="Yes"),", "&amp;M$1,"")&amp;IF(AND(N307&lt;&gt;"Accepted",N307&lt;&gt;"Not Needed",Settings!$J$15="Yes"),", "&amp;N$1,""),3,400))))</f>
        <v/>
      </c>
    </row>
    <row r="308" ht="15" customHeight="1" s="21">
      <c r="A308" s="31" t="n"/>
      <c r="B308" s="31" t="n"/>
      <c r="C308" s="31" t="n"/>
      <c r="D308" s="31" t="n"/>
      <c r="E308" s="31" t="n"/>
      <c r="F308" s="31" t="n"/>
      <c r="G308" s="31" t="n"/>
      <c r="H308" s="31" t="n"/>
      <c r="I308" s="31" t="n"/>
      <c r="J308" s="31" t="n"/>
      <c r="K308" s="31" t="n"/>
      <c r="L308" s="31" t="n"/>
      <c r="M308" s="31" t="n"/>
      <c r="N308" s="31" t="n"/>
      <c r="O308" s="32">
        <f>IF($B308="","",COUNTIF(G308:N308,"Accepted")+COUNTIF(G308:N308,"Received")+COUNTIF(G308:N308,"Needs Correction"))</f>
        <v/>
      </c>
      <c r="P308" s="32">
        <f>IF($B308="","",SUMPRODUCT(((G308:N308="Accepted")+(G308:N308="Not Needed"))*(Settings!$C$11:$J$11="Yes")))</f>
        <v/>
      </c>
      <c r="Q308" s="32">
        <f>IF($B308="","",SUMPRODUCT(((G308:N308="Accepted")+(G308:N308="Not Needed"))*(Settings!$C$15:$J$15="Yes")))</f>
        <v/>
      </c>
      <c r="R308" s="33">
        <f>IF($B308="","",IF($D308="No","No PTO/PTA",IF($D308&lt;&gt;"Yes","Not Yet Confirmed",IF($Q308&gt;=Settings!$C$13,"Legalized",IF($P308&gt;=Settings!$C$12,"Registered",IF($O308&gt;0,"In Progress","Not Started"))))))</f>
        <v/>
      </c>
      <c r="S308" s="32">
        <f>IF($B308="","",COUNTIF(G308:N308,"Received"))</f>
        <v/>
      </c>
      <c r="T308" s="32">
        <f>IF($B308="","",COUNTIF(G308:N308,"Needs Correction"))</f>
        <v/>
      </c>
      <c r="U308" s="33">
        <f>IF($B308="","",IF($D308&lt;&gt;"Yes","",IF($Q308&gt;=Settings!$C$13,"None",MID(IF(AND(G308&lt;&gt;"Accepted",G308&lt;&gt;"Not Needed",Settings!$C$15="Yes"),", "&amp;G$1,"")&amp;IF(AND(H308&lt;&gt;"Accepted",H308&lt;&gt;"Not Needed",Settings!$D$15="Yes"),", "&amp;H$1,"")&amp;IF(AND(I308&lt;&gt;"Accepted",I308&lt;&gt;"Not Needed",Settings!$E$15="Yes"),", "&amp;I$1,"")&amp;IF(AND(J308&lt;&gt;"Accepted",J308&lt;&gt;"Not Needed",Settings!$F$15="Yes"),", "&amp;J$1,"")&amp;IF(AND(K308&lt;&gt;"Accepted",K308&lt;&gt;"Not Needed",Settings!$G$15="Yes"),", "&amp;K$1,"")&amp;IF(AND(L308&lt;&gt;"Accepted",L308&lt;&gt;"Not Needed",Settings!$H$15="Yes"),", "&amp;L$1,"")&amp;IF(AND(M308&lt;&gt;"Accepted",M308&lt;&gt;"Not Needed",Settings!$I$15="Yes"),", "&amp;M$1,"")&amp;IF(AND(N308&lt;&gt;"Accepted",N308&lt;&gt;"Not Needed",Settings!$J$15="Yes"),", "&amp;N$1,""),3,400))))</f>
        <v/>
      </c>
    </row>
    <row r="309" ht="15" customHeight="1" s="21">
      <c r="A309" s="31" t="n"/>
      <c r="B309" s="31" t="n"/>
      <c r="C309" s="31" t="n"/>
      <c r="D309" s="31" t="n"/>
      <c r="E309" s="31" t="n"/>
      <c r="F309" s="31" t="n"/>
      <c r="G309" s="31" t="n"/>
      <c r="H309" s="31" t="n"/>
      <c r="I309" s="31" t="n"/>
      <c r="J309" s="31" t="n"/>
      <c r="K309" s="31" t="n"/>
      <c r="L309" s="31" t="n"/>
      <c r="M309" s="31" t="n"/>
      <c r="N309" s="31" t="n"/>
      <c r="O309" s="32">
        <f>IF($B309="","",COUNTIF(G309:N309,"Accepted")+COUNTIF(G309:N309,"Received")+COUNTIF(G309:N309,"Needs Correction"))</f>
        <v/>
      </c>
      <c r="P309" s="32">
        <f>IF($B309="","",SUMPRODUCT(((G309:N309="Accepted")+(G309:N309="Not Needed"))*(Settings!$C$11:$J$11="Yes")))</f>
        <v/>
      </c>
      <c r="Q309" s="32">
        <f>IF($B309="","",SUMPRODUCT(((G309:N309="Accepted")+(G309:N309="Not Needed"))*(Settings!$C$15:$J$15="Yes")))</f>
        <v/>
      </c>
      <c r="R309" s="33">
        <f>IF($B309="","",IF($D309="No","No PTO/PTA",IF($D309&lt;&gt;"Yes","Not Yet Confirmed",IF($Q309&gt;=Settings!$C$13,"Legalized",IF($P309&gt;=Settings!$C$12,"Registered",IF($O309&gt;0,"In Progress","Not Started"))))))</f>
        <v/>
      </c>
      <c r="S309" s="32">
        <f>IF($B309="","",COUNTIF(G309:N309,"Received"))</f>
        <v/>
      </c>
      <c r="T309" s="32">
        <f>IF($B309="","",COUNTIF(G309:N309,"Needs Correction"))</f>
        <v/>
      </c>
      <c r="U309" s="33">
        <f>IF($B309="","",IF($D309&lt;&gt;"Yes","",IF($Q309&gt;=Settings!$C$13,"None",MID(IF(AND(G309&lt;&gt;"Accepted",G309&lt;&gt;"Not Needed",Settings!$C$15="Yes"),", "&amp;G$1,"")&amp;IF(AND(H309&lt;&gt;"Accepted",H309&lt;&gt;"Not Needed",Settings!$D$15="Yes"),", "&amp;H$1,"")&amp;IF(AND(I309&lt;&gt;"Accepted",I309&lt;&gt;"Not Needed",Settings!$E$15="Yes"),", "&amp;I$1,"")&amp;IF(AND(J309&lt;&gt;"Accepted",J309&lt;&gt;"Not Needed",Settings!$F$15="Yes"),", "&amp;J$1,"")&amp;IF(AND(K309&lt;&gt;"Accepted",K309&lt;&gt;"Not Needed",Settings!$G$15="Yes"),", "&amp;K$1,"")&amp;IF(AND(L309&lt;&gt;"Accepted",L309&lt;&gt;"Not Needed",Settings!$H$15="Yes"),", "&amp;L$1,"")&amp;IF(AND(M309&lt;&gt;"Accepted",M309&lt;&gt;"Not Needed",Settings!$I$15="Yes"),", "&amp;M$1,"")&amp;IF(AND(N309&lt;&gt;"Accepted",N309&lt;&gt;"Not Needed",Settings!$J$15="Yes"),", "&amp;N$1,""),3,400))))</f>
        <v/>
      </c>
    </row>
    <row r="310" ht="15" customHeight="1" s="21">
      <c r="A310" s="31" t="n"/>
      <c r="B310" s="31" t="n"/>
      <c r="C310" s="31" t="n"/>
      <c r="D310" s="31" t="n"/>
      <c r="E310" s="31" t="n"/>
      <c r="F310" s="31" t="n"/>
      <c r="G310" s="31" t="n"/>
      <c r="H310" s="31" t="n"/>
      <c r="I310" s="31" t="n"/>
      <c r="J310" s="31" t="n"/>
      <c r="K310" s="31" t="n"/>
      <c r="L310" s="31" t="n"/>
      <c r="M310" s="31" t="n"/>
      <c r="N310" s="31" t="n"/>
      <c r="O310" s="32">
        <f>IF($B310="","",COUNTIF(G310:N310,"Accepted")+COUNTIF(G310:N310,"Received")+COUNTIF(G310:N310,"Needs Correction"))</f>
        <v/>
      </c>
      <c r="P310" s="32">
        <f>IF($B310="","",SUMPRODUCT(((G310:N310="Accepted")+(G310:N310="Not Needed"))*(Settings!$C$11:$J$11="Yes")))</f>
        <v/>
      </c>
      <c r="Q310" s="32">
        <f>IF($B310="","",SUMPRODUCT(((G310:N310="Accepted")+(G310:N310="Not Needed"))*(Settings!$C$15:$J$15="Yes")))</f>
        <v/>
      </c>
      <c r="R310" s="33">
        <f>IF($B310="","",IF($D310="No","No PTO/PTA",IF($D310&lt;&gt;"Yes","Not Yet Confirmed",IF($Q310&gt;=Settings!$C$13,"Legalized",IF($P310&gt;=Settings!$C$12,"Registered",IF($O310&gt;0,"In Progress","Not Started"))))))</f>
        <v/>
      </c>
      <c r="S310" s="32">
        <f>IF($B310="","",COUNTIF(G310:N310,"Received"))</f>
        <v/>
      </c>
      <c r="T310" s="32">
        <f>IF($B310="","",COUNTIF(G310:N310,"Needs Correction"))</f>
        <v/>
      </c>
      <c r="U310" s="33">
        <f>IF($B310="","",IF($D310&lt;&gt;"Yes","",IF($Q310&gt;=Settings!$C$13,"None",MID(IF(AND(G310&lt;&gt;"Accepted",G310&lt;&gt;"Not Needed",Settings!$C$15="Yes"),", "&amp;G$1,"")&amp;IF(AND(H310&lt;&gt;"Accepted",H310&lt;&gt;"Not Needed",Settings!$D$15="Yes"),", "&amp;H$1,"")&amp;IF(AND(I310&lt;&gt;"Accepted",I310&lt;&gt;"Not Needed",Settings!$E$15="Yes"),", "&amp;I$1,"")&amp;IF(AND(J310&lt;&gt;"Accepted",J310&lt;&gt;"Not Needed",Settings!$F$15="Yes"),", "&amp;J$1,"")&amp;IF(AND(K310&lt;&gt;"Accepted",K310&lt;&gt;"Not Needed",Settings!$G$15="Yes"),", "&amp;K$1,"")&amp;IF(AND(L310&lt;&gt;"Accepted",L310&lt;&gt;"Not Needed",Settings!$H$15="Yes"),", "&amp;L$1,"")&amp;IF(AND(M310&lt;&gt;"Accepted",M310&lt;&gt;"Not Needed",Settings!$I$15="Yes"),", "&amp;M$1,"")&amp;IF(AND(N310&lt;&gt;"Accepted",N310&lt;&gt;"Not Needed",Settings!$J$15="Yes"),", "&amp;N$1,""),3,400))))</f>
        <v/>
      </c>
    </row>
    <row r="311" ht="15" customHeight="1" s="21">
      <c r="A311" s="31" t="n"/>
      <c r="B311" s="31" t="n"/>
      <c r="C311" s="31" t="n"/>
      <c r="D311" s="31" t="n"/>
      <c r="E311" s="31" t="n"/>
      <c r="F311" s="31" t="n"/>
      <c r="G311" s="31" t="n"/>
      <c r="H311" s="31" t="n"/>
      <c r="I311" s="31" t="n"/>
      <c r="J311" s="31" t="n"/>
      <c r="K311" s="31" t="n"/>
      <c r="L311" s="31" t="n"/>
      <c r="M311" s="31" t="n"/>
      <c r="N311" s="31" t="n"/>
      <c r="O311" s="32">
        <f>IF($B311="","",COUNTIF(G311:N311,"Accepted")+COUNTIF(G311:N311,"Received")+COUNTIF(G311:N311,"Needs Correction"))</f>
        <v/>
      </c>
      <c r="P311" s="32">
        <f>IF($B311="","",SUMPRODUCT(((G311:N311="Accepted")+(G311:N311="Not Needed"))*(Settings!$C$11:$J$11="Yes")))</f>
        <v/>
      </c>
      <c r="Q311" s="32">
        <f>IF($B311="","",SUMPRODUCT(((G311:N311="Accepted")+(G311:N311="Not Needed"))*(Settings!$C$15:$J$15="Yes")))</f>
        <v/>
      </c>
      <c r="R311" s="33">
        <f>IF($B311="","",IF($D311="No","No PTO/PTA",IF($D311&lt;&gt;"Yes","Not Yet Confirmed",IF($Q311&gt;=Settings!$C$13,"Legalized",IF($P311&gt;=Settings!$C$12,"Registered",IF($O311&gt;0,"In Progress","Not Started"))))))</f>
        <v/>
      </c>
      <c r="S311" s="32">
        <f>IF($B311="","",COUNTIF(G311:N311,"Received"))</f>
        <v/>
      </c>
      <c r="T311" s="32">
        <f>IF($B311="","",COUNTIF(G311:N311,"Needs Correction"))</f>
        <v/>
      </c>
      <c r="U311" s="33">
        <f>IF($B311="","",IF($D311&lt;&gt;"Yes","",IF($Q311&gt;=Settings!$C$13,"None",MID(IF(AND(G311&lt;&gt;"Accepted",G311&lt;&gt;"Not Needed",Settings!$C$15="Yes"),", "&amp;G$1,"")&amp;IF(AND(H311&lt;&gt;"Accepted",H311&lt;&gt;"Not Needed",Settings!$D$15="Yes"),", "&amp;H$1,"")&amp;IF(AND(I311&lt;&gt;"Accepted",I311&lt;&gt;"Not Needed",Settings!$E$15="Yes"),", "&amp;I$1,"")&amp;IF(AND(J311&lt;&gt;"Accepted",J311&lt;&gt;"Not Needed",Settings!$F$15="Yes"),", "&amp;J$1,"")&amp;IF(AND(K311&lt;&gt;"Accepted",K311&lt;&gt;"Not Needed",Settings!$G$15="Yes"),", "&amp;K$1,"")&amp;IF(AND(L311&lt;&gt;"Accepted",L311&lt;&gt;"Not Needed",Settings!$H$15="Yes"),", "&amp;L$1,"")&amp;IF(AND(M311&lt;&gt;"Accepted",M311&lt;&gt;"Not Needed",Settings!$I$15="Yes"),", "&amp;M$1,"")&amp;IF(AND(N311&lt;&gt;"Accepted",N311&lt;&gt;"Not Needed",Settings!$J$15="Yes"),", "&amp;N$1,""),3,400))))</f>
        <v/>
      </c>
    </row>
    <row r="312" ht="15" customHeight="1" s="21">
      <c r="A312" s="31" t="n"/>
      <c r="B312" s="31" t="n"/>
      <c r="C312" s="31" t="n"/>
      <c r="D312" s="31" t="n"/>
      <c r="E312" s="31" t="n"/>
      <c r="F312" s="31" t="n"/>
      <c r="G312" s="31" t="n"/>
      <c r="H312" s="31" t="n"/>
      <c r="I312" s="31" t="n"/>
      <c r="J312" s="31" t="n"/>
      <c r="K312" s="31" t="n"/>
      <c r="L312" s="31" t="n"/>
      <c r="M312" s="31" t="n"/>
      <c r="N312" s="31" t="n"/>
      <c r="O312" s="32">
        <f>IF($B312="","",COUNTIF(G312:N312,"Accepted")+COUNTIF(G312:N312,"Received")+COUNTIF(G312:N312,"Needs Correction"))</f>
        <v/>
      </c>
      <c r="P312" s="32">
        <f>IF($B312="","",SUMPRODUCT(((G312:N312="Accepted")+(G312:N312="Not Needed"))*(Settings!$C$11:$J$11="Yes")))</f>
        <v/>
      </c>
      <c r="Q312" s="32">
        <f>IF($B312="","",SUMPRODUCT(((G312:N312="Accepted")+(G312:N312="Not Needed"))*(Settings!$C$15:$J$15="Yes")))</f>
        <v/>
      </c>
      <c r="R312" s="33">
        <f>IF($B312="","",IF($D312="No","No PTO/PTA",IF($D312&lt;&gt;"Yes","Not Yet Confirmed",IF($Q312&gt;=Settings!$C$13,"Legalized",IF($P312&gt;=Settings!$C$12,"Registered",IF($O312&gt;0,"In Progress","Not Started"))))))</f>
        <v/>
      </c>
      <c r="S312" s="32">
        <f>IF($B312="","",COUNTIF(G312:N312,"Received"))</f>
        <v/>
      </c>
      <c r="T312" s="32">
        <f>IF($B312="","",COUNTIF(G312:N312,"Needs Correction"))</f>
        <v/>
      </c>
      <c r="U312" s="33">
        <f>IF($B312="","",IF($D312&lt;&gt;"Yes","",IF($Q312&gt;=Settings!$C$13,"None",MID(IF(AND(G312&lt;&gt;"Accepted",G312&lt;&gt;"Not Needed",Settings!$C$15="Yes"),", "&amp;G$1,"")&amp;IF(AND(H312&lt;&gt;"Accepted",H312&lt;&gt;"Not Needed",Settings!$D$15="Yes"),", "&amp;H$1,"")&amp;IF(AND(I312&lt;&gt;"Accepted",I312&lt;&gt;"Not Needed",Settings!$E$15="Yes"),", "&amp;I$1,"")&amp;IF(AND(J312&lt;&gt;"Accepted",J312&lt;&gt;"Not Needed",Settings!$F$15="Yes"),", "&amp;J$1,"")&amp;IF(AND(K312&lt;&gt;"Accepted",K312&lt;&gt;"Not Needed",Settings!$G$15="Yes"),", "&amp;K$1,"")&amp;IF(AND(L312&lt;&gt;"Accepted",L312&lt;&gt;"Not Needed",Settings!$H$15="Yes"),", "&amp;L$1,"")&amp;IF(AND(M312&lt;&gt;"Accepted",M312&lt;&gt;"Not Needed",Settings!$I$15="Yes"),", "&amp;M$1,"")&amp;IF(AND(N312&lt;&gt;"Accepted",N312&lt;&gt;"Not Needed",Settings!$J$15="Yes"),", "&amp;N$1,""),3,400))))</f>
        <v/>
      </c>
    </row>
    <row r="313" ht="15" customHeight="1" s="21">
      <c r="A313" s="31" t="n"/>
      <c r="B313" s="31" t="n"/>
      <c r="C313" s="31" t="n"/>
      <c r="D313" s="31" t="n"/>
      <c r="E313" s="31" t="n"/>
      <c r="F313" s="31" t="n"/>
      <c r="G313" s="31" t="n"/>
      <c r="H313" s="31" t="n"/>
      <c r="I313" s="31" t="n"/>
      <c r="J313" s="31" t="n"/>
      <c r="K313" s="31" t="n"/>
      <c r="L313" s="31" t="n"/>
      <c r="M313" s="31" t="n"/>
      <c r="N313" s="31" t="n"/>
      <c r="O313" s="32">
        <f>IF($B313="","",COUNTIF(G313:N313,"Accepted")+COUNTIF(G313:N313,"Received")+COUNTIF(G313:N313,"Needs Correction"))</f>
        <v/>
      </c>
      <c r="P313" s="32">
        <f>IF($B313="","",SUMPRODUCT(((G313:N313="Accepted")+(G313:N313="Not Needed"))*(Settings!$C$11:$J$11="Yes")))</f>
        <v/>
      </c>
      <c r="Q313" s="32">
        <f>IF($B313="","",SUMPRODUCT(((G313:N313="Accepted")+(G313:N313="Not Needed"))*(Settings!$C$15:$J$15="Yes")))</f>
        <v/>
      </c>
      <c r="R313" s="33">
        <f>IF($B313="","",IF($D313="No","No PTO/PTA",IF($D313&lt;&gt;"Yes","Not Yet Confirmed",IF($Q313&gt;=Settings!$C$13,"Legalized",IF($P313&gt;=Settings!$C$12,"Registered",IF($O313&gt;0,"In Progress","Not Started"))))))</f>
        <v/>
      </c>
      <c r="S313" s="32">
        <f>IF($B313="","",COUNTIF(G313:N313,"Received"))</f>
        <v/>
      </c>
      <c r="T313" s="32">
        <f>IF($B313="","",COUNTIF(G313:N313,"Needs Correction"))</f>
        <v/>
      </c>
      <c r="U313" s="33">
        <f>IF($B313="","",IF($D313&lt;&gt;"Yes","",IF($Q313&gt;=Settings!$C$13,"None",MID(IF(AND(G313&lt;&gt;"Accepted",G313&lt;&gt;"Not Needed",Settings!$C$15="Yes"),", "&amp;G$1,"")&amp;IF(AND(H313&lt;&gt;"Accepted",H313&lt;&gt;"Not Needed",Settings!$D$15="Yes"),", "&amp;H$1,"")&amp;IF(AND(I313&lt;&gt;"Accepted",I313&lt;&gt;"Not Needed",Settings!$E$15="Yes"),", "&amp;I$1,"")&amp;IF(AND(J313&lt;&gt;"Accepted",J313&lt;&gt;"Not Needed",Settings!$F$15="Yes"),", "&amp;J$1,"")&amp;IF(AND(K313&lt;&gt;"Accepted",K313&lt;&gt;"Not Needed",Settings!$G$15="Yes"),", "&amp;K$1,"")&amp;IF(AND(L313&lt;&gt;"Accepted",L313&lt;&gt;"Not Needed",Settings!$H$15="Yes"),", "&amp;L$1,"")&amp;IF(AND(M313&lt;&gt;"Accepted",M313&lt;&gt;"Not Needed",Settings!$I$15="Yes"),", "&amp;M$1,"")&amp;IF(AND(N313&lt;&gt;"Accepted",N313&lt;&gt;"Not Needed",Settings!$J$15="Yes"),", "&amp;N$1,""),3,400))))</f>
        <v/>
      </c>
    </row>
    <row r="314" ht="15" customHeight="1" s="21">
      <c r="A314" s="31" t="n"/>
      <c r="B314" s="31" t="n"/>
      <c r="C314" s="31" t="n"/>
      <c r="D314" s="31" t="n"/>
      <c r="E314" s="31" t="n"/>
      <c r="F314" s="31" t="n"/>
      <c r="G314" s="31" t="n"/>
      <c r="H314" s="31" t="n"/>
      <c r="I314" s="31" t="n"/>
      <c r="J314" s="31" t="n"/>
      <c r="K314" s="31" t="n"/>
      <c r="L314" s="31" t="n"/>
      <c r="M314" s="31" t="n"/>
      <c r="N314" s="31" t="n"/>
      <c r="O314" s="32">
        <f>IF($B314="","",COUNTIF(G314:N314,"Accepted")+COUNTIF(G314:N314,"Received")+COUNTIF(G314:N314,"Needs Correction"))</f>
        <v/>
      </c>
      <c r="P314" s="32">
        <f>IF($B314="","",SUMPRODUCT(((G314:N314="Accepted")+(G314:N314="Not Needed"))*(Settings!$C$11:$J$11="Yes")))</f>
        <v/>
      </c>
      <c r="Q314" s="32">
        <f>IF($B314="","",SUMPRODUCT(((G314:N314="Accepted")+(G314:N314="Not Needed"))*(Settings!$C$15:$J$15="Yes")))</f>
        <v/>
      </c>
      <c r="R314" s="33">
        <f>IF($B314="","",IF($D314="No","No PTO/PTA",IF($D314&lt;&gt;"Yes","Not Yet Confirmed",IF($Q314&gt;=Settings!$C$13,"Legalized",IF($P314&gt;=Settings!$C$12,"Registered",IF($O314&gt;0,"In Progress","Not Started"))))))</f>
        <v/>
      </c>
      <c r="S314" s="32">
        <f>IF($B314="","",COUNTIF(G314:N314,"Received"))</f>
        <v/>
      </c>
      <c r="T314" s="32">
        <f>IF($B314="","",COUNTIF(G314:N314,"Needs Correction"))</f>
        <v/>
      </c>
      <c r="U314" s="33">
        <f>IF($B314="","",IF($D314&lt;&gt;"Yes","",IF($Q314&gt;=Settings!$C$13,"None",MID(IF(AND(G314&lt;&gt;"Accepted",G314&lt;&gt;"Not Needed",Settings!$C$15="Yes"),", "&amp;G$1,"")&amp;IF(AND(H314&lt;&gt;"Accepted",H314&lt;&gt;"Not Needed",Settings!$D$15="Yes"),", "&amp;H$1,"")&amp;IF(AND(I314&lt;&gt;"Accepted",I314&lt;&gt;"Not Needed",Settings!$E$15="Yes"),", "&amp;I$1,"")&amp;IF(AND(J314&lt;&gt;"Accepted",J314&lt;&gt;"Not Needed",Settings!$F$15="Yes"),", "&amp;J$1,"")&amp;IF(AND(K314&lt;&gt;"Accepted",K314&lt;&gt;"Not Needed",Settings!$G$15="Yes"),", "&amp;K$1,"")&amp;IF(AND(L314&lt;&gt;"Accepted",L314&lt;&gt;"Not Needed",Settings!$H$15="Yes"),", "&amp;L$1,"")&amp;IF(AND(M314&lt;&gt;"Accepted",M314&lt;&gt;"Not Needed",Settings!$I$15="Yes"),", "&amp;M$1,"")&amp;IF(AND(N314&lt;&gt;"Accepted",N314&lt;&gt;"Not Needed",Settings!$J$15="Yes"),", "&amp;N$1,""),3,400))))</f>
        <v/>
      </c>
    </row>
    <row r="315" ht="15" customHeight="1" s="21">
      <c r="A315" s="31" t="n"/>
      <c r="B315" s="31" t="n"/>
      <c r="C315" s="31" t="n"/>
      <c r="D315" s="31" t="n"/>
      <c r="E315" s="31" t="n"/>
      <c r="F315" s="31" t="n"/>
      <c r="G315" s="31" t="n"/>
      <c r="H315" s="31" t="n"/>
      <c r="I315" s="31" t="n"/>
      <c r="J315" s="31" t="n"/>
      <c r="K315" s="31" t="n"/>
      <c r="L315" s="31" t="n"/>
      <c r="M315" s="31" t="n"/>
      <c r="N315" s="31" t="n"/>
      <c r="O315" s="32">
        <f>IF($B315="","",COUNTIF(G315:N315,"Accepted")+COUNTIF(G315:N315,"Received")+COUNTIF(G315:N315,"Needs Correction"))</f>
        <v/>
      </c>
      <c r="P315" s="32">
        <f>IF($B315="","",SUMPRODUCT(((G315:N315="Accepted")+(G315:N315="Not Needed"))*(Settings!$C$11:$J$11="Yes")))</f>
        <v/>
      </c>
      <c r="Q315" s="32">
        <f>IF($B315="","",SUMPRODUCT(((G315:N315="Accepted")+(G315:N315="Not Needed"))*(Settings!$C$15:$J$15="Yes")))</f>
        <v/>
      </c>
      <c r="R315" s="33">
        <f>IF($B315="","",IF($D315="No","No PTO/PTA",IF($D315&lt;&gt;"Yes","Not Yet Confirmed",IF($Q315&gt;=Settings!$C$13,"Legalized",IF($P315&gt;=Settings!$C$12,"Registered",IF($O315&gt;0,"In Progress","Not Started"))))))</f>
        <v/>
      </c>
      <c r="S315" s="32">
        <f>IF($B315="","",COUNTIF(G315:N315,"Received"))</f>
        <v/>
      </c>
      <c r="T315" s="32">
        <f>IF($B315="","",COUNTIF(G315:N315,"Needs Correction"))</f>
        <v/>
      </c>
      <c r="U315" s="33">
        <f>IF($B315="","",IF($D315&lt;&gt;"Yes","",IF($Q315&gt;=Settings!$C$13,"None",MID(IF(AND(G315&lt;&gt;"Accepted",G315&lt;&gt;"Not Needed",Settings!$C$15="Yes"),", "&amp;G$1,"")&amp;IF(AND(H315&lt;&gt;"Accepted",H315&lt;&gt;"Not Needed",Settings!$D$15="Yes"),", "&amp;H$1,"")&amp;IF(AND(I315&lt;&gt;"Accepted",I315&lt;&gt;"Not Needed",Settings!$E$15="Yes"),", "&amp;I$1,"")&amp;IF(AND(J315&lt;&gt;"Accepted",J315&lt;&gt;"Not Needed",Settings!$F$15="Yes"),", "&amp;J$1,"")&amp;IF(AND(K315&lt;&gt;"Accepted",K315&lt;&gt;"Not Needed",Settings!$G$15="Yes"),", "&amp;K$1,"")&amp;IF(AND(L315&lt;&gt;"Accepted",L315&lt;&gt;"Not Needed",Settings!$H$15="Yes"),", "&amp;L$1,"")&amp;IF(AND(M315&lt;&gt;"Accepted",M315&lt;&gt;"Not Needed",Settings!$I$15="Yes"),", "&amp;M$1,"")&amp;IF(AND(N315&lt;&gt;"Accepted",N315&lt;&gt;"Not Needed",Settings!$J$15="Yes"),", "&amp;N$1,""),3,400))))</f>
        <v/>
      </c>
    </row>
    <row r="316" ht="15" customHeight="1" s="21">
      <c r="A316" s="31" t="n"/>
      <c r="B316" s="31" t="n"/>
      <c r="C316" s="31" t="n"/>
      <c r="D316" s="31" t="n"/>
      <c r="E316" s="31" t="n"/>
      <c r="F316" s="31" t="n"/>
      <c r="G316" s="31" t="n"/>
      <c r="H316" s="31" t="n"/>
      <c r="I316" s="31" t="n"/>
      <c r="J316" s="31" t="n"/>
      <c r="K316" s="31" t="n"/>
      <c r="L316" s="31" t="n"/>
      <c r="M316" s="31" t="n"/>
      <c r="N316" s="31" t="n"/>
      <c r="O316" s="32">
        <f>IF($B316="","",COUNTIF(G316:N316,"Accepted")+COUNTIF(G316:N316,"Received")+COUNTIF(G316:N316,"Needs Correction"))</f>
        <v/>
      </c>
      <c r="P316" s="32">
        <f>IF($B316="","",SUMPRODUCT(((G316:N316="Accepted")+(G316:N316="Not Needed"))*(Settings!$C$11:$J$11="Yes")))</f>
        <v/>
      </c>
      <c r="Q316" s="32">
        <f>IF($B316="","",SUMPRODUCT(((G316:N316="Accepted")+(G316:N316="Not Needed"))*(Settings!$C$15:$J$15="Yes")))</f>
        <v/>
      </c>
      <c r="R316" s="33">
        <f>IF($B316="","",IF($D316="No","No PTO/PTA",IF($D316&lt;&gt;"Yes","Not Yet Confirmed",IF($Q316&gt;=Settings!$C$13,"Legalized",IF($P316&gt;=Settings!$C$12,"Registered",IF($O316&gt;0,"In Progress","Not Started"))))))</f>
        <v/>
      </c>
      <c r="S316" s="32">
        <f>IF($B316="","",COUNTIF(G316:N316,"Received"))</f>
        <v/>
      </c>
      <c r="T316" s="32">
        <f>IF($B316="","",COUNTIF(G316:N316,"Needs Correction"))</f>
        <v/>
      </c>
      <c r="U316" s="33">
        <f>IF($B316="","",IF($D316&lt;&gt;"Yes","",IF($Q316&gt;=Settings!$C$13,"None",MID(IF(AND(G316&lt;&gt;"Accepted",G316&lt;&gt;"Not Needed",Settings!$C$15="Yes"),", "&amp;G$1,"")&amp;IF(AND(H316&lt;&gt;"Accepted",H316&lt;&gt;"Not Needed",Settings!$D$15="Yes"),", "&amp;H$1,"")&amp;IF(AND(I316&lt;&gt;"Accepted",I316&lt;&gt;"Not Needed",Settings!$E$15="Yes"),", "&amp;I$1,"")&amp;IF(AND(J316&lt;&gt;"Accepted",J316&lt;&gt;"Not Needed",Settings!$F$15="Yes"),", "&amp;J$1,"")&amp;IF(AND(K316&lt;&gt;"Accepted",K316&lt;&gt;"Not Needed",Settings!$G$15="Yes"),", "&amp;K$1,"")&amp;IF(AND(L316&lt;&gt;"Accepted",L316&lt;&gt;"Not Needed",Settings!$H$15="Yes"),", "&amp;L$1,"")&amp;IF(AND(M316&lt;&gt;"Accepted",M316&lt;&gt;"Not Needed",Settings!$I$15="Yes"),", "&amp;M$1,"")&amp;IF(AND(N316&lt;&gt;"Accepted",N316&lt;&gt;"Not Needed",Settings!$J$15="Yes"),", "&amp;N$1,""),3,400))))</f>
        <v/>
      </c>
    </row>
    <row r="317" ht="15" customHeight="1" s="21">
      <c r="A317" s="31" t="n"/>
      <c r="B317" s="31" t="n"/>
      <c r="C317" s="31" t="n"/>
      <c r="D317" s="31" t="n"/>
      <c r="E317" s="31" t="n"/>
      <c r="F317" s="31" t="n"/>
      <c r="G317" s="31" t="n"/>
      <c r="H317" s="31" t="n"/>
      <c r="I317" s="31" t="n"/>
      <c r="J317" s="31" t="n"/>
      <c r="K317" s="31" t="n"/>
      <c r="L317" s="31" t="n"/>
      <c r="M317" s="31" t="n"/>
      <c r="N317" s="31" t="n"/>
      <c r="O317" s="32">
        <f>IF($B317="","",COUNTIF(G317:N317,"Accepted")+COUNTIF(G317:N317,"Received")+COUNTIF(G317:N317,"Needs Correction"))</f>
        <v/>
      </c>
      <c r="P317" s="32">
        <f>IF($B317="","",SUMPRODUCT(((G317:N317="Accepted")+(G317:N317="Not Needed"))*(Settings!$C$11:$J$11="Yes")))</f>
        <v/>
      </c>
      <c r="Q317" s="32">
        <f>IF($B317="","",SUMPRODUCT(((G317:N317="Accepted")+(G317:N317="Not Needed"))*(Settings!$C$15:$J$15="Yes")))</f>
        <v/>
      </c>
      <c r="R317" s="33">
        <f>IF($B317="","",IF($D317="No","No PTO/PTA",IF($D317&lt;&gt;"Yes","Not Yet Confirmed",IF($Q317&gt;=Settings!$C$13,"Legalized",IF($P317&gt;=Settings!$C$12,"Registered",IF($O317&gt;0,"In Progress","Not Started"))))))</f>
        <v/>
      </c>
      <c r="S317" s="32">
        <f>IF($B317="","",COUNTIF(G317:N317,"Received"))</f>
        <v/>
      </c>
      <c r="T317" s="32">
        <f>IF($B317="","",COUNTIF(G317:N317,"Needs Correction"))</f>
        <v/>
      </c>
      <c r="U317" s="33">
        <f>IF($B317="","",IF($D317&lt;&gt;"Yes","",IF($Q317&gt;=Settings!$C$13,"None",MID(IF(AND(G317&lt;&gt;"Accepted",G317&lt;&gt;"Not Needed",Settings!$C$15="Yes"),", "&amp;G$1,"")&amp;IF(AND(H317&lt;&gt;"Accepted",H317&lt;&gt;"Not Needed",Settings!$D$15="Yes"),", "&amp;H$1,"")&amp;IF(AND(I317&lt;&gt;"Accepted",I317&lt;&gt;"Not Needed",Settings!$E$15="Yes"),", "&amp;I$1,"")&amp;IF(AND(J317&lt;&gt;"Accepted",J317&lt;&gt;"Not Needed",Settings!$F$15="Yes"),", "&amp;J$1,"")&amp;IF(AND(K317&lt;&gt;"Accepted",K317&lt;&gt;"Not Needed",Settings!$G$15="Yes"),", "&amp;K$1,"")&amp;IF(AND(L317&lt;&gt;"Accepted",L317&lt;&gt;"Not Needed",Settings!$H$15="Yes"),", "&amp;L$1,"")&amp;IF(AND(M317&lt;&gt;"Accepted",M317&lt;&gt;"Not Needed",Settings!$I$15="Yes"),", "&amp;M$1,"")&amp;IF(AND(N317&lt;&gt;"Accepted",N317&lt;&gt;"Not Needed",Settings!$J$15="Yes"),", "&amp;N$1,""),3,400))))</f>
        <v/>
      </c>
    </row>
    <row r="318" ht="15" customHeight="1" s="21">
      <c r="A318" s="31" t="n"/>
      <c r="B318" s="31" t="n"/>
      <c r="C318" s="31" t="n"/>
      <c r="D318" s="31" t="n"/>
      <c r="E318" s="31" t="n"/>
      <c r="F318" s="31" t="n"/>
      <c r="G318" s="31" t="n"/>
      <c r="H318" s="31" t="n"/>
      <c r="I318" s="31" t="n"/>
      <c r="J318" s="31" t="n"/>
      <c r="K318" s="31" t="n"/>
      <c r="L318" s="31" t="n"/>
      <c r="M318" s="31" t="n"/>
      <c r="N318" s="31" t="n"/>
      <c r="O318" s="32">
        <f>IF($B318="","",COUNTIF(G318:N318,"Accepted")+COUNTIF(G318:N318,"Received")+COUNTIF(G318:N318,"Needs Correction"))</f>
        <v/>
      </c>
      <c r="P318" s="32">
        <f>IF($B318="","",SUMPRODUCT(((G318:N318="Accepted")+(G318:N318="Not Needed"))*(Settings!$C$11:$J$11="Yes")))</f>
        <v/>
      </c>
      <c r="Q318" s="32">
        <f>IF($B318="","",SUMPRODUCT(((G318:N318="Accepted")+(G318:N318="Not Needed"))*(Settings!$C$15:$J$15="Yes")))</f>
        <v/>
      </c>
      <c r="R318" s="33">
        <f>IF($B318="","",IF($D318="No","No PTO/PTA",IF($D318&lt;&gt;"Yes","Not Yet Confirmed",IF($Q318&gt;=Settings!$C$13,"Legalized",IF($P318&gt;=Settings!$C$12,"Registered",IF($O318&gt;0,"In Progress","Not Started"))))))</f>
        <v/>
      </c>
      <c r="S318" s="32">
        <f>IF($B318="","",COUNTIF(G318:N318,"Received"))</f>
        <v/>
      </c>
      <c r="T318" s="32">
        <f>IF($B318="","",COUNTIF(G318:N318,"Needs Correction"))</f>
        <v/>
      </c>
      <c r="U318" s="33">
        <f>IF($B318="","",IF($D318&lt;&gt;"Yes","",IF($Q318&gt;=Settings!$C$13,"None",MID(IF(AND(G318&lt;&gt;"Accepted",G318&lt;&gt;"Not Needed",Settings!$C$15="Yes"),", "&amp;G$1,"")&amp;IF(AND(H318&lt;&gt;"Accepted",H318&lt;&gt;"Not Needed",Settings!$D$15="Yes"),", "&amp;H$1,"")&amp;IF(AND(I318&lt;&gt;"Accepted",I318&lt;&gt;"Not Needed",Settings!$E$15="Yes"),", "&amp;I$1,"")&amp;IF(AND(J318&lt;&gt;"Accepted",J318&lt;&gt;"Not Needed",Settings!$F$15="Yes"),", "&amp;J$1,"")&amp;IF(AND(K318&lt;&gt;"Accepted",K318&lt;&gt;"Not Needed",Settings!$G$15="Yes"),", "&amp;K$1,"")&amp;IF(AND(L318&lt;&gt;"Accepted",L318&lt;&gt;"Not Needed",Settings!$H$15="Yes"),", "&amp;L$1,"")&amp;IF(AND(M318&lt;&gt;"Accepted",M318&lt;&gt;"Not Needed",Settings!$I$15="Yes"),", "&amp;M$1,"")&amp;IF(AND(N318&lt;&gt;"Accepted",N318&lt;&gt;"Not Needed",Settings!$J$15="Yes"),", "&amp;N$1,""),3,400))))</f>
        <v/>
      </c>
    </row>
    <row r="319" ht="15" customHeight="1" s="21">
      <c r="A319" s="31" t="n"/>
      <c r="B319" s="31" t="n"/>
      <c r="C319" s="31" t="n"/>
      <c r="D319" s="31" t="n"/>
      <c r="E319" s="31" t="n"/>
      <c r="F319" s="31" t="n"/>
      <c r="G319" s="31" t="n"/>
      <c r="H319" s="31" t="n"/>
      <c r="I319" s="31" t="n"/>
      <c r="J319" s="31" t="n"/>
      <c r="K319" s="31" t="n"/>
      <c r="L319" s="31" t="n"/>
      <c r="M319" s="31" t="n"/>
      <c r="N319" s="31" t="n"/>
      <c r="O319" s="32">
        <f>IF($B319="","",COUNTIF(G319:N319,"Accepted")+COUNTIF(G319:N319,"Received")+COUNTIF(G319:N319,"Needs Correction"))</f>
        <v/>
      </c>
      <c r="P319" s="32">
        <f>IF($B319="","",SUMPRODUCT(((G319:N319="Accepted")+(G319:N319="Not Needed"))*(Settings!$C$11:$J$11="Yes")))</f>
        <v/>
      </c>
      <c r="Q319" s="32">
        <f>IF($B319="","",SUMPRODUCT(((G319:N319="Accepted")+(G319:N319="Not Needed"))*(Settings!$C$15:$J$15="Yes")))</f>
        <v/>
      </c>
      <c r="R319" s="33">
        <f>IF($B319="","",IF($D319="No","No PTO/PTA",IF($D319&lt;&gt;"Yes","Not Yet Confirmed",IF($Q319&gt;=Settings!$C$13,"Legalized",IF($P319&gt;=Settings!$C$12,"Registered",IF($O319&gt;0,"In Progress","Not Started"))))))</f>
        <v/>
      </c>
      <c r="S319" s="32">
        <f>IF($B319="","",COUNTIF(G319:N319,"Received"))</f>
        <v/>
      </c>
      <c r="T319" s="32">
        <f>IF($B319="","",COUNTIF(G319:N319,"Needs Correction"))</f>
        <v/>
      </c>
      <c r="U319" s="33">
        <f>IF($B319="","",IF($D319&lt;&gt;"Yes","",IF($Q319&gt;=Settings!$C$13,"None",MID(IF(AND(G319&lt;&gt;"Accepted",G319&lt;&gt;"Not Needed",Settings!$C$15="Yes"),", "&amp;G$1,"")&amp;IF(AND(H319&lt;&gt;"Accepted",H319&lt;&gt;"Not Needed",Settings!$D$15="Yes"),", "&amp;H$1,"")&amp;IF(AND(I319&lt;&gt;"Accepted",I319&lt;&gt;"Not Needed",Settings!$E$15="Yes"),", "&amp;I$1,"")&amp;IF(AND(J319&lt;&gt;"Accepted",J319&lt;&gt;"Not Needed",Settings!$F$15="Yes"),", "&amp;J$1,"")&amp;IF(AND(K319&lt;&gt;"Accepted",K319&lt;&gt;"Not Needed",Settings!$G$15="Yes"),", "&amp;K$1,"")&amp;IF(AND(L319&lt;&gt;"Accepted",L319&lt;&gt;"Not Needed",Settings!$H$15="Yes"),", "&amp;L$1,"")&amp;IF(AND(M319&lt;&gt;"Accepted",M319&lt;&gt;"Not Needed",Settings!$I$15="Yes"),", "&amp;M$1,"")&amp;IF(AND(N319&lt;&gt;"Accepted",N319&lt;&gt;"Not Needed",Settings!$J$15="Yes"),", "&amp;N$1,""),3,400))))</f>
        <v/>
      </c>
    </row>
    <row r="320" ht="15" customHeight="1" s="21">
      <c r="A320" s="31" t="n"/>
      <c r="B320" s="31" t="n"/>
      <c r="C320" s="31" t="n"/>
      <c r="D320" s="31" t="n"/>
      <c r="E320" s="31" t="n"/>
      <c r="F320" s="31" t="n"/>
      <c r="G320" s="31" t="n"/>
      <c r="H320" s="31" t="n"/>
      <c r="I320" s="31" t="n"/>
      <c r="J320" s="31" t="n"/>
      <c r="K320" s="31" t="n"/>
      <c r="L320" s="31" t="n"/>
      <c r="M320" s="31" t="n"/>
      <c r="N320" s="31" t="n"/>
      <c r="O320" s="32">
        <f>IF($B320="","",COUNTIF(G320:N320,"Accepted")+COUNTIF(G320:N320,"Received")+COUNTIF(G320:N320,"Needs Correction"))</f>
        <v/>
      </c>
      <c r="P320" s="32">
        <f>IF($B320="","",SUMPRODUCT(((G320:N320="Accepted")+(G320:N320="Not Needed"))*(Settings!$C$11:$J$11="Yes")))</f>
        <v/>
      </c>
      <c r="Q320" s="32">
        <f>IF($B320="","",SUMPRODUCT(((G320:N320="Accepted")+(G320:N320="Not Needed"))*(Settings!$C$15:$J$15="Yes")))</f>
        <v/>
      </c>
      <c r="R320" s="33">
        <f>IF($B320="","",IF($D320="No","No PTO/PTA",IF($D320&lt;&gt;"Yes","Not Yet Confirmed",IF($Q320&gt;=Settings!$C$13,"Legalized",IF($P320&gt;=Settings!$C$12,"Registered",IF($O320&gt;0,"In Progress","Not Started"))))))</f>
        <v/>
      </c>
      <c r="S320" s="32">
        <f>IF($B320="","",COUNTIF(G320:N320,"Received"))</f>
        <v/>
      </c>
      <c r="T320" s="32">
        <f>IF($B320="","",COUNTIF(G320:N320,"Needs Correction"))</f>
        <v/>
      </c>
      <c r="U320" s="33">
        <f>IF($B320="","",IF($D320&lt;&gt;"Yes","",IF($Q320&gt;=Settings!$C$13,"None",MID(IF(AND(G320&lt;&gt;"Accepted",G320&lt;&gt;"Not Needed",Settings!$C$15="Yes"),", "&amp;G$1,"")&amp;IF(AND(H320&lt;&gt;"Accepted",H320&lt;&gt;"Not Needed",Settings!$D$15="Yes"),", "&amp;H$1,"")&amp;IF(AND(I320&lt;&gt;"Accepted",I320&lt;&gt;"Not Needed",Settings!$E$15="Yes"),", "&amp;I$1,"")&amp;IF(AND(J320&lt;&gt;"Accepted",J320&lt;&gt;"Not Needed",Settings!$F$15="Yes"),", "&amp;J$1,"")&amp;IF(AND(K320&lt;&gt;"Accepted",K320&lt;&gt;"Not Needed",Settings!$G$15="Yes"),", "&amp;K$1,"")&amp;IF(AND(L320&lt;&gt;"Accepted",L320&lt;&gt;"Not Needed",Settings!$H$15="Yes"),", "&amp;L$1,"")&amp;IF(AND(M320&lt;&gt;"Accepted",M320&lt;&gt;"Not Needed",Settings!$I$15="Yes"),", "&amp;M$1,"")&amp;IF(AND(N320&lt;&gt;"Accepted",N320&lt;&gt;"Not Needed",Settings!$J$15="Yes"),", "&amp;N$1,""),3,400))))</f>
        <v/>
      </c>
    </row>
    <row r="321" ht="15" customHeight="1" s="21">
      <c r="A321" s="31" t="n"/>
      <c r="B321" s="31" t="n"/>
      <c r="C321" s="31" t="n"/>
      <c r="D321" s="31" t="n"/>
      <c r="E321" s="31" t="n"/>
      <c r="F321" s="31" t="n"/>
      <c r="G321" s="31" t="n"/>
      <c r="H321" s="31" t="n"/>
      <c r="I321" s="31" t="n"/>
      <c r="J321" s="31" t="n"/>
      <c r="K321" s="31" t="n"/>
      <c r="L321" s="31" t="n"/>
      <c r="M321" s="31" t="n"/>
      <c r="N321" s="31" t="n"/>
      <c r="O321" s="32">
        <f>IF($B321="","",COUNTIF(G321:N321,"Accepted")+COUNTIF(G321:N321,"Received")+COUNTIF(G321:N321,"Needs Correction"))</f>
        <v/>
      </c>
      <c r="P321" s="32">
        <f>IF($B321="","",SUMPRODUCT(((G321:N321="Accepted")+(G321:N321="Not Needed"))*(Settings!$C$11:$J$11="Yes")))</f>
        <v/>
      </c>
      <c r="Q321" s="32">
        <f>IF($B321="","",SUMPRODUCT(((G321:N321="Accepted")+(G321:N321="Not Needed"))*(Settings!$C$15:$J$15="Yes")))</f>
        <v/>
      </c>
      <c r="R321" s="33">
        <f>IF($B321="","",IF($D321="No","No PTO/PTA",IF($D321&lt;&gt;"Yes","Not Yet Confirmed",IF($Q321&gt;=Settings!$C$13,"Legalized",IF($P321&gt;=Settings!$C$12,"Registered",IF($O321&gt;0,"In Progress","Not Started"))))))</f>
        <v/>
      </c>
      <c r="S321" s="32">
        <f>IF($B321="","",COUNTIF(G321:N321,"Received"))</f>
        <v/>
      </c>
      <c r="T321" s="32">
        <f>IF($B321="","",COUNTIF(G321:N321,"Needs Correction"))</f>
        <v/>
      </c>
      <c r="U321" s="33">
        <f>IF($B321="","",IF($D321&lt;&gt;"Yes","",IF($Q321&gt;=Settings!$C$13,"None",MID(IF(AND(G321&lt;&gt;"Accepted",G321&lt;&gt;"Not Needed",Settings!$C$15="Yes"),", "&amp;G$1,"")&amp;IF(AND(H321&lt;&gt;"Accepted",H321&lt;&gt;"Not Needed",Settings!$D$15="Yes"),", "&amp;H$1,"")&amp;IF(AND(I321&lt;&gt;"Accepted",I321&lt;&gt;"Not Needed",Settings!$E$15="Yes"),", "&amp;I$1,"")&amp;IF(AND(J321&lt;&gt;"Accepted",J321&lt;&gt;"Not Needed",Settings!$F$15="Yes"),", "&amp;J$1,"")&amp;IF(AND(K321&lt;&gt;"Accepted",K321&lt;&gt;"Not Needed",Settings!$G$15="Yes"),", "&amp;K$1,"")&amp;IF(AND(L321&lt;&gt;"Accepted",L321&lt;&gt;"Not Needed",Settings!$H$15="Yes"),", "&amp;L$1,"")&amp;IF(AND(M321&lt;&gt;"Accepted",M321&lt;&gt;"Not Needed",Settings!$I$15="Yes"),", "&amp;M$1,"")&amp;IF(AND(N321&lt;&gt;"Accepted",N321&lt;&gt;"Not Needed",Settings!$J$15="Yes"),", "&amp;N$1,""),3,400))))</f>
        <v/>
      </c>
    </row>
    <row r="322" ht="15" customHeight="1" s="21">
      <c r="A322" s="31" t="n"/>
      <c r="B322" s="31" t="n"/>
      <c r="C322" s="31" t="n"/>
      <c r="D322" s="31" t="n"/>
      <c r="E322" s="31" t="n"/>
      <c r="F322" s="31" t="n"/>
      <c r="G322" s="31" t="n"/>
      <c r="H322" s="31" t="n"/>
      <c r="I322" s="31" t="n"/>
      <c r="J322" s="31" t="n"/>
      <c r="K322" s="31" t="n"/>
      <c r="L322" s="31" t="n"/>
      <c r="M322" s="31" t="n"/>
      <c r="N322" s="31" t="n"/>
      <c r="O322" s="32">
        <f>IF($B322="","",COUNTIF(G322:N322,"Accepted")+COUNTIF(G322:N322,"Received")+COUNTIF(G322:N322,"Needs Correction"))</f>
        <v/>
      </c>
      <c r="P322" s="32">
        <f>IF($B322="","",SUMPRODUCT(((G322:N322="Accepted")+(G322:N322="Not Needed"))*(Settings!$C$11:$J$11="Yes")))</f>
        <v/>
      </c>
      <c r="Q322" s="32">
        <f>IF($B322="","",SUMPRODUCT(((G322:N322="Accepted")+(G322:N322="Not Needed"))*(Settings!$C$15:$J$15="Yes")))</f>
        <v/>
      </c>
      <c r="R322" s="33">
        <f>IF($B322="","",IF($D322="No","No PTO/PTA",IF($D322&lt;&gt;"Yes","Not Yet Confirmed",IF($Q322&gt;=Settings!$C$13,"Legalized",IF($P322&gt;=Settings!$C$12,"Registered",IF($O322&gt;0,"In Progress","Not Started"))))))</f>
        <v/>
      </c>
      <c r="S322" s="32">
        <f>IF($B322="","",COUNTIF(G322:N322,"Received"))</f>
        <v/>
      </c>
      <c r="T322" s="32">
        <f>IF($B322="","",COUNTIF(G322:N322,"Needs Correction"))</f>
        <v/>
      </c>
      <c r="U322" s="33">
        <f>IF($B322="","",IF($D322&lt;&gt;"Yes","",IF($Q322&gt;=Settings!$C$13,"None",MID(IF(AND(G322&lt;&gt;"Accepted",G322&lt;&gt;"Not Needed",Settings!$C$15="Yes"),", "&amp;G$1,"")&amp;IF(AND(H322&lt;&gt;"Accepted",H322&lt;&gt;"Not Needed",Settings!$D$15="Yes"),", "&amp;H$1,"")&amp;IF(AND(I322&lt;&gt;"Accepted",I322&lt;&gt;"Not Needed",Settings!$E$15="Yes"),", "&amp;I$1,"")&amp;IF(AND(J322&lt;&gt;"Accepted",J322&lt;&gt;"Not Needed",Settings!$F$15="Yes"),", "&amp;J$1,"")&amp;IF(AND(K322&lt;&gt;"Accepted",K322&lt;&gt;"Not Needed",Settings!$G$15="Yes"),", "&amp;K$1,"")&amp;IF(AND(L322&lt;&gt;"Accepted",L322&lt;&gt;"Not Needed",Settings!$H$15="Yes"),", "&amp;L$1,"")&amp;IF(AND(M322&lt;&gt;"Accepted",M322&lt;&gt;"Not Needed",Settings!$I$15="Yes"),", "&amp;M$1,"")&amp;IF(AND(N322&lt;&gt;"Accepted",N322&lt;&gt;"Not Needed",Settings!$J$15="Yes"),", "&amp;N$1,""),3,400))))</f>
        <v/>
      </c>
    </row>
    <row r="323" ht="15" customHeight="1" s="21">
      <c r="A323" s="31" t="n"/>
      <c r="B323" s="31" t="n"/>
      <c r="C323" s="31" t="n"/>
      <c r="D323" s="31" t="n"/>
      <c r="E323" s="31" t="n"/>
      <c r="F323" s="31" t="n"/>
      <c r="G323" s="31" t="n"/>
      <c r="H323" s="31" t="n"/>
      <c r="I323" s="31" t="n"/>
      <c r="J323" s="31" t="n"/>
      <c r="K323" s="31" t="n"/>
      <c r="L323" s="31" t="n"/>
      <c r="M323" s="31" t="n"/>
      <c r="N323" s="31" t="n"/>
      <c r="O323" s="32">
        <f>IF($B323="","",COUNTIF(G323:N323,"Accepted")+COUNTIF(G323:N323,"Received")+COUNTIF(G323:N323,"Needs Correction"))</f>
        <v/>
      </c>
      <c r="P323" s="32">
        <f>IF($B323="","",SUMPRODUCT(((G323:N323="Accepted")+(G323:N323="Not Needed"))*(Settings!$C$11:$J$11="Yes")))</f>
        <v/>
      </c>
      <c r="Q323" s="32">
        <f>IF($B323="","",SUMPRODUCT(((G323:N323="Accepted")+(G323:N323="Not Needed"))*(Settings!$C$15:$J$15="Yes")))</f>
        <v/>
      </c>
      <c r="R323" s="33">
        <f>IF($B323="","",IF($D323="No","No PTO/PTA",IF($D323&lt;&gt;"Yes","Not Yet Confirmed",IF($Q323&gt;=Settings!$C$13,"Legalized",IF($P323&gt;=Settings!$C$12,"Registered",IF($O323&gt;0,"In Progress","Not Started"))))))</f>
        <v/>
      </c>
      <c r="S323" s="32">
        <f>IF($B323="","",COUNTIF(G323:N323,"Received"))</f>
        <v/>
      </c>
      <c r="T323" s="32">
        <f>IF($B323="","",COUNTIF(G323:N323,"Needs Correction"))</f>
        <v/>
      </c>
      <c r="U323" s="33">
        <f>IF($B323="","",IF($D323&lt;&gt;"Yes","",IF($Q323&gt;=Settings!$C$13,"None",MID(IF(AND(G323&lt;&gt;"Accepted",G323&lt;&gt;"Not Needed",Settings!$C$15="Yes"),", "&amp;G$1,"")&amp;IF(AND(H323&lt;&gt;"Accepted",H323&lt;&gt;"Not Needed",Settings!$D$15="Yes"),", "&amp;H$1,"")&amp;IF(AND(I323&lt;&gt;"Accepted",I323&lt;&gt;"Not Needed",Settings!$E$15="Yes"),", "&amp;I$1,"")&amp;IF(AND(J323&lt;&gt;"Accepted",J323&lt;&gt;"Not Needed",Settings!$F$15="Yes"),", "&amp;J$1,"")&amp;IF(AND(K323&lt;&gt;"Accepted",K323&lt;&gt;"Not Needed",Settings!$G$15="Yes"),", "&amp;K$1,"")&amp;IF(AND(L323&lt;&gt;"Accepted",L323&lt;&gt;"Not Needed",Settings!$H$15="Yes"),", "&amp;L$1,"")&amp;IF(AND(M323&lt;&gt;"Accepted",M323&lt;&gt;"Not Needed",Settings!$I$15="Yes"),", "&amp;M$1,"")&amp;IF(AND(N323&lt;&gt;"Accepted",N323&lt;&gt;"Not Needed",Settings!$J$15="Yes"),", "&amp;N$1,""),3,400))))</f>
        <v/>
      </c>
    </row>
    <row r="324" ht="15" customHeight="1" s="21">
      <c r="A324" s="31" t="n"/>
      <c r="B324" s="31" t="n"/>
      <c r="C324" s="31" t="n"/>
      <c r="D324" s="31" t="n"/>
      <c r="E324" s="31" t="n"/>
      <c r="F324" s="31" t="n"/>
      <c r="G324" s="31" t="n"/>
      <c r="H324" s="31" t="n"/>
      <c r="I324" s="31" t="n"/>
      <c r="J324" s="31" t="n"/>
      <c r="K324" s="31" t="n"/>
      <c r="L324" s="31" t="n"/>
      <c r="M324" s="31" t="n"/>
      <c r="N324" s="31" t="n"/>
      <c r="O324" s="32">
        <f>IF($B324="","",COUNTIF(G324:N324,"Accepted")+COUNTIF(G324:N324,"Received")+COUNTIF(G324:N324,"Needs Correction"))</f>
        <v/>
      </c>
      <c r="P324" s="32">
        <f>IF($B324="","",SUMPRODUCT(((G324:N324="Accepted")+(G324:N324="Not Needed"))*(Settings!$C$11:$J$11="Yes")))</f>
        <v/>
      </c>
      <c r="Q324" s="32">
        <f>IF($B324="","",SUMPRODUCT(((G324:N324="Accepted")+(G324:N324="Not Needed"))*(Settings!$C$15:$J$15="Yes")))</f>
        <v/>
      </c>
      <c r="R324" s="33">
        <f>IF($B324="","",IF($D324="No","No PTO/PTA",IF($D324&lt;&gt;"Yes","Not Yet Confirmed",IF($Q324&gt;=Settings!$C$13,"Legalized",IF($P324&gt;=Settings!$C$12,"Registered",IF($O324&gt;0,"In Progress","Not Started"))))))</f>
        <v/>
      </c>
      <c r="S324" s="32">
        <f>IF($B324="","",COUNTIF(G324:N324,"Received"))</f>
        <v/>
      </c>
      <c r="T324" s="32">
        <f>IF($B324="","",COUNTIF(G324:N324,"Needs Correction"))</f>
        <v/>
      </c>
      <c r="U324" s="33">
        <f>IF($B324="","",IF($D324&lt;&gt;"Yes","",IF($Q324&gt;=Settings!$C$13,"None",MID(IF(AND(G324&lt;&gt;"Accepted",G324&lt;&gt;"Not Needed",Settings!$C$15="Yes"),", "&amp;G$1,"")&amp;IF(AND(H324&lt;&gt;"Accepted",H324&lt;&gt;"Not Needed",Settings!$D$15="Yes"),", "&amp;H$1,"")&amp;IF(AND(I324&lt;&gt;"Accepted",I324&lt;&gt;"Not Needed",Settings!$E$15="Yes"),", "&amp;I$1,"")&amp;IF(AND(J324&lt;&gt;"Accepted",J324&lt;&gt;"Not Needed",Settings!$F$15="Yes"),", "&amp;J$1,"")&amp;IF(AND(K324&lt;&gt;"Accepted",K324&lt;&gt;"Not Needed",Settings!$G$15="Yes"),", "&amp;K$1,"")&amp;IF(AND(L324&lt;&gt;"Accepted",L324&lt;&gt;"Not Needed",Settings!$H$15="Yes"),", "&amp;L$1,"")&amp;IF(AND(M324&lt;&gt;"Accepted",M324&lt;&gt;"Not Needed",Settings!$I$15="Yes"),", "&amp;M$1,"")&amp;IF(AND(N324&lt;&gt;"Accepted",N324&lt;&gt;"Not Needed",Settings!$J$15="Yes"),", "&amp;N$1,""),3,400))))</f>
        <v/>
      </c>
    </row>
    <row r="325" ht="15" customHeight="1" s="21">
      <c r="A325" s="31" t="n"/>
      <c r="B325" s="31" t="n"/>
      <c r="C325" s="31" t="n"/>
      <c r="D325" s="31" t="n"/>
      <c r="E325" s="31" t="n"/>
      <c r="F325" s="31" t="n"/>
      <c r="G325" s="31" t="n"/>
      <c r="H325" s="31" t="n"/>
      <c r="I325" s="31" t="n"/>
      <c r="J325" s="31" t="n"/>
      <c r="K325" s="31" t="n"/>
      <c r="L325" s="31" t="n"/>
      <c r="M325" s="31" t="n"/>
      <c r="N325" s="31" t="n"/>
      <c r="O325" s="32">
        <f>IF($B325="","",COUNTIF(G325:N325,"Accepted")+COUNTIF(G325:N325,"Received")+COUNTIF(G325:N325,"Needs Correction"))</f>
        <v/>
      </c>
      <c r="P325" s="32">
        <f>IF($B325="","",SUMPRODUCT(((G325:N325="Accepted")+(G325:N325="Not Needed"))*(Settings!$C$11:$J$11="Yes")))</f>
        <v/>
      </c>
      <c r="Q325" s="32">
        <f>IF($B325="","",SUMPRODUCT(((G325:N325="Accepted")+(G325:N325="Not Needed"))*(Settings!$C$15:$J$15="Yes")))</f>
        <v/>
      </c>
      <c r="R325" s="33">
        <f>IF($B325="","",IF($D325="No","No PTO/PTA",IF($D325&lt;&gt;"Yes","Not Yet Confirmed",IF($Q325&gt;=Settings!$C$13,"Legalized",IF($P325&gt;=Settings!$C$12,"Registered",IF($O325&gt;0,"In Progress","Not Started"))))))</f>
        <v/>
      </c>
      <c r="S325" s="32">
        <f>IF($B325="","",COUNTIF(G325:N325,"Received"))</f>
        <v/>
      </c>
      <c r="T325" s="32">
        <f>IF($B325="","",COUNTIF(G325:N325,"Needs Correction"))</f>
        <v/>
      </c>
      <c r="U325" s="33">
        <f>IF($B325="","",IF($D325&lt;&gt;"Yes","",IF($Q325&gt;=Settings!$C$13,"None",MID(IF(AND(G325&lt;&gt;"Accepted",G325&lt;&gt;"Not Needed",Settings!$C$15="Yes"),", "&amp;G$1,"")&amp;IF(AND(H325&lt;&gt;"Accepted",H325&lt;&gt;"Not Needed",Settings!$D$15="Yes"),", "&amp;H$1,"")&amp;IF(AND(I325&lt;&gt;"Accepted",I325&lt;&gt;"Not Needed",Settings!$E$15="Yes"),", "&amp;I$1,"")&amp;IF(AND(J325&lt;&gt;"Accepted",J325&lt;&gt;"Not Needed",Settings!$F$15="Yes"),", "&amp;J$1,"")&amp;IF(AND(K325&lt;&gt;"Accepted",K325&lt;&gt;"Not Needed",Settings!$G$15="Yes"),", "&amp;K$1,"")&amp;IF(AND(L325&lt;&gt;"Accepted",L325&lt;&gt;"Not Needed",Settings!$H$15="Yes"),", "&amp;L$1,"")&amp;IF(AND(M325&lt;&gt;"Accepted",M325&lt;&gt;"Not Needed",Settings!$I$15="Yes"),", "&amp;M$1,"")&amp;IF(AND(N325&lt;&gt;"Accepted",N325&lt;&gt;"Not Needed",Settings!$J$15="Yes"),", "&amp;N$1,""),3,400))))</f>
        <v/>
      </c>
    </row>
    <row r="326" ht="15" customHeight="1" s="21">
      <c r="A326" s="31" t="n"/>
      <c r="B326" s="31" t="n"/>
      <c r="C326" s="31" t="n"/>
      <c r="D326" s="31" t="n"/>
      <c r="E326" s="31" t="n"/>
      <c r="F326" s="31" t="n"/>
      <c r="G326" s="31" t="n"/>
      <c r="H326" s="31" t="n"/>
      <c r="I326" s="31" t="n"/>
      <c r="J326" s="31" t="n"/>
      <c r="K326" s="31" t="n"/>
      <c r="L326" s="31" t="n"/>
      <c r="M326" s="31" t="n"/>
      <c r="N326" s="31" t="n"/>
      <c r="O326" s="32">
        <f>IF($B326="","",COUNTIF(G326:N326,"Accepted")+COUNTIF(G326:N326,"Received")+COUNTIF(G326:N326,"Needs Correction"))</f>
        <v/>
      </c>
      <c r="P326" s="32">
        <f>IF($B326="","",SUMPRODUCT(((G326:N326="Accepted")+(G326:N326="Not Needed"))*(Settings!$C$11:$J$11="Yes")))</f>
        <v/>
      </c>
      <c r="Q326" s="32">
        <f>IF($B326="","",SUMPRODUCT(((G326:N326="Accepted")+(G326:N326="Not Needed"))*(Settings!$C$15:$J$15="Yes")))</f>
        <v/>
      </c>
      <c r="R326" s="33">
        <f>IF($B326="","",IF($D326="No","No PTO/PTA",IF($D326&lt;&gt;"Yes","Not Yet Confirmed",IF($Q326&gt;=Settings!$C$13,"Legalized",IF($P326&gt;=Settings!$C$12,"Registered",IF($O326&gt;0,"In Progress","Not Started"))))))</f>
        <v/>
      </c>
      <c r="S326" s="32">
        <f>IF($B326="","",COUNTIF(G326:N326,"Received"))</f>
        <v/>
      </c>
      <c r="T326" s="32">
        <f>IF($B326="","",COUNTIF(G326:N326,"Needs Correction"))</f>
        <v/>
      </c>
      <c r="U326" s="33">
        <f>IF($B326="","",IF($D326&lt;&gt;"Yes","",IF($Q326&gt;=Settings!$C$13,"None",MID(IF(AND(G326&lt;&gt;"Accepted",G326&lt;&gt;"Not Needed",Settings!$C$15="Yes"),", "&amp;G$1,"")&amp;IF(AND(H326&lt;&gt;"Accepted",H326&lt;&gt;"Not Needed",Settings!$D$15="Yes"),", "&amp;H$1,"")&amp;IF(AND(I326&lt;&gt;"Accepted",I326&lt;&gt;"Not Needed",Settings!$E$15="Yes"),", "&amp;I$1,"")&amp;IF(AND(J326&lt;&gt;"Accepted",J326&lt;&gt;"Not Needed",Settings!$F$15="Yes"),", "&amp;J$1,"")&amp;IF(AND(K326&lt;&gt;"Accepted",K326&lt;&gt;"Not Needed",Settings!$G$15="Yes"),", "&amp;K$1,"")&amp;IF(AND(L326&lt;&gt;"Accepted",L326&lt;&gt;"Not Needed",Settings!$H$15="Yes"),", "&amp;L$1,"")&amp;IF(AND(M326&lt;&gt;"Accepted",M326&lt;&gt;"Not Needed",Settings!$I$15="Yes"),", "&amp;M$1,"")&amp;IF(AND(N326&lt;&gt;"Accepted",N326&lt;&gt;"Not Needed",Settings!$J$15="Yes"),", "&amp;N$1,""),3,400))))</f>
        <v/>
      </c>
    </row>
    <row r="327" ht="15" customHeight="1" s="21">
      <c r="A327" s="31" t="n"/>
      <c r="B327" s="31" t="n"/>
      <c r="C327" s="31" t="n"/>
      <c r="D327" s="31" t="n"/>
      <c r="E327" s="31" t="n"/>
      <c r="F327" s="31" t="n"/>
      <c r="G327" s="31" t="n"/>
      <c r="H327" s="31" t="n"/>
      <c r="I327" s="31" t="n"/>
      <c r="J327" s="31" t="n"/>
      <c r="K327" s="31" t="n"/>
      <c r="L327" s="31" t="n"/>
      <c r="M327" s="31" t="n"/>
      <c r="N327" s="31" t="n"/>
      <c r="O327" s="32">
        <f>IF($B327="","",COUNTIF(G327:N327,"Accepted")+COUNTIF(G327:N327,"Received")+COUNTIF(G327:N327,"Needs Correction"))</f>
        <v/>
      </c>
      <c r="P327" s="32">
        <f>IF($B327="","",SUMPRODUCT(((G327:N327="Accepted")+(G327:N327="Not Needed"))*(Settings!$C$11:$J$11="Yes")))</f>
        <v/>
      </c>
      <c r="Q327" s="32">
        <f>IF($B327="","",SUMPRODUCT(((G327:N327="Accepted")+(G327:N327="Not Needed"))*(Settings!$C$15:$J$15="Yes")))</f>
        <v/>
      </c>
      <c r="R327" s="33">
        <f>IF($B327="","",IF($D327="No","No PTO/PTA",IF($D327&lt;&gt;"Yes","Not Yet Confirmed",IF($Q327&gt;=Settings!$C$13,"Legalized",IF($P327&gt;=Settings!$C$12,"Registered",IF($O327&gt;0,"In Progress","Not Started"))))))</f>
        <v/>
      </c>
      <c r="S327" s="32">
        <f>IF($B327="","",COUNTIF(G327:N327,"Received"))</f>
        <v/>
      </c>
      <c r="T327" s="32">
        <f>IF($B327="","",COUNTIF(G327:N327,"Needs Correction"))</f>
        <v/>
      </c>
      <c r="U327" s="33">
        <f>IF($B327="","",IF($D327&lt;&gt;"Yes","",IF($Q327&gt;=Settings!$C$13,"None",MID(IF(AND(G327&lt;&gt;"Accepted",G327&lt;&gt;"Not Needed",Settings!$C$15="Yes"),", "&amp;G$1,"")&amp;IF(AND(H327&lt;&gt;"Accepted",H327&lt;&gt;"Not Needed",Settings!$D$15="Yes"),", "&amp;H$1,"")&amp;IF(AND(I327&lt;&gt;"Accepted",I327&lt;&gt;"Not Needed",Settings!$E$15="Yes"),", "&amp;I$1,"")&amp;IF(AND(J327&lt;&gt;"Accepted",J327&lt;&gt;"Not Needed",Settings!$F$15="Yes"),", "&amp;J$1,"")&amp;IF(AND(K327&lt;&gt;"Accepted",K327&lt;&gt;"Not Needed",Settings!$G$15="Yes"),", "&amp;K$1,"")&amp;IF(AND(L327&lt;&gt;"Accepted",L327&lt;&gt;"Not Needed",Settings!$H$15="Yes"),", "&amp;L$1,"")&amp;IF(AND(M327&lt;&gt;"Accepted",M327&lt;&gt;"Not Needed",Settings!$I$15="Yes"),", "&amp;M$1,"")&amp;IF(AND(N327&lt;&gt;"Accepted",N327&lt;&gt;"Not Needed",Settings!$J$15="Yes"),", "&amp;N$1,""),3,400))))</f>
        <v/>
      </c>
    </row>
    <row r="328" ht="15" customHeight="1" s="21">
      <c r="A328" s="31" t="n"/>
      <c r="B328" s="31" t="n"/>
      <c r="C328" s="31" t="n"/>
      <c r="D328" s="31" t="n"/>
      <c r="E328" s="31" t="n"/>
      <c r="F328" s="31" t="n"/>
      <c r="G328" s="31" t="n"/>
      <c r="H328" s="31" t="n"/>
      <c r="I328" s="31" t="n"/>
      <c r="J328" s="31" t="n"/>
      <c r="K328" s="31" t="n"/>
      <c r="L328" s="31" t="n"/>
      <c r="M328" s="31" t="n"/>
      <c r="N328" s="31" t="n"/>
      <c r="O328" s="32">
        <f>IF($B328="","",COUNTIF(G328:N328,"Accepted")+COUNTIF(G328:N328,"Received")+COUNTIF(G328:N328,"Needs Correction"))</f>
        <v/>
      </c>
      <c r="P328" s="32">
        <f>IF($B328="","",SUMPRODUCT(((G328:N328="Accepted")+(G328:N328="Not Needed"))*(Settings!$C$11:$J$11="Yes")))</f>
        <v/>
      </c>
      <c r="Q328" s="32">
        <f>IF($B328="","",SUMPRODUCT(((G328:N328="Accepted")+(G328:N328="Not Needed"))*(Settings!$C$15:$J$15="Yes")))</f>
        <v/>
      </c>
      <c r="R328" s="33">
        <f>IF($B328="","",IF($D328="No","No PTO/PTA",IF($D328&lt;&gt;"Yes","Not Yet Confirmed",IF($Q328&gt;=Settings!$C$13,"Legalized",IF($P328&gt;=Settings!$C$12,"Registered",IF($O328&gt;0,"In Progress","Not Started"))))))</f>
        <v/>
      </c>
      <c r="S328" s="32">
        <f>IF($B328="","",COUNTIF(G328:N328,"Received"))</f>
        <v/>
      </c>
      <c r="T328" s="32">
        <f>IF($B328="","",COUNTIF(G328:N328,"Needs Correction"))</f>
        <v/>
      </c>
      <c r="U328" s="33">
        <f>IF($B328="","",IF($D328&lt;&gt;"Yes","",IF($Q328&gt;=Settings!$C$13,"None",MID(IF(AND(G328&lt;&gt;"Accepted",G328&lt;&gt;"Not Needed",Settings!$C$15="Yes"),", "&amp;G$1,"")&amp;IF(AND(H328&lt;&gt;"Accepted",H328&lt;&gt;"Not Needed",Settings!$D$15="Yes"),", "&amp;H$1,"")&amp;IF(AND(I328&lt;&gt;"Accepted",I328&lt;&gt;"Not Needed",Settings!$E$15="Yes"),", "&amp;I$1,"")&amp;IF(AND(J328&lt;&gt;"Accepted",J328&lt;&gt;"Not Needed",Settings!$F$15="Yes"),", "&amp;J$1,"")&amp;IF(AND(K328&lt;&gt;"Accepted",K328&lt;&gt;"Not Needed",Settings!$G$15="Yes"),", "&amp;K$1,"")&amp;IF(AND(L328&lt;&gt;"Accepted",L328&lt;&gt;"Not Needed",Settings!$H$15="Yes"),", "&amp;L$1,"")&amp;IF(AND(M328&lt;&gt;"Accepted",M328&lt;&gt;"Not Needed",Settings!$I$15="Yes"),", "&amp;M$1,"")&amp;IF(AND(N328&lt;&gt;"Accepted",N328&lt;&gt;"Not Needed",Settings!$J$15="Yes"),", "&amp;N$1,""),3,400))))</f>
        <v/>
      </c>
    </row>
    <row r="329" ht="15" customHeight="1" s="21">
      <c r="A329" s="31" t="n"/>
      <c r="B329" s="31" t="n"/>
      <c r="C329" s="31" t="n"/>
      <c r="D329" s="31" t="n"/>
      <c r="E329" s="31" t="n"/>
      <c r="F329" s="31" t="n"/>
      <c r="G329" s="31" t="n"/>
      <c r="H329" s="31" t="n"/>
      <c r="I329" s="31" t="n"/>
      <c r="J329" s="31" t="n"/>
      <c r="K329" s="31" t="n"/>
      <c r="L329" s="31" t="n"/>
      <c r="M329" s="31" t="n"/>
      <c r="N329" s="31" t="n"/>
      <c r="O329" s="32">
        <f>IF($B329="","",COUNTIF(G329:N329,"Accepted")+COUNTIF(G329:N329,"Received")+COUNTIF(G329:N329,"Needs Correction"))</f>
        <v/>
      </c>
      <c r="P329" s="32">
        <f>IF($B329="","",SUMPRODUCT(((G329:N329="Accepted")+(G329:N329="Not Needed"))*(Settings!$C$11:$J$11="Yes")))</f>
        <v/>
      </c>
      <c r="Q329" s="32">
        <f>IF($B329="","",SUMPRODUCT(((G329:N329="Accepted")+(G329:N329="Not Needed"))*(Settings!$C$15:$J$15="Yes")))</f>
        <v/>
      </c>
      <c r="R329" s="33">
        <f>IF($B329="","",IF($D329="No","No PTO/PTA",IF($D329&lt;&gt;"Yes","Not Yet Confirmed",IF($Q329&gt;=Settings!$C$13,"Legalized",IF($P329&gt;=Settings!$C$12,"Registered",IF($O329&gt;0,"In Progress","Not Started"))))))</f>
        <v/>
      </c>
      <c r="S329" s="32">
        <f>IF($B329="","",COUNTIF(G329:N329,"Received"))</f>
        <v/>
      </c>
      <c r="T329" s="32">
        <f>IF($B329="","",COUNTIF(G329:N329,"Needs Correction"))</f>
        <v/>
      </c>
      <c r="U329" s="33">
        <f>IF($B329="","",IF($D329&lt;&gt;"Yes","",IF($Q329&gt;=Settings!$C$13,"None",MID(IF(AND(G329&lt;&gt;"Accepted",G329&lt;&gt;"Not Needed",Settings!$C$15="Yes"),", "&amp;G$1,"")&amp;IF(AND(H329&lt;&gt;"Accepted",H329&lt;&gt;"Not Needed",Settings!$D$15="Yes"),", "&amp;H$1,"")&amp;IF(AND(I329&lt;&gt;"Accepted",I329&lt;&gt;"Not Needed",Settings!$E$15="Yes"),", "&amp;I$1,"")&amp;IF(AND(J329&lt;&gt;"Accepted",J329&lt;&gt;"Not Needed",Settings!$F$15="Yes"),", "&amp;J$1,"")&amp;IF(AND(K329&lt;&gt;"Accepted",K329&lt;&gt;"Not Needed",Settings!$G$15="Yes"),", "&amp;K$1,"")&amp;IF(AND(L329&lt;&gt;"Accepted",L329&lt;&gt;"Not Needed",Settings!$H$15="Yes"),", "&amp;L$1,"")&amp;IF(AND(M329&lt;&gt;"Accepted",M329&lt;&gt;"Not Needed",Settings!$I$15="Yes"),", "&amp;M$1,"")&amp;IF(AND(N329&lt;&gt;"Accepted",N329&lt;&gt;"Not Needed",Settings!$J$15="Yes"),", "&amp;N$1,""),3,400))))</f>
        <v/>
      </c>
    </row>
    <row r="330" ht="15" customHeight="1" s="21">
      <c r="A330" s="31" t="n"/>
      <c r="B330" s="31" t="n"/>
      <c r="C330" s="31" t="n"/>
      <c r="D330" s="31" t="n"/>
      <c r="E330" s="31" t="n"/>
      <c r="F330" s="31" t="n"/>
      <c r="G330" s="31" t="n"/>
      <c r="H330" s="31" t="n"/>
      <c r="I330" s="31" t="n"/>
      <c r="J330" s="31" t="n"/>
      <c r="K330" s="31" t="n"/>
      <c r="L330" s="31" t="n"/>
      <c r="M330" s="31" t="n"/>
      <c r="N330" s="31" t="n"/>
      <c r="O330" s="32">
        <f>IF($B330="","",COUNTIF(G330:N330,"Accepted")+COUNTIF(G330:N330,"Received")+COUNTIF(G330:N330,"Needs Correction"))</f>
        <v/>
      </c>
      <c r="P330" s="32">
        <f>IF($B330="","",SUMPRODUCT(((G330:N330="Accepted")+(G330:N330="Not Needed"))*(Settings!$C$11:$J$11="Yes")))</f>
        <v/>
      </c>
      <c r="Q330" s="32">
        <f>IF($B330="","",SUMPRODUCT(((G330:N330="Accepted")+(G330:N330="Not Needed"))*(Settings!$C$15:$J$15="Yes")))</f>
        <v/>
      </c>
      <c r="R330" s="33">
        <f>IF($B330="","",IF($D330="No","No PTO/PTA",IF($D330&lt;&gt;"Yes","Not Yet Confirmed",IF($Q330&gt;=Settings!$C$13,"Legalized",IF($P330&gt;=Settings!$C$12,"Registered",IF($O330&gt;0,"In Progress","Not Started"))))))</f>
        <v/>
      </c>
      <c r="S330" s="32">
        <f>IF($B330="","",COUNTIF(G330:N330,"Received"))</f>
        <v/>
      </c>
      <c r="T330" s="32">
        <f>IF($B330="","",COUNTIF(G330:N330,"Needs Correction"))</f>
        <v/>
      </c>
      <c r="U330" s="33">
        <f>IF($B330="","",IF($D330&lt;&gt;"Yes","",IF($Q330&gt;=Settings!$C$13,"None",MID(IF(AND(G330&lt;&gt;"Accepted",G330&lt;&gt;"Not Needed",Settings!$C$15="Yes"),", "&amp;G$1,"")&amp;IF(AND(H330&lt;&gt;"Accepted",H330&lt;&gt;"Not Needed",Settings!$D$15="Yes"),", "&amp;H$1,"")&amp;IF(AND(I330&lt;&gt;"Accepted",I330&lt;&gt;"Not Needed",Settings!$E$15="Yes"),", "&amp;I$1,"")&amp;IF(AND(J330&lt;&gt;"Accepted",J330&lt;&gt;"Not Needed",Settings!$F$15="Yes"),", "&amp;J$1,"")&amp;IF(AND(K330&lt;&gt;"Accepted",K330&lt;&gt;"Not Needed",Settings!$G$15="Yes"),", "&amp;K$1,"")&amp;IF(AND(L330&lt;&gt;"Accepted",L330&lt;&gt;"Not Needed",Settings!$H$15="Yes"),", "&amp;L$1,"")&amp;IF(AND(M330&lt;&gt;"Accepted",M330&lt;&gt;"Not Needed",Settings!$I$15="Yes"),", "&amp;M$1,"")&amp;IF(AND(N330&lt;&gt;"Accepted",N330&lt;&gt;"Not Needed",Settings!$J$15="Yes"),", "&amp;N$1,""),3,400))))</f>
        <v/>
      </c>
    </row>
    <row r="331" ht="15" customHeight="1" s="21">
      <c r="A331" s="31" t="n"/>
      <c r="B331" s="31" t="n"/>
      <c r="C331" s="31" t="n"/>
      <c r="D331" s="31" t="n"/>
      <c r="E331" s="31" t="n"/>
      <c r="F331" s="31" t="n"/>
      <c r="G331" s="31" t="n"/>
      <c r="H331" s="31" t="n"/>
      <c r="I331" s="31" t="n"/>
      <c r="J331" s="31" t="n"/>
      <c r="K331" s="31" t="n"/>
      <c r="L331" s="31" t="n"/>
      <c r="M331" s="31" t="n"/>
      <c r="N331" s="31" t="n"/>
      <c r="O331" s="32">
        <f>IF($B331="","",COUNTIF(G331:N331,"Accepted")+COUNTIF(G331:N331,"Received")+COUNTIF(G331:N331,"Needs Correction"))</f>
        <v/>
      </c>
      <c r="P331" s="32">
        <f>IF($B331="","",SUMPRODUCT(((G331:N331="Accepted")+(G331:N331="Not Needed"))*(Settings!$C$11:$J$11="Yes")))</f>
        <v/>
      </c>
      <c r="Q331" s="32">
        <f>IF($B331="","",SUMPRODUCT(((G331:N331="Accepted")+(G331:N331="Not Needed"))*(Settings!$C$15:$J$15="Yes")))</f>
        <v/>
      </c>
      <c r="R331" s="33">
        <f>IF($B331="","",IF($D331="No","No PTO/PTA",IF($D331&lt;&gt;"Yes","Not Yet Confirmed",IF($Q331&gt;=Settings!$C$13,"Legalized",IF($P331&gt;=Settings!$C$12,"Registered",IF($O331&gt;0,"In Progress","Not Started"))))))</f>
        <v/>
      </c>
      <c r="S331" s="32">
        <f>IF($B331="","",COUNTIF(G331:N331,"Received"))</f>
        <v/>
      </c>
      <c r="T331" s="32">
        <f>IF($B331="","",COUNTIF(G331:N331,"Needs Correction"))</f>
        <v/>
      </c>
      <c r="U331" s="33">
        <f>IF($B331="","",IF($D331&lt;&gt;"Yes","",IF($Q331&gt;=Settings!$C$13,"None",MID(IF(AND(G331&lt;&gt;"Accepted",G331&lt;&gt;"Not Needed",Settings!$C$15="Yes"),", "&amp;G$1,"")&amp;IF(AND(H331&lt;&gt;"Accepted",H331&lt;&gt;"Not Needed",Settings!$D$15="Yes"),", "&amp;H$1,"")&amp;IF(AND(I331&lt;&gt;"Accepted",I331&lt;&gt;"Not Needed",Settings!$E$15="Yes"),", "&amp;I$1,"")&amp;IF(AND(J331&lt;&gt;"Accepted",J331&lt;&gt;"Not Needed",Settings!$F$15="Yes"),", "&amp;J$1,"")&amp;IF(AND(K331&lt;&gt;"Accepted",K331&lt;&gt;"Not Needed",Settings!$G$15="Yes"),", "&amp;K$1,"")&amp;IF(AND(L331&lt;&gt;"Accepted",L331&lt;&gt;"Not Needed",Settings!$H$15="Yes"),", "&amp;L$1,"")&amp;IF(AND(M331&lt;&gt;"Accepted",M331&lt;&gt;"Not Needed",Settings!$I$15="Yes"),", "&amp;M$1,"")&amp;IF(AND(N331&lt;&gt;"Accepted",N331&lt;&gt;"Not Needed",Settings!$J$15="Yes"),", "&amp;N$1,""),3,400))))</f>
        <v/>
      </c>
    </row>
    <row r="332" ht="15" customHeight="1" s="21">
      <c r="A332" s="31" t="n"/>
      <c r="B332" s="31" t="n"/>
      <c r="C332" s="31" t="n"/>
      <c r="D332" s="31" t="n"/>
      <c r="E332" s="31" t="n"/>
      <c r="F332" s="31" t="n"/>
      <c r="G332" s="31" t="n"/>
      <c r="H332" s="31" t="n"/>
      <c r="I332" s="31" t="n"/>
      <c r="J332" s="31" t="n"/>
      <c r="K332" s="31" t="n"/>
      <c r="L332" s="31" t="n"/>
      <c r="M332" s="31" t="n"/>
      <c r="N332" s="31" t="n"/>
      <c r="O332" s="32">
        <f>IF($B332="","",COUNTIF(G332:N332,"Accepted")+COUNTIF(G332:N332,"Received")+COUNTIF(G332:N332,"Needs Correction"))</f>
        <v/>
      </c>
      <c r="P332" s="32">
        <f>IF($B332="","",SUMPRODUCT(((G332:N332="Accepted")+(G332:N332="Not Needed"))*(Settings!$C$11:$J$11="Yes")))</f>
        <v/>
      </c>
      <c r="Q332" s="32">
        <f>IF($B332="","",SUMPRODUCT(((G332:N332="Accepted")+(G332:N332="Not Needed"))*(Settings!$C$15:$J$15="Yes")))</f>
        <v/>
      </c>
      <c r="R332" s="33">
        <f>IF($B332="","",IF($D332="No","No PTO/PTA",IF($D332&lt;&gt;"Yes","Not Yet Confirmed",IF($Q332&gt;=Settings!$C$13,"Legalized",IF($P332&gt;=Settings!$C$12,"Registered",IF($O332&gt;0,"In Progress","Not Started"))))))</f>
        <v/>
      </c>
      <c r="S332" s="32">
        <f>IF($B332="","",COUNTIF(G332:N332,"Received"))</f>
        <v/>
      </c>
      <c r="T332" s="32">
        <f>IF($B332="","",COUNTIF(G332:N332,"Needs Correction"))</f>
        <v/>
      </c>
      <c r="U332" s="33">
        <f>IF($B332="","",IF($D332&lt;&gt;"Yes","",IF($Q332&gt;=Settings!$C$13,"None",MID(IF(AND(G332&lt;&gt;"Accepted",G332&lt;&gt;"Not Needed",Settings!$C$15="Yes"),", "&amp;G$1,"")&amp;IF(AND(H332&lt;&gt;"Accepted",H332&lt;&gt;"Not Needed",Settings!$D$15="Yes"),", "&amp;H$1,"")&amp;IF(AND(I332&lt;&gt;"Accepted",I332&lt;&gt;"Not Needed",Settings!$E$15="Yes"),", "&amp;I$1,"")&amp;IF(AND(J332&lt;&gt;"Accepted",J332&lt;&gt;"Not Needed",Settings!$F$15="Yes"),", "&amp;J$1,"")&amp;IF(AND(K332&lt;&gt;"Accepted",K332&lt;&gt;"Not Needed",Settings!$G$15="Yes"),", "&amp;K$1,"")&amp;IF(AND(L332&lt;&gt;"Accepted",L332&lt;&gt;"Not Needed",Settings!$H$15="Yes"),", "&amp;L$1,"")&amp;IF(AND(M332&lt;&gt;"Accepted",M332&lt;&gt;"Not Needed",Settings!$I$15="Yes"),", "&amp;M$1,"")&amp;IF(AND(N332&lt;&gt;"Accepted",N332&lt;&gt;"Not Needed",Settings!$J$15="Yes"),", "&amp;N$1,""),3,400))))</f>
        <v/>
      </c>
    </row>
    <row r="333" ht="15" customHeight="1" s="21">
      <c r="A333" s="31" t="n"/>
      <c r="B333" s="31" t="n"/>
      <c r="C333" s="31" t="n"/>
      <c r="D333" s="31" t="n"/>
      <c r="E333" s="31" t="n"/>
      <c r="F333" s="31" t="n"/>
      <c r="G333" s="31" t="n"/>
      <c r="H333" s="31" t="n"/>
      <c r="I333" s="31" t="n"/>
      <c r="J333" s="31" t="n"/>
      <c r="K333" s="31" t="n"/>
      <c r="L333" s="31" t="n"/>
      <c r="M333" s="31" t="n"/>
      <c r="N333" s="31" t="n"/>
      <c r="O333" s="32">
        <f>IF($B333="","",COUNTIF(G333:N333,"Accepted")+COUNTIF(G333:N333,"Received")+COUNTIF(G333:N333,"Needs Correction"))</f>
        <v/>
      </c>
      <c r="P333" s="32">
        <f>IF($B333="","",SUMPRODUCT(((G333:N333="Accepted")+(G333:N333="Not Needed"))*(Settings!$C$11:$J$11="Yes")))</f>
        <v/>
      </c>
      <c r="Q333" s="32">
        <f>IF($B333="","",SUMPRODUCT(((G333:N333="Accepted")+(G333:N333="Not Needed"))*(Settings!$C$15:$J$15="Yes")))</f>
        <v/>
      </c>
      <c r="R333" s="33">
        <f>IF($B333="","",IF($D333="No","No PTO/PTA",IF($D333&lt;&gt;"Yes","Not Yet Confirmed",IF($Q333&gt;=Settings!$C$13,"Legalized",IF($P333&gt;=Settings!$C$12,"Registered",IF($O333&gt;0,"In Progress","Not Started"))))))</f>
        <v/>
      </c>
      <c r="S333" s="32">
        <f>IF($B333="","",COUNTIF(G333:N333,"Received"))</f>
        <v/>
      </c>
      <c r="T333" s="32">
        <f>IF($B333="","",COUNTIF(G333:N333,"Needs Correction"))</f>
        <v/>
      </c>
      <c r="U333" s="33">
        <f>IF($B333="","",IF($D333&lt;&gt;"Yes","",IF($Q333&gt;=Settings!$C$13,"None",MID(IF(AND(G333&lt;&gt;"Accepted",G333&lt;&gt;"Not Needed",Settings!$C$15="Yes"),", "&amp;G$1,"")&amp;IF(AND(H333&lt;&gt;"Accepted",H333&lt;&gt;"Not Needed",Settings!$D$15="Yes"),", "&amp;H$1,"")&amp;IF(AND(I333&lt;&gt;"Accepted",I333&lt;&gt;"Not Needed",Settings!$E$15="Yes"),", "&amp;I$1,"")&amp;IF(AND(J333&lt;&gt;"Accepted",J333&lt;&gt;"Not Needed",Settings!$F$15="Yes"),", "&amp;J$1,"")&amp;IF(AND(K333&lt;&gt;"Accepted",K333&lt;&gt;"Not Needed",Settings!$G$15="Yes"),", "&amp;K$1,"")&amp;IF(AND(L333&lt;&gt;"Accepted",L333&lt;&gt;"Not Needed",Settings!$H$15="Yes"),", "&amp;L$1,"")&amp;IF(AND(M333&lt;&gt;"Accepted",M333&lt;&gt;"Not Needed",Settings!$I$15="Yes"),", "&amp;M$1,"")&amp;IF(AND(N333&lt;&gt;"Accepted",N333&lt;&gt;"Not Needed",Settings!$J$15="Yes"),", "&amp;N$1,""),3,400))))</f>
        <v/>
      </c>
    </row>
    <row r="334" ht="15" customHeight="1" s="21">
      <c r="A334" s="31" t="n"/>
      <c r="B334" s="31" t="n"/>
      <c r="C334" s="31" t="n"/>
      <c r="D334" s="31" t="n"/>
      <c r="E334" s="31" t="n"/>
      <c r="F334" s="31" t="n"/>
      <c r="G334" s="31" t="n"/>
      <c r="H334" s="31" t="n"/>
      <c r="I334" s="31" t="n"/>
      <c r="J334" s="31" t="n"/>
      <c r="K334" s="31" t="n"/>
      <c r="L334" s="31" t="n"/>
      <c r="M334" s="31" t="n"/>
      <c r="N334" s="31" t="n"/>
      <c r="O334" s="32">
        <f>IF($B334="","",COUNTIF(G334:N334,"Accepted")+COUNTIF(G334:N334,"Received")+COUNTIF(G334:N334,"Needs Correction"))</f>
        <v/>
      </c>
      <c r="P334" s="32">
        <f>IF($B334="","",SUMPRODUCT(((G334:N334="Accepted")+(G334:N334="Not Needed"))*(Settings!$C$11:$J$11="Yes")))</f>
        <v/>
      </c>
      <c r="Q334" s="32">
        <f>IF($B334="","",SUMPRODUCT(((G334:N334="Accepted")+(G334:N334="Not Needed"))*(Settings!$C$15:$J$15="Yes")))</f>
        <v/>
      </c>
      <c r="R334" s="33">
        <f>IF($B334="","",IF($D334="No","No PTO/PTA",IF($D334&lt;&gt;"Yes","Not Yet Confirmed",IF($Q334&gt;=Settings!$C$13,"Legalized",IF($P334&gt;=Settings!$C$12,"Registered",IF($O334&gt;0,"In Progress","Not Started"))))))</f>
        <v/>
      </c>
      <c r="S334" s="32">
        <f>IF($B334="","",COUNTIF(G334:N334,"Received"))</f>
        <v/>
      </c>
      <c r="T334" s="32">
        <f>IF($B334="","",COUNTIF(G334:N334,"Needs Correction"))</f>
        <v/>
      </c>
      <c r="U334" s="33">
        <f>IF($B334="","",IF($D334&lt;&gt;"Yes","",IF($Q334&gt;=Settings!$C$13,"None",MID(IF(AND(G334&lt;&gt;"Accepted",G334&lt;&gt;"Not Needed",Settings!$C$15="Yes"),", "&amp;G$1,"")&amp;IF(AND(H334&lt;&gt;"Accepted",H334&lt;&gt;"Not Needed",Settings!$D$15="Yes"),", "&amp;H$1,"")&amp;IF(AND(I334&lt;&gt;"Accepted",I334&lt;&gt;"Not Needed",Settings!$E$15="Yes"),", "&amp;I$1,"")&amp;IF(AND(J334&lt;&gt;"Accepted",J334&lt;&gt;"Not Needed",Settings!$F$15="Yes"),", "&amp;J$1,"")&amp;IF(AND(K334&lt;&gt;"Accepted",K334&lt;&gt;"Not Needed",Settings!$G$15="Yes"),", "&amp;K$1,"")&amp;IF(AND(L334&lt;&gt;"Accepted",L334&lt;&gt;"Not Needed",Settings!$H$15="Yes"),", "&amp;L$1,"")&amp;IF(AND(M334&lt;&gt;"Accepted",M334&lt;&gt;"Not Needed",Settings!$I$15="Yes"),", "&amp;M$1,"")&amp;IF(AND(N334&lt;&gt;"Accepted",N334&lt;&gt;"Not Needed",Settings!$J$15="Yes"),", "&amp;N$1,""),3,400))))</f>
        <v/>
      </c>
    </row>
    <row r="335" ht="15" customHeight="1" s="21">
      <c r="A335" s="31" t="n"/>
      <c r="B335" s="31" t="n"/>
      <c r="C335" s="31" t="n"/>
      <c r="D335" s="31" t="n"/>
      <c r="E335" s="31" t="n"/>
      <c r="F335" s="31" t="n"/>
      <c r="G335" s="31" t="n"/>
      <c r="H335" s="31" t="n"/>
      <c r="I335" s="31" t="n"/>
      <c r="J335" s="31" t="n"/>
      <c r="K335" s="31" t="n"/>
      <c r="L335" s="31" t="n"/>
      <c r="M335" s="31" t="n"/>
      <c r="N335" s="31" t="n"/>
      <c r="O335" s="32">
        <f>IF($B335="","",COUNTIF(G335:N335,"Accepted")+COUNTIF(G335:N335,"Received")+COUNTIF(G335:N335,"Needs Correction"))</f>
        <v/>
      </c>
      <c r="P335" s="32">
        <f>IF($B335="","",SUMPRODUCT(((G335:N335="Accepted")+(G335:N335="Not Needed"))*(Settings!$C$11:$J$11="Yes")))</f>
        <v/>
      </c>
      <c r="Q335" s="32">
        <f>IF($B335="","",SUMPRODUCT(((G335:N335="Accepted")+(G335:N335="Not Needed"))*(Settings!$C$15:$J$15="Yes")))</f>
        <v/>
      </c>
      <c r="R335" s="33">
        <f>IF($B335="","",IF($D335="No","No PTO/PTA",IF($D335&lt;&gt;"Yes","Not Yet Confirmed",IF($Q335&gt;=Settings!$C$13,"Legalized",IF($P335&gt;=Settings!$C$12,"Registered",IF($O335&gt;0,"In Progress","Not Started"))))))</f>
        <v/>
      </c>
      <c r="S335" s="32">
        <f>IF($B335="","",COUNTIF(G335:N335,"Received"))</f>
        <v/>
      </c>
      <c r="T335" s="32">
        <f>IF($B335="","",COUNTIF(G335:N335,"Needs Correction"))</f>
        <v/>
      </c>
      <c r="U335" s="33">
        <f>IF($B335="","",IF($D335&lt;&gt;"Yes","",IF($Q335&gt;=Settings!$C$13,"None",MID(IF(AND(G335&lt;&gt;"Accepted",G335&lt;&gt;"Not Needed",Settings!$C$15="Yes"),", "&amp;G$1,"")&amp;IF(AND(H335&lt;&gt;"Accepted",H335&lt;&gt;"Not Needed",Settings!$D$15="Yes"),", "&amp;H$1,"")&amp;IF(AND(I335&lt;&gt;"Accepted",I335&lt;&gt;"Not Needed",Settings!$E$15="Yes"),", "&amp;I$1,"")&amp;IF(AND(J335&lt;&gt;"Accepted",J335&lt;&gt;"Not Needed",Settings!$F$15="Yes"),", "&amp;J$1,"")&amp;IF(AND(K335&lt;&gt;"Accepted",K335&lt;&gt;"Not Needed",Settings!$G$15="Yes"),", "&amp;K$1,"")&amp;IF(AND(L335&lt;&gt;"Accepted",L335&lt;&gt;"Not Needed",Settings!$H$15="Yes"),", "&amp;L$1,"")&amp;IF(AND(M335&lt;&gt;"Accepted",M335&lt;&gt;"Not Needed",Settings!$I$15="Yes"),", "&amp;M$1,"")&amp;IF(AND(N335&lt;&gt;"Accepted",N335&lt;&gt;"Not Needed",Settings!$J$15="Yes"),", "&amp;N$1,""),3,400))))</f>
        <v/>
      </c>
    </row>
    <row r="336" ht="15" customHeight="1" s="21">
      <c r="A336" s="31" t="n"/>
      <c r="B336" s="31" t="n"/>
      <c r="C336" s="31" t="n"/>
      <c r="D336" s="31" t="n"/>
      <c r="E336" s="31" t="n"/>
      <c r="F336" s="31" t="n"/>
      <c r="G336" s="31" t="n"/>
      <c r="H336" s="31" t="n"/>
      <c r="I336" s="31" t="n"/>
      <c r="J336" s="31" t="n"/>
      <c r="K336" s="31" t="n"/>
      <c r="L336" s="31" t="n"/>
      <c r="M336" s="31" t="n"/>
      <c r="N336" s="31" t="n"/>
      <c r="O336" s="32">
        <f>IF($B336="","",COUNTIF(G336:N336,"Accepted")+COUNTIF(G336:N336,"Received")+COUNTIF(G336:N336,"Needs Correction"))</f>
        <v/>
      </c>
      <c r="P336" s="32">
        <f>IF($B336="","",SUMPRODUCT(((G336:N336="Accepted")+(G336:N336="Not Needed"))*(Settings!$C$11:$J$11="Yes")))</f>
        <v/>
      </c>
      <c r="Q336" s="32">
        <f>IF($B336="","",SUMPRODUCT(((G336:N336="Accepted")+(G336:N336="Not Needed"))*(Settings!$C$15:$J$15="Yes")))</f>
        <v/>
      </c>
      <c r="R336" s="33">
        <f>IF($B336="","",IF($D336="No","No PTO/PTA",IF($D336&lt;&gt;"Yes","Not Yet Confirmed",IF($Q336&gt;=Settings!$C$13,"Legalized",IF($P336&gt;=Settings!$C$12,"Registered",IF($O336&gt;0,"In Progress","Not Started"))))))</f>
        <v/>
      </c>
      <c r="S336" s="32">
        <f>IF($B336="","",COUNTIF(G336:N336,"Received"))</f>
        <v/>
      </c>
      <c r="T336" s="32">
        <f>IF($B336="","",COUNTIF(G336:N336,"Needs Correction"))</f>
        <v/>
      </c>
      <c r="U336" s="33">
        <f>IF($B336="","",IF($D336&lt;&gt;"Yes","",IF($Q336&gt;=Settings!$C$13,"None",MID(IF(AND(G336&lt;&gt;"Accepted",G336&lt;&gt;"Not Needed",Settings!$C$15="Yes"),", "&amp;G$1,"")&amp;IF(AND(H336&lt;&gt;"Accepted",H336&lt;&gt;"Not Needed",Settings!$D$15="Yes"),", "&amp;H$1,"")&amp;IF(AND(I336&lt;&gt;"Accepted",I336&lt;&gt;"Not Needed",Settings!$E$15="Yes"),", "&amp;I$1,"")&amp;IF(AND(J336&lt;&gt;"Accepted",J336&lt;&gt;"Not Needed",Settings!$F$15="Yes"),", "&amp;J$1,"")&amp;IF(AND(K336&lt;&gt;"Accepted",K336&lt;&gt;"Not Needed",Settings!$G$15="Yes"),", "&amp;K$1,"")&amp;IF(AND(L336&lt;&gt;"Accepted",L336&lt;&gt;"Not Needed",Settings!$H$15="Yes"),", "&amp;L$1,"")&amp;IF(AND(M336&lt;&gt;"Accepted",M336&lt;&gt;"Not Needed",Settings!$I$15="Yes"),", "&amp;M$1,"")&amp;IF(AND(N336&lt;&gt;"Accepted",N336&lt;&gt;"Not Needed",Settings!$J$15="Yes"),", "&amp;N$1,""),3,400))))</f>
        <v/>
      </c>
    </row>
    <row r="337" ht="15" customHeight="1" s="21">
      <c r="A337" s="31" t="n"/>
      <c r="B337" s="31" t="n"/>
      <c r="C337" s="31" t="n"/>
      <c r="D337" s="31" t="n"/>
      <c r="E337" s="31" t="n"/>
      <c r="F337" s="31" t="n"/>
      <c r="G337" s="31" t="n"/>
      <c r="H337" s="31" t="n"/>
      <c r="I337" s="31" t="n"/>
      <c r="J337" s="31" t="n"/>
      <c r="K337" s="31" t="n"/>
      <c r="L337" s="31" t="n"/>
      <c r="M337" s="31" t="n"/>
      <c r="N337" s="31" t="n"/>
      <c r="O337" s="32">
        <f>IF($B337="","",COUNTIF(G337:N337,"Accepted")+COUNTIF(G337:N337,"Received")+COUNTIF(G337:N337,"Needs Correction"))</f>
        <v/>
      </c>
      <c r="P337" s="32">
        <f>IF($B337="","",SUMPRODUCT(((G337:N337="Accepted")+(G337:N337="Not Needed"))*(Settings!$C$11:$J$11="Yes")))</f>
        <v/>
      </c>
      <c r="Q337" s="32">
        <f>IF($B337="","",SUMPRODUCT(((G337:N337="Accepted")+(G337:N337="Not Needed"))*(Settings!$C$15:$J$15="Yes")))</f>
        <v/>
      </c>
      <c r="R337" s="33">
        <f>IF($B337="","",IF($D337="No","No PTO/PTA",IF($D337&lt;&gt;"Yes","Not Yet Confirmed",IF($Q337&gt;=Settings!$C$13,"Legalized",IF($P337&gt;=Settings!$C$12,"Registered",IF($O337&gt;0,"In Progress","Not Started"))))))</f>
        <v/>
      </c>
      <c r="S337" s="32">
        <f>IF($B337="","",COUNTIF(G337:N337,"Received"))</f>
        <v/>
      </c>
      <c r="T337" s="32">
        <f>IF($B337="","",COUNTIF(G337:N337,"Needs Correction"))</f>
        <v/>
      </c>
      <c r="U337" s="33">
        <f>IF($B337="","",IF($D337&lt;&gt;"Yes","",IF($Q337&gt;=Settings!$C$13,"None",MID(IF(AND(G337&lt;&gt;"Accepted",G337&lt;&gt;"Not Needed",Settings!$C$15="Yes"),", "&amp;G$1,"")&amp;IF(AND(H337&lt;&gt;"Accepted",H337&lt;&gt;"Not Needed",Settings!$D$15="Yes"),", "&amp;H$1,"")&amp;IF(AND(I337&lt;&gt;"Accepted",I337&lt;&gt;"Not Needed",Settings!$E$15="Yes"),", "&amp;I$1,"")&amp;IF(AND(J337&lt;&gt;"Accepted",J337&lt;&gt;"Not Needed",Settings!$F$15="Yes"),", "&amp;J$1,"")&amp;IF(AND(K337&lt;&gt;"Accepted",K337&lt;&gt;"Not Needed",Settings!$G$15="Yes"),", "&amp;K$1,"")&amp;IF(AND(L337&lt;&gt;"Accepted",L337&lt;&gt;"Not Needed",Settings!$H$15="Yes"),", "&amp;L$1,"")&amp;IF(AND(M337&lt;&gt;"Accepted",M337&lt;&gt;"Not Needed",Settings!$I$15="Yes"),", "&amp;M$1,"")&amp;IF(AND(N337&lt;&gt;"Accepted",N337&lt;&gt;"Not Needed",Settings!$J$15="Yes"),", "&amp;N$1,""),3,400))))</f>
        <v/>
      </c>
    </row>
    <row r="338" ht="15" customHeight="1" s="21">
      <c r="A338" s="31" t="n"/>
      <c r="B338" s="31" t="n"/>
      <c r="C338" s="31" t="n"/>
      <c r="D338" s="31" t="n"/>
      <c r="E338" s="31" t="n"/>
      <c r="F338" s="31" t="n"/>
      <c r="G338" s="31" t="n"/>
      <c r="H338" s="31" t="n"/>
      <c r="I338" s="31" t="n"/>
      <c r="J338" s="31" t="n"/>
      <c r="K338" s="31" t="n"/>
      <c r="L338" s="31" t="n"/>
      <c r="M338" s="31" t="n"/>
      <c r="N338" s="31" t="n"/>
      <c r="O338" s="32">
        <f>IF($B338="","",COUNTIF(G338:N338,"Accepted")+COUNTIF(G338:N338,"Received")+COUNTIF(G338:N338,"Needs Correction"))</f>
        <v/>
      </c>
      <c r="P338" s="32">
        <f>IF($B338="","",SUMPRODUCT(((G338:N338="Accepted")+(G338:N338="Not Needed"))*(Settings!$C$11:$J$11="Yes")))</f>
        <v/>
      </c>
      <c r="Q338" s="32">
        <f>IF($B338="","",SUMPRODUCT(((G338:N338="Accepted")+(G338:N338="Not Needed"))*(Settings!$C$15:$J$15="Yes")))</f>
        <v/>
      </c>
      <c r="R338" s="33">
        <f>IF($B338="","",IF($D338="No","No PTO/PTA",IF($D338&lt;&gt;"Yes","Not Yet Confirmed",IF($Q338&gt;=Settings!$C$13,"Legalized",IF($P338&gt;=Settings!$C$12,"Registered",IF($O338&gt;0,"In Progress","Not Started"))))))</f>
        <v/>
      </c>
      <c r="S338" s="32">
        <f>IF($B338="","",COUNTIF(G338:N338,"Received"))</f>
        <v/>
      </c>
      <c r="T338" s="32">
        <f>IF($B338="","",COUNTIF(G338:N338,"Needs Correction"))</f>
        <v/>
      </c>
      <c r="U338" s="33">
        <f>IF($B338="","",IF($D338&lt;&gt;"Yes","",IF($Q338&gt;=Settings!$C$13,"None",MID(IF(AND(G338&lt;&gt;"Accepted",G338&lt;&gt;"Not Needed",Settings!$C$15="Yes"),", "&amp;G$1,"")&amp;IF(AND(H338&lt;&gt;"Accepted",H338&lt;&gt;"Not Needed",Settings!$D$15="Yes"),", "&amp;H$1,"")&amp;IF(AND(I338&lt;&gt;"Accepted",I338&lt;&gt;"Not Needed",Settings!$E$15="Yes"),", "&amp;I$1,"")&amp;IF(AND(J338&lt;&gt;"Accepted",J338&lt;&gt;"Not Needed",Settings!$F$15="Yes"),", "&amp;J$1,"")&amp;IF(AND(K338&lt;&gt;"Accepted",K338&lt;&gt;"Not Needed",Settings!$G$15="Yes"),", "&amp;K$1,"")&amp;IF(AND(L338&lt;&gt;"Accepted",L338&lt;&gt;"Not Needed",Settings!$H$15="Yes"),", "&amp;L$1,"")&amp;IF(AND(M338&lt;&gt;"Accepted",M338&lt;&gt;"Not Needed",Settings!$I$15="Yes"),", "&amp;M$1,"")&amp;IF(AND(N338&lt;&gt;"Accepted",N338&lt;&gt;"Not Needed",Settings!$J$15="Yes"),", "&amp;N$1,""),3,400))))</f>
        <v/>
      </c>
    </row>
    <row r="339" ht="15" customHeight="1" s="21">
      <c r="A339" s="31" t="n"/>
      <c r="B339" s="31" t="n"/>
      <c r="C339" s="31" t="n"/>
      <c r="D339" s="31" t="n"/>
      <c r="E339" s="31" t="n"/>
      <c r="F339" s="31" t="n"/>
      <c r="G339" s="31" t="n"/>
      <c r="H339" s="31" t="n"/>
      <c r="I339" s="31" t="n"/>
      <c r="J339" s="31" t="n"/>
      <c r="K339" s="31" t="n"/>
      <c r="L339" s="31" t="n"/>
      <c r="M339" s="31" t="n"/>
      <c r="N339" s="31" t="n"/>
      <c r="O339" s="32">
        <f>IF($B339="","",COUNTIF(G339:N339,"Accepted")+COUNTIF(G339:N339,"Received")+COUNTIF(G339:N339,"Needs Correction"))</f>
        <v/>
      </c>
      <c r="P339" s="32">
        <f>IF($B339="","",SUMPRODUCT(((G339:N339="Accepted")+(G339:N339="Not Needed"))*(Settings!$C$11:$J$11="Yes")))</f>
        <v/>
      </c>
      <c r="Q339" s="32">
        <f>IF($B339="","",SUMPRODUCT(((G339:N339="Accepted")+(G339:N339="Not Needed"))*(Settings!$C$15:$J$15="Yes")))</f>
        <v/>
      </c>
      <c r="R339" s="33">
        <f>IF($B339="","",IF($D339="No","No PTO/PTA",IF($D339&lt;&gt;"Yes","Not Yet Confirmed",IF($Q339&gt;=Settings!$C$13,"Legalized",IF($P339&gt;=Settings!$C$12,"Registered",IF($O339&gt;0,"In Progress","Not Started"))))))</f>
        <v/>
      </c>
      <c r="S339" s="32">
        <f>IF($B339="","",COUNTIF(G339:N339,"Received"))</f>
        <v/>
      </c>
      <c r="T339" s="32">
        <f>IF($B339="","",COUNTIF(G339:N339,"Needs Correction"))</f>
        <v/>
      </c>
      <c r="U339" s="33">
        <f>IF($B339="","",IF($D339&lt;&gt;"Yes","",IF($Q339&gt;=Settings!$C$13,"None",MID(IF(AND(G339&lt;&gt;"Accepted",G339&lt;&gt;"Not Needed",Settings!$C$15="Yes"),", "&amp;G$1,"")&amp;IF(AND(H339&lt;&gt;"Accepted",H339&lt;&gt;"Not Needed",Settings!$D$15="Yes"),", "&amp;H$1,"")&amp;IF(AND(I339&lt;&gt;"Accepted",I339&lt;&gt;"Not Needed",Settings!$E$15="Yes"),", "&amp;I$1,"")&amp;IF(AND(J339&lt;&gt;"Accepted",J339&lt;&gt;"Not Needed",Settings!$F$15="Yes"),", "&amp;J$1,"")&amp;IF(AND(K339&lt;&gt;"Accepted",K339&lt;&gt;"Not Needed",Settings!$G$15="Yes"),", "&amp;K$1,"")&amp;IF(AND(L339&lt;&gt;"Accepted",L339&lt;&gt;"Not Needed",Settings!$H$15="Yes"),", "&amp;L$1,"")&amp;IF(AND(M339&lt;&gt;"Accepted",M339&lt;&gt;"Not Needed",Settings!$I$15="Yes"),", "&amp;M$1,"")&amp;IF(AND(N339&lt;&gt;"Accepted",N339&lt;&gt;"Not Needed",Settings!$J$15="Yes"),", "&amp;N$1,""),3,400))))</f>
        <v/>
      </c>
    </row>
    <row r="340" ht="15" customHeight="1" s="21">
      <c r="A340" s="31" t="n"/>
      <c r="B340" s="31" t="n"/>
      <c r="C340" s="31" t="n"/>
      <c r="D340" s="31" t="n"/>
      <c r="E340" s="31" t="n"/>
      <c r="F340" s="31" t="n"/>
      <c r="G340" s="31" t="n"/>
      <c r="H340" s="31" t="n"/>
      <c r="I340" s="31" t="n"/>
      <c r="J340" s="31" t="n"/>
      <c r="K340" s="31" t="n"/>
      <c r="L340" s="31" t="n"/>
      <c r="M340" s="31" t="n"/>
      <c r="N340" s="31" t="n"/>
      <c r="O340" s="32">
        <f>IF($B340="","",COUNTIF(G340:N340,"Accepted")+COUNTIF(G340:N340,"Received")+COUNTIF(G340:N340,"Needs Correction"))</f>
        <v/>
      </c>
      <c r="P340" s="32">
        <f>IF($B340="","",SUMPRODUCT(((G340:N340="Accepted")+(G340:N340="Not Needed"))*(Settings!$C$11:$J$11="Yes")))</f>
        <v/>
      </c>
      <c r="Q340" s="32">
        <f>IF($B340="","",SUMPRODUCT(((G340:N340="Accepted")+(G340:N340="Not Needed"))*(Settings!$C$15:$J$15="Yes")))</f>
        <v/>
      </c>
      <c r="R340" s="33">
        <f>IF($B340="","",IF($D340="No","No PTO/PTA",IF($D340&lt;&gt;"Yes","Not Yet Confirmed",IF($Q340&gt;=Settings!$C$13,"Legalized",IF($P340&gt;=Settings!$C$12,"Registered",IF($O340&gt;0,"In Progress","Not Started"))))))</f>
        <v/>
      </c>
      <c r="S340" s="32">
        <f>IF($B340="","",COUNTIF(G340:N340,"Received"))</f>
        <v/>
      </c>
      <c r="T340" s="32">
        <f>IF($B340="","",COUNTIF(G340:N340,"Needs Correction"))</f>
        <v/>
      </c>
      <c r="U340" s="33">
        <f>IF($B340="","",IF($D340&lt;&gt;"Yes","",IF($Q340&gt;=Settings!$C$13,"None",MID(IF(AND(G340&lt;&gt;"Accepted",G340&lt;&gt;"Not Needed",Settings!$C$15="Yes"),", "&amp;G$1,"")&amp;IF(AND(H340&lt;&gt;"Accepted",H340&lt;&gt;"Not Needed",Settings!$D$15="Yes"),", "&amp;H$1,"")&amp;IF(AND(I340&lt;&gt;"Accepted",I340&lt;&gt;"Not Needed",Settings!$E$15="Yes"),", "&amp;I$1,"")&amp;IF(AND(J340&lt;&gt;"Accepted",J340&lt;&gt;"Not Needed",Settings!$F$15="Yes"),", "&amp;J$1,"")&amp;IF(AND(K340&lt;&gt;"Accepted",K340&lt;&gt;"Not Needed",Settings!$G$15="Yes"),", "&amp;K$1,"")&amp;IF(AND(L340&lt;&gt;"Accepted",L340&lt;&gt;"Not Needed",Settings!$H$15="Yes"),", "&amp;L$1,"")&amp;IF(AND(M340&lt;&gt;"Accepted",M340&lt;&gt;"Not Needed",Settings!$I$15="Yes"),", "&amp;M$1,"")&amp;IF(AND(N340&lt;&gt;"Accepted",N340&lt;&gt;"Not Needed",Settings!$J$15="Yes"),", "&amp;N$1,""),3,400))))</f>
        <v/>
      </c>
    </row>
    <row r="341" ht="15" customHeight="1" s="21">
      <c r="A341" s="31" t="n"/>
      <c r="B341" s="31" t="n"/>
      <c r="C341" s="31" t="n"/>
      <c r="D341" s="31" t="n"/>
      <c r="E341" s="31" t="n"/>
      <c r="F341" s="31" t="n"/>
      <c r="G341" s="31" t="n"/>
      <c r="H341" s="31" t="n"/>
      <c r="I341" s="31" t="n"/>
      <c r="J341" s="31" t="n"/>
      <c r="K341" s="31" t="n"/>
      <c r="L341" s="31" t="n"/>
      <c r="M341" s="31" t="n"/>
      <c r="N341" s="31" t="n"/>
      <c r="O341" s="32">
        <f>IF($B341="","",COUNTIF(G341:N341,"Accepted")+COUNTIF(G341:N341,"Received")+COUNTIF(G341:N341,"Needs Correction"))</f>
        <v/>
      </c>
      <c r="P341" s="32">
        <f>IF($B341="","",SUMPRODUCT(((G341:N341="Accepted")+(G341:N341="Not Needed"))*(Settings!$C$11:$J$11="Yes")))</f>
        <v/>
      </c>
      <c r="Q341" s="32">
        <f>IF($B341="","",SUMPRODUCT(((G341:N341="Accepted")+(G341:N341="Not Needed"))*(Settings!$C$15:$J$15="Yes")))</f>
        <v/>
      </c>
      <c r="R341" s="33">
        <f>IF($B341="","",IF($D341="No","No PTO/PTA",IF($D341&lt;&gt;"Yes","Not Yet Confirmed",IF($Q341&gt;=Settings!$C$13,"Legalized",IF($P341&gt;=Settings!$C$12,"Registered",IF($O341&gt;0,"In Progress","Not Started"))))))</f>
        <v/>
      </c>
      <c r="S341" s="32">
        <f>IF($B341="","",COUNTIF(G341:N341,"Received"))</f>
        <v/>
      </c>
      <c r="T341" s="32">
        <f>IF($B341="","",COUNTIF(G341:N341,"Needs Correction"))</f>
        <v/>
      </c>
      <c r="U341" s="33">
        <f>IF($B341="","",IF($D341&lt;&gt;"Yes","",IF($Q341&gt;=Settings!$C$13,"None",MID(IF(AND(G341&lt;&gt;"Accepted",G341&lt;&gt;"Not Needed",Settings!$C$15="Yes"),", "&amp;G$1,"")&amp;IF(AND(H341&lt;&gt;"Accepted",H341&lt;&gt;"Not Needed",Settings!$D$15="Yes"),", "&amp;H$1,"")&amp;IF(AND(I341&lt;&gt;"Accepted",I341&lt;&gt;"Not Needed",Settings!$E$15="Yes"),", "&amp;I$1,"")&amp;IF(AND(J341&lt;&gt;"Accepted",J341&lt;&gt;"Not Needed",Settings!$F$15="Yes"),", "&amp;J$1,"")&amp;IF(AND(K341&lt;&gt;"Accepted",K341&lt;&gt;"Not Needed",Settings!$G$15="Yes"),", "&amp;K$1,"")&amp;IF(AND(L341&lt;&gt;"Accepted",L341&lt;&gt;"Not Needed",Settings!$H$15="Yes"),", "&amp;L$1,"")&amp;IF(AND(M341&lt;&gt;"Accepted",M341&lt;&gt;"Not Needed",Settings!$I$15="Yes"),", "&amp;M$1,"")&amp;IF(AND(N341&lt;&gt;"Accepted",N341&lt;&gt;"Not Needed",Settings!$J$15="Yes"),", "&amp;N$1,""),3,400))))</f>
        <v/>
      </c>
    </row>
    <row r="342" ht="15" customHeight="1" s="21">
      <c r="A342" s="31" t="n"/>
      <c r="B342" s="31" t="n"/>
      <c r="C342" s="31" t="n"/>
      <c r="D342" s="31" t="n"/>
      <c r="E342" s="31" t="n"/>
      <c r="F342" s="31" t="n"/>
      <c r="G342" s="31" t="n"/>
      <c r="H342" s="31" t="n"/>
      <c r="I342" s="31" t="n"/>
      <c r="J342" s="31" t="n"/>
      <c r="K342" s="31" t="n"/>
      <c r="L342" s="31" t="n"/>
      <c r="M342" s="31" t="n"/>
      <c r="N342" s="31" t="n"/>
      <c r="O342" s="32">
        <f>IF($B342="","",COUNTIF(G342:N342,"Accepted")+COUNTIF(G342:N342,"Received")+COUNTIF(G342:N342,"Needs Correction"))</f>
        <v/>
      </c>
      <c r="P342" s="32">
        <f>IF($B342="","",SUMPRODUCT(((G342:N342="Accepted")+(G342:N342="Not Needed"))*(Settings!$C$11:$J$11="Yes")))</f>
        <v/>
      </c>
      <c r="Q342" s="32">
        <f>IF($B342="","",SUMPRODUCT(((G342:N342="Accepted")+(G342:N342="Not Needed"))*(Settings!$C$15:$J$15="Yes")))</f>
        <v/>
      </c>
      <c r="R342" s="33">
        <f>IF($B342="","",IF($D342="No","No PTO/PTA",IF($D342&lt;&gt;"Yes","Not Yet Confirmed",IF($Q342&gt;=Settings!$C$13,"Legalized",IF($P342&gt;=Settings!$C$12,"Registered",IF($O342&gt;0,"In Progress","Not Started"))))))</f>
        <v/>
      </c>
      <c r="S342" s="32">
        <f>IF($B342="","",COUNTIF(G342:N342,"Received"))</f>
        <v/>
      </c>
      <c r="T342" s="32">
        <f>IF($B342="","",COUNTIF(G342:N342,"Needs Correction"))</f>
        <v/>
      </c>
      <c r="U342" s="33">
        <f>IF($B342="","",IF($D342&lt;&gt;"Yes","",IF($Q342&gt;=Settings!$C$13,"None",MID(IF(AND(G342&lt;&gt;"Accepted",G342&lt;&gt;"Not Needed",Settings!$C$15="Yes"),", "&amp;G$1,"")&amp;IF(AND(H342&lt;&gt;"Accepted",H342&lt;&gt;"Not Needed",Settings!$D$15="Yes"),", "&amp;H$1,"")&amp;IF(AND(I342&lt;&gt;"Accepted",I342&lt;&gt;"Not Needed",Settings!$E$15="Yes"),", "&amp;I$1,"")&amp;IF(AND(J342&lt;&gt;"Accepted",J342&lt;&gt;"Not Needed",Settings!$F$15="Yes"),", "&amp;J$1,"")&amp;IF(AND(K342&lt;&gt;"Accepted",K342&lt;&gt;"Not Needed",Settings!$G$15="Yes"),", "&amp;K$1,"")&amp;IF(AND(L342&lt;&gt;"Accepted",L342&lt;&gt;"Not Needed",Settings!$H$15="Yes"),", "&amp;L$1,"")&amp;IF(AND(M342&lt;&gt;"Accepted",M342&lt;&gt;"Not Needed",Settings!$I$15="Yes"),", "&amp;M$1,"")&amp;IF(AND(N342&lt;&gt;"Accepted",N342&lt;&gt;"Not Needed",Settings!$J$15="Yes"),", "&amp;N$1,""),3,400))))</f>
        <v/>
      </c>
    </row>
    <row r="343" ht="15" customHeight="1" s="21">
      <c r="A343" s="31" t="n"/>
      <c r="B343" s="31" t="n"/>
      <c r="C343" s="31" t="n"/>
      <c r="D343" s="31" t="n"/>
      <c r="E343" s="31" t="n"/>
      <c r="F343" s="31" t="n"/>
      <c r="G343" s="31" t="n"/>
      <c r="H343" s="31" t="n"/>
      <c r="I343" s="31" t="n"/>
      <c r="J343" s="31" t="n"/>
      <c r="K343" s="31" t="n"/>
      <c r="L343" s="31" t="n"/>
      <c r="M343" s="31" t="n"/>
      <c r="N343" s="31" t="n"/>
      <c r="O343" s="32">
        <f>IF($B343="","",COUNTIF(G343:N343,"Accepted")+COUNTIF(G343:N343,"Received")+COUNTIF(G343:N343,"Needs Correction"))</f>
        <v/>
      </c>
      <c r="P343" s="32">
        <f>IF($B343="","",SUMPRODUCT(((G343:N343="Accepted")+(G343:N343="Not Needed"))*(Settings!$C$11:$J$11="Yes")))</f>
        <v/>
      </c>
      <c r="Q343" s="32">
        <f>IF($B343="","",SUMPRODUCT(((G343:N343="Accepted")+(G343:N343="Not Needed"))*(Settings!$C$15:$J$15="Yes")))</f>
        <v/>
      </c>
      <c r="R343" s="33">
        <f>IF($B343="","",IF($D343="No","No PTO/PTA",IF($D343&lt;&gt;"Yes","Not Yet Confirmed",IF($Q343&gt;=Settings!$C$13,"Legalized",IF($P343&gt;=Settings!$C$12,"Registered",IF($O343&gt;0,"In Progress","Not Started"))))))</f>
        <v/>
      </c>
      <c r="S343" s="32">
        <f>IF($B343="","",COUNTIF(G343:N343,"Received"))</f>
        <v/>
      </c>
      <c r="T343" s="32">
        <f>IF($B343="","",COUNTIF(G343:N343,"Needs Correction"))</f>
        <v/>
      </c>
      <c r="U343" s="33">
        <f>IF($B343="","",IF($D343&lt;&gt;"Yes","",IF($Q343&gt;=Settings!$C$13,"None",MID(IF(AND(G343&lt;&gt;"Accepted",G343&lt;&gt;"Not Needed",Settings!$C$15="Yes"),", "&amp;G$1,"")&amp;IF(AND(H343&lt;&gt;"Accepted",H343&lt;&gt;"Not Needed",Settings!$D$15="Yes"),", "&amp;H$1,"")&amp;IF(AND(I343&lt;&gt;"Accepted",I343&lt;&gt;"Not Needed",Settings!$E$15="Yes"),", "&amp;I$1,"")&amp;IF(AND(J343&lt;&gt;"Accepted",J343&lt;&gt;"Not Needed",Settings!$F$15="Yes"),", "&amp;J$1,"")&amp;IF(AND(K343&lt;&gt;"Accepted",K343&lt;&gt;"Not Needed",Settings!$G$15="Yes"),", "&amp;K$1,"")&amp;IF(AND(L343&lt;&gt;"Accepted",L343&lt;&gt;"Not Needed",Settings!$H$15="Yes"),", "&amp;L$1,"")&amp;IF(AND(M343&lt;&gt;"Accepted",M343&lt;&gt;"Not Needed",Settings!$I$15="Yes"),", "&amp;M$1,"")&amp;IF(AND(N343&lt;&gt;"Accepted",N343&lt;&gt;"Not Needed",Settings!$J$15="Yes"),", "&amp;N$1,""),3,400))))</f>
        <v/>
      </c>
    </row>
    <row r="344" ht="15" customHeight="1" s="21">
      <c r="A344" s="31" t="n"/>
      <c r="B344" s="31" t="n"/>
      <c r="C344" s="31" t="n"/>
      <c r="D344" s="31" t="n"/>
      <c r="E344" s="31" t="n"/>
      <c r="F344" s="31" t="n"/>
      <c r="G344" s="31" t="n"/>
      <c r="H344" s="31" t="n"/>
      <c r="I344" s="31" t="n"/>
      <c r="J344" s="31" t="n"/>
      <c r="K344" s="31" t="n"/>
      <c r="L344" s="31" t="n"/>
      <c r="M344" s="31" t="n"/>
      <c r="N344" s="31" t="n"/>
      <c r="O344" s="32">
        <f>IF($B344="","",COUNTIF(G344:N344,"Accepted")+COUNTIF(G344:N344,"Received")+COUNTIF(G344:N344,"Needs Correction"))</f>
        <v/>
      </c>
      <c r="P344" s="32">
        <f>IF($B344="","",SUMPRODUCT(((G344:N344="Accepted")+(G344:N344="Not Needed"))*(Settings!$C$11:$J$11="Yes")))</f>
        <v/>
      </c>
      <c r="Q344" s="32">
        <f>IF($B344="","",SUMPRODUCT(((G344:N344="Accepted")+(G344:N344="Not Needed"))*(Settings!$C$15:$J$15="Yes")))</f>
        <v/>
      </c>
      <c r="R344" s="33">
        <f>IF($B344="","",IF($D344="No","No PTO/PTA",IF($D344&lt;&gt;"Yes","Not Yet Confirmed",IF($Q344&gt;=Settings!$C$13,"Legalized",IF($P344&gt;=Settings!$C$12,"Registered",IF($O344&gt;0,"In Progress","Not Started"))))))</f>
        <v/>
      </c>
      <c r="S344" s="32">
        <f>IF($B344="","",COUNTIF(G344:N344,"Received"))</f>
        <v/>
      </c>
      <c r="T344" s="32">
        <f>IF($B344="","",COUNTIF(G344:N344,"Needs Correction"))</f>
        <v/>
      </c>
      <c r="U344" s="33">
        <f>IF($B344="","",IF($D344&lt;&gt;"Yes","",IF($Q344&gt;=Settings!$C$13,"None",MID(IF(AND(G344&lt;&gt;"Accepted",G344&lt;&gt;"Not Needed",Settings!$C$15="Yes"),", "&amp;G$1,"")&amp;IF(AND(H344&lt;&gt;"Accepted",H344&lt;&gt;"Not Needed",Settings!$D$15="Yes"),", "&amp;H$1,"")&amp;IF(AND(I344&lt;&gt;"Accepted",I344&lt;&gt;"Not Needed",Settings!$E$15="Yes"),", "&amp;I$1,"")&amp;IF(AND(J344&lt;&gt;"Accepted",J344&lt;&gt;"Not Needed",Settings!$F$15="Yes"),", "&amp;J$1,"")&amp;IF(AND(K344&lt;&gt;"Accepted",K344&lt;&gt;"Not Needed",Settings!$G$15="Yes"),", "&amp;K$1,"")&amp;IF(AND(L344&lt;&gt;"Accepted",L344&lt;&gt;"Not Needed",Settings!$H$15="Yes"),", "&amp;L$1,"")&amp;IF(AND(M344&lt;&gt;"Accepted",M344&lt;&gt;"Not Needed",Settings!$I$15="Yes"),", "&amp;M$1,"")&amp;IF(AND(N344&lt;&gt;"Accepted",N344&lt;&gt;"Not Needed",Settings!$J$15="Yes"),", "&amp;N$1,""),3,400))))</f>
        <v/>
      </c>
    </row>
    <row r="345" ht="15" customHeight="1" s="21">
      <c r="A345" s="31" t="n"/>
      <c r="B345" s="31" t="n"/>
      <c r="C345" s="31" t="n"/>
      <c r="D345" s="31" t="n"/>
      <c r="E345" s="31" t="n"/>
      <c r="F345" s="31" t="n"/>
      <c r="G345" s="31" t="n"/>
      <c r="H345" s="31" t="n"/>
      <c r="I345" s="31" t="n"/>
      <c r="J345" s="31" t="n"/>
      <c r="K345" s="31" t="n"/>
      <c r="L345" s="31" t="n"/>
      <c r="M345" s="31" t="n"/>
      <c r="N345" s="31" t="n"/>
      <c r="O345" s="32">
        <f>IF($B345="","",COUNTIF(G345:N345,"Accepted")+COUNTIF(G345:N345,"Received")+COUNTIF(G345:N345,"Needs Correction"))</f>
        <v/>
      </c>
      <c r="P345" s="32">
        <f>IF($B345="","",SUMPRODUCT(((G345:N345="Accepted")+(G345:N345="Not Needed"))*(Settings!$C$11:$J$11="Yes")))</f>
        <v/>
      </c>
      <c r="Q345" s="32">
        <f>IF($B345="","",SUMPRODUCT(((G345:N345="Accepted")+(G345:N345="Not Needed"))*(Settings!$C$15:$J$15="Yes")))</f>
        <v/>
      </c>
      <c r="R345" s="33">
        <f>IF($B345="","",IF($D345="No","No PTO/PTA",IF($D345&lt;&gt;"Yes","Not Yet Confirmed",IF($Q345&gt;=Settings!$C$13,"Legalized",IF($P345&gt;=Settings!$C$12,"Registered",IF($O345&gt;0,"In Progress","Not Started"))))))</f>
        <v/>
      </c>
      <c r="S345" s="32">
        <f>IF($B345="","",COUNTIF(G345:N345,"Received"))</f>
        <v/>
      </c>
      <c r="T345" s="32">
        <f>IF($B345="","",COUNTIF(G345:N345,"Needs Correction"))</f>
        <v/>
      </c>
      <c r="U345" s="33">
        <f>IF($B345="","",IF($D345&lt;&gt;"Yes","",IF($Q345&gt;=Settings!$C$13,"None",MID(IF(AND(G345&lt;&gt;"Accepted",G345&lt;&gt;"Not Needed",Settings!$C$15="Yes"),", "&amp;G$1,"")&amp;IF(AND(H345&lt;&gt;"Accepted",H345&lt;&gt;"Not Needed",Settings!$D$15="Yes"),", "&amp;H$1,"")&amp;IF(AND(I345&lt;&gt;"Accepted",I345&lt;&gt;"Not Needed",Settings!$E$15="Yes"),", "&amp;I$1,"")&amp;IF(AND(J345&lt;&gt;"Accepted",J345&lt;&gt;"Not Needed",Settings!$F$15="Yes"),", "&amp;J$1,"")&amp;IF(AND(K345&lt;&gt;"Accepted",K345&lt;&gt;"Not Needed",Settings!$G$15="Yes"),", "&amp;K$1,"")&amp;IF(AND(L345&lt;&gt;"Accepted",L345&lt;&gt;"Not Needed",Settings!$H$15="Yes"),", "&amp;L$1,"")&amp;IF(AND(M345&lt;&gt;"Accepted",M345&lt;&gt;"Not Needed",Settings!$I$15="Yes"),", "&amp;M$1,"")&amp;IF(AND(N345&lt;&gt;"Accepted",N345&lt;&gt;"Not Needed",Settings!$J$15="Yes"),", "&amp;N$1,""),3,400))))</f>
        <v/>
      </c>
    </row>
    <row r="346" ht="15" customHeight="1" s="21">
      <c r="A346" s="31" t="n"/>
      <c r="B346" s="31" t="n"/>
      <c r="C346" s="31" t="n"/>
      <c r="D346" s="31" t="n"/>
      <c r="E346" s="31" t="n"/>
      <c r="F346" s="31" t="n"/>
      <c r="G346" s="31" t="n"/>
      <c r="H346" s="31" t="n"/>
      <c r="I346" s="31" t="n"/>
      <c r="J346" s="31" t="n"/>
      <c r="K346" s="31" t="n"/>
      <c r="L346" s="31" t="n"/>
      <c r="M346" s="31" t="n"/>
      <c r="N346" s="31" t="n"/>
      <c r="O346" s="32">
        <f>IF($B346="","",COUNTIF(G346:N346,"Accepted")+COUNTIF(G346:N346,"Received")+COUNTIF(G346:N346,"Needs Correction"))</f>
        <v/>
      </c>
      <c r="P346" s="32">
        <f>IF($B346="","",SUMPRODUCT(((G346:N346="Accepted")+(G346:N346="Not Needed"))*(Settings!$C$11:$J$11="Yes")))</f>
        <v/>
      </c>
      <c r="Q346" s="32">
        <f>IF($B346="","",SUMPRODUCT(((G346:N346="Accepted")+(G346:N346="Not Needed"))*(Settings!$C$15:$J$15="Yes")))</f>
        <v/>
      </c>
      <c r="R346" s="33">
        <f>IF($B346="","",IF($D346="No","No PTO/PTA",IF($D346&lt;&gt;"Yes","Not Yet Confirmed",IF($Q346&gt;=Settings!$C$13,"Legalized",IF($P346&gt;=Settings!$C$12,"Registered",IF($O346&gt;0,"In Progress","Not Started"))))))</f>
        <v/>
      </c>
      <c r="S346" s="32">
        <f>IF($B346="","",COUNTIF(G346:N346,"Received"))</f>
        <v/>
      </c>
      <c r="T346" s="32">
        <f>IF($B346="","",COUNTIF(G346:N346,"Needs Correction"))</f>
        <v/>
      </c>
      <c r="U346" s="33">
        <f>IF($B346="","",IF($D346&lt;&gt;"Yes","",IF($Q346&gt;=Settings!$C$13,"None",MID(IF(AND(G346&lt;&gt;"Accepted",G346&lt;&gt;"Not Needed",Settings!$C$15="Yes"),", "&amp;G$1,"")&amp;IF(AND(H346&lt;&gt;"Accepted",H346&lt;&gt;"Not Needed",Settings!$D$15="Yes"),", "&amp;H$1,"")&amp;IF(AND(I346&lt;&gt;"Accepted",I346&lt;&gt;"Not Needed",Settings!$E$15="Yes"),", "&amp;I$1,"")&amp;IF(AND(J346&lt;&gt;"Accepted",J346&lt;&gt;"Not Needed",Settings!$F$15="Yes"),", "&amp;J$1,"")&amp;IF(AND(K346&lt;&gt;"Accepted",K346&lt;&gt;"Not Needed",Settings!$G$15="Yes"),", "&amp;K$1,"")&amp;IF(AND(L346&lt;&gt;"Accepted",L346&lt;&gt;"Not Needed",Settings!$H$15="Yes"),", "&amp;L$1,"")&amp;IF(AND(M346&lt;&gt;"Accepted",M346&lt;&gt;"Not Needed",Settings!$I$15="Yes"),", "&amp;M$1,"")&amp;IF(AND(N346&lt;&gt;"Accepted",N346&lt;&gt;"Not Needed",Settings!$J$15="Yes"),", "&amp;N$1,""),3,400))))</f>
        <v/>
      </c>
    </row>
    <row r="347" ht="15" customHeight="1" s="21">
      <c r="A347" s="31" t="n"/>
      <c r="B347" s="31" t="n"/>
      <c r="C347" s="31" t="n"/>
      <c r="D347" s="31" t="n"/>
      <c r="E347" s="31" t="n"/>
      <c r="F347" s="31" t="n"/>
      <c r="G347" s="31" t="n"/>
      <c r="H347" s="31" t="n"/>
      <c r="I347" s="31" t="n"/>
      <c r="J347" s="31" t="n"/>
      <c r="K347" s="31" t="n"/>
      <c r="L347" s="31" t="n"/>
      <c r="M347" s="31" t="n"/>
      <c r="N347" s="31" t="n"/>
      <c r="O347" s="32">
        <f>IF($B347="","",COUNTIF(G347:N347,"Accepted")+COUNTIF(G347:N347,"Received")+COUNTIF(G347:N347,"Needs Correction"))</f>
        <v/>
      </c>
      <c r="P347" s="32">
        <f>IF($B347="","",SUMPRODUCT(((G347:N347="Accepted")+(G347:N347="Not Needed"))*(Settings!$C$11:$J$11="Yes")))</f>
        <v/>
      </c>
      <c r="Q347" s="32">
        <f>IF($B347="","",SUMPRODUCT(((G347:N347="Accepted")+(G347:N347="Not Needed"))*(Settings!$C$15:$J$15="Yes")))</f>
        <v/>
      </c>
      <c r="R347" s="33">
        <f>IF($B347="","",IF($D347="No","No PTO/PTA",IF($D347&lt;&gt;"Yes","Not Yet Confirmed",IF($Q347&gt;=Settings!$C$13,"Legalized",IF($P347&gt;=Settings!$C$12,"Registered",IF($O347&gt;0,"In Progress","Not Started"))))))</f>
        <v/>
      </c>
      <c r="S347" s="32">
        <f>IF($B347="","",COUNTIF(G347:N347,"Received"))</f>
        <v/>
      </c>
      <c r="T347" s="32">
        <f>IF($B347="","",COUNTIF(G347:N347,"Needs Correction"))</f>
        <v/>
      </c>
      <c r="U347" s="33">
        <f>IF($B347="","",IF($D347&lt;&gt;"Yes","",IF($Q347&gt;=Settings!$C$13,"None",MID(IF(AND(G347&lt;&gt;"Accepted",G347&lt;&gt;"Not Needed",Settings!$C$15="Yes"),", "&amp;G$1,"")&amp;IF(AND(H347&lt;&gt;"Accepted",H347&lt;&gt;"Not Needed",Settings!$D$15="Yes"),", "&amp;H$1,"")&amp;IF(AND(I347&lt;&gt;"Accepted",I347&lt;&gt;"Not Needed",Settings!$E$15="Yes"),", "&amp;I$1,"")&amp;IF(AND(J347&lt;&gt;"Accepted",J347&lt;&gt;"Not Needed",Settings!$F$15="Yes"),", "&amp;J$1,"")&amp;IF(AND(K347&lt;&gt;"Accepted",K347&lt;&gt;"Not Needed",Settings!$G$15="Yes"),", "&amp;K$1,"")&amp;IF(AND(L347&lt;&gt;"Accepted",L347&lt;&gt;"Not Needed",Settings!$H$15="Yes"),", "&amp;L$1,"")&amp;IF(AND(M347&lt;&gt;"Accepted",M347&lt;&gt;"Not Needed",Settings!$I$15="Yes"),", "&amp;M$1,"")&amp;IF(AND(N347&lt;&gt;"Accepted",N347&lt;&gt;"Not Needed",Settings!$J$15="Yes"),", "&amp;N$1,""),3,400))))</f>
        <v/>
      </c>
    </row>
    <row r="348" ht="15" customHeight="1" s="21">
      <c r="A348" s="31" t="n"/>
      <c r="B348" s="31" t="n"/>
      <c r="C348" s="31" t="n"/>
      <c r="D348" s="31" t="n"/>
      <c r="E348" s="31" t="n"/>
      <c r="F348" s="31" t="n"/>
      <c r="G348" s="31" t="n"/>
      <c r="H348" s="31" t="n"/>
      <c r="I348" s="31" t="n"/>
      <c r="J348" s="31" t="n"/>
      <c r="K348" s="31" t="n"/>
      <c r="L348" s="31" t="n"/>
      <c r="M348" s="31" t="n"/>
      <c r="N348" s="31" t="n"/>
      <c r="O348" s="32">
        <f>IF($B348="","",COUNTIF(G348:N348,"Accepted")+COUNTIF(G348:N348,"Received")+COUNTIF(G348:N348,"Needs Correction"))</f>
        <v/>
      </c>
      <c r="P348" s="32">
        <f>IF($B348="","",SUMPRODUCT(((G348:N348="Accepted")+(G348:N348="Not Needed"))*(Settings!$C$11:$J$11="Yes")))</f>
        <v/>
      </c>
      <c r="Q348" s="32">
        <f>IF($B348="","",SUMPRODUCT(((G348:N348="Accepted")+(G348:N348="Not Needed"))*(Settings!$C$15:$J$15="Yes")))</f>
        <v/>
      </c>
      <c r="R348" s="33">
        <f>IF($B348="","",IF($D348="No","No PTO/PTA",IF($D348&lt;&gt;"Yes","Not Yet Confirmed",IF($Q348&gt;=Settings!$C$13,"Legalized",IF($P348&gt;=Settings!$C$12,"Registered",IF($O348&gt;0,"In Progress","Not Started"))))))</f>
        <v/>
      </c>
      <c r="S348" s="32">
        <f>IF($B348="","",COUNTIF(G348:N348,"Received"))</f>
        <v/>
      </c>
      <c r="T348" s="32">
        <f>IF($B348="","",COUNTIF(G348:N348,"Needs Correction"))</f>
        <v/>
      </c>
      <c r="U348" s="33">
        <f>IF($B348="","",IF($D348&lt;&gt;"Yes","",IF($Q348&gt;=Settings!$C$13,"None",MID(IF(AND(G348&lt;&gt;"Accepted",G348&lt;&gt;"Not Needed",Settings!$C$15="Yes"),", "&amp;G$1,"")&amp;IF(AND(H348&lt;&gt;"Accepted",H348&lt;&gt;"Not Needed",Settings!$D$15="Yes"),", "&amp;H$1,"")&amp;IF(AND(I348&lt;&gt;"Accepted",I348&lt;&gt;"Not Needed",Settings!$E$15="Yes"),", "&amp;I$1,"")&amp;IF(AND(J348&lt;&gt;"Accepted",J348&lt;&gt;"Not Needed",Settings!$F$15="Yes"),", "&amp;J$1,"")&amp;IF(AND(K348&lt;&gt;"Accepted",K348&lt;&gt;"Not Needed",Settings!$G$15="Yes"),", "&amp;K$1,"")&amp;IF(AND(L348&lt;&gt;"Accepted",L348&lt;&gt;"Not Needed",Settings!$H$15="Yes"),", "&amp;L$1,"")&amp;IF(AND(M348&lt;&gt;"Accepted",M348&lt;&gt;"Not Needed",Settings!$I$15="Yes"),", "&amp;M$1,"")&amp;IF(AND(N348&lt;&gt;"Accepted",N348&lt;&gt;"Not Needed",Settings!$J$15="Yes"),", "&amp;N$1,""),3,400))))</f>
        <v/>
      </c>
    </row>
    <row r="349" ht="15" customHeight="1" s="21">
      <c r="A349" s="31" t="n"/>
      <c r="B349" s="31" t="n"/>
      <c r="C349" s="31" t="n"/>
      <c r="D349" s="31" t="n"/>
      <c r="E349" s="31" t="n"/>
      <c r="F349" s="31" t="n"/>
      <c r="G349" s="31" t="n"/>
      <c r="H349" s="31" t="n"/>
      <c r="I349" s="31" t="n"/>
      <c r="J349" s="31" t="n"/>
      <c r="K349" s="31" t="n"/>
      <c r="L349" s="31" t="n"/>
      <c r="M349" s="31" t="n"/>
      <c r="N349" s="31" t="n"/>
      <c r="O349" s="32">
        <f>IF($B349="","",COUNTIF(G349:N349,"Accepted")+COUNTIF(G349:N349,"Received")+COUNTIF(G349:N349,"Needs Correction"))</f>
        <v/>
      </c>
      <c r="P349" s="32">
        <f>IF($B349="","",SUMPRODUCT(((G349:N349="Accepted")+(G349:N349="Not Needed"))*(Settings!$C$11:$J$11="Yes")))</f>
        <v/>
      </c>
      <c r="Q349" s="32">
        <f>IF($B349="","",SUMPRODUCT(((G349:N349="Accepted")+(G349:N349="Not Needed"))*(Settings!$C$15:$J$15="Yes")))</f>
        <v/>
      </c>
      <c r="R349" s="33">
        <f>IF($B349="","",IF($D349="No","No PTO/PTA",IF($D349&lt;&gt;"Yes","Not Yet Confirmed",IF($Q349&gt;=Settings!$C$13,"Legalized",IF($P349&gt;=Settings!$C$12,"Registered",IF($O349&gt;0,"In Progress","Not Started"))))))</f>
        <v/>
      </c>
      <c r="S349" s="32">
        <f>IF($B349="","",COUNTIF(G349:N349,"Received"))</f>
        <v/>
      </c>
      <c r="T349" s="32">
        <f>IF($B349="","",COUNTIF(G349:N349,"Needs Correction"))</f>
        <v/>
      </c>
      <c r="U349" s="33">
        <f>IF($B349="","",IF($D349&lt;&gt;"Yes","",IF($Q349&gt;=Settings!$C$13,"None",MID(IF(AND(G349&lt;&gt;"Accepted",G349&lt;&gt;"Not Needed",Settings!$C$15="Yes"),", "&amp;G$1,"")&amp;IF(AND(H349&lt;&gt;"Accepted",H349&lt;&gt;"Not Needed",Settings!$D$15="Yes"),", "&amp;H$1,"")&amp;IF(AND(I349&lt;&gt;"Accepted",I349&lt;&gt;"Not Needed",Settings!$E$15="Yes"),", "&amp;I$1,"")&amp;IF(AND(J349&lt;&gt;"Accepted",J349&lt;&gt;"Not Needed",Settings!$F$15="Yes"),", "&amp;J$1,"")&amp;IF(AND(K349&lt;&gt;"Accepted",K349&lt;&gt;"Not Needed",Settings!$G$15="Yes"),", "&amp;K$1,"")&amp;IF(AND(L349&lt;&gt;"Accepted",L349&lt;&gt;"Not Needed",Settings!$H$15="Yes"),", "&amp;L$1,"")&amp;IF(AND(M349&lt;&gt;"Accepted",M349&lt;&gt;"Not Needed",Settings!$I$15="Yes"),", "&amp;M$1,"")&amp;IF(AND(N349&lt;&gt;"Accepted",N349&lt;&gt;"Not Needed",Settings!$J$15="Yes"),", "&amp;N$1,""),3,400))))</f>
        <v/>
      </c>
    </row>
    <row r="350" ht="15" customHeight="1" s="21">
      <c r="A350" s="31" t="n"/>
      <c r="B350" s="31" t="n"/>
      <c r="C350" s="31" t="n"/>
      <c r="D350" s="31" t="n"/>
      <c r="E350" s="31" t="n"/>
      <c r="F350" s="31" t="n"/>
      <c r="G350" s="31" t="n"/>
      <c r="H350" s="31" t="n"/>
      <c r="I350" s="31" t="n"/>
      <c r="J350" s="31" t="n"/>
      <c r="K350" s="31" t="n"/>
      <c r="L350" s="31" t="n"/>
      <c r="M350" s="31" t="n"/>
      <c r="N350" s="31" t="n"/>
      <c r="O350" s="32">
        <f>IF($B350="","",COUNTIF(G350:N350,"Accepted")+COUNTIF(G350:N350,"Received")+COUNTIF(G350:N350,"Needs Correction"))</f>
        <v/>
      </c>
      <c r="P350" s="32">
        <f>IF($B350="","",SUMPRODUCT(((G350:N350="Accepted")+(G350:N350="Not Needed"))*(Settings!$C$11:$J$11="Yes")))</f>
        <v/>
      </c>
      <c r="Q350" s="32">
        <f>IF($B350="","",SUMPRODUCT(((G350:N350="Accepted")+(G350:N350="Not Needed"))*(Settings!$C$15:$J$15="Yes")))</f>
        <v/>
      </c>
      <c r="R350" s="33">
        <f>IF($B350="","",IF($D350="No","No PTO/PTA",IF($D350&lt;&gt;"Yes","Not Yet Confirmed",IF($Q350&gt;=Settings!$C$13,"Legalized",IF($P350&gt;=Settings!$C$12,"Registered",IF($O350&gt;0,"In Progress","Not Started"))))))</f>
        <v/>
      </c>
      <c r="S350" s="32">
        <f>IF($B350="","",COUNTIF(G350:N350,"Received"))</f>
        <v/>
      </c>
      <c r="T350" s="32">
        <f>IF($B350="","",COUNTIF(G350:N350,"Needs Correction"))</f>
        <v/>
      </c>
      <c r="U350" s="33">
        <f>IF($B350="","",IF($D350&lt;&gt;"Yes","",IF($Q350&gt;=Settings!$C$13,"None",MID(IF(AND(G350&lt;&gt;"Accepted",G350&lt;&gt;"Not Needed",Settings!$C$15="Yes"),", "&amp;G$1,"")&amp;IF(AND(H350&lt;&gt;"Accepted",H350&lt;&gt;"Not Needed",Settings!$D$15="Yes"),", "&amp;H$1,"")&amp;IF(AND(I350&lt;&gt;"Accepted",I350&lt;&gt;"Not Needed",Settings!$E$15="Yes"),", "&amp;I$1,"")&amp;IF(AND(J350&lt;&gt;"Accepted",J350&lt;&gt;"Not Needed",Settings!$F$15="Yes"),", "&amp;J$1,"")&amp;IF(AND(K350&lt;&gt;"Accepted",K350&lt;&gt;"Not Needed",Settings!$G$15="Yes"),", "&amp;K$1,"")&amp;IF(AND(L350&lt;&gt;"Accepted",L350&lt;&gt;"Not Needed",Settings!$H$15="Yes"),", "&amp;L$1,"")&amp;IF(AND(M350&lt;&gt;"Accepted",M350&lt;&gt;"Not Needed",Settings!$I$15="Yes"),", "&amp;M$1,"")&amp;IF(AND(N350&lt;&gt;"Accepted",N350&lt;&gt;"Not Needed",Settings!$J$15="Yes"),", "&amp;N$1,""),3,400))))</f>
        <v/>
      </c>
    </row>
    <row r="351" ht="15" customHeight="1" s="21">
      <c r="A351" s="31" t="n"/>
      <c r="B351" s="31" t="n"/>
      <c r="C351" s="31" t="n"/>
      <c r="D351" s="31" t="n"/>
      <c r="E351" s="31" t="n"/>
      <c r="F351" s="31" t="n"/>
      <c r="G351" s="31" t="n"/>
      <c r="H351" s="31" t="n"/>
      <c r="I351" s="31" t="n"/>
      <c r="J351" s="31" t="n"/>
      <c r="K351" s="31" t="n"/>
      <c r="L351" s="31" t="n"/>
      <c r="M351" s="31" t="n"/>
      <c r="N351" s="31" t="n"/>
      <c r="O351" s="32">
        <f>IF($B351="","",COUNTIF(G351:N351,"Accepted")+COUNTIF(G351:N351,"Received")+COUNTIF(G351:N351,"Needs Correction"))</f>
        <v/>
      </c>
      <c r="P351" s="32">
        <f>IF($B351="","",SUMPRODUCT(((G351:N351="Accepted")+(G351:N351="Not Needed"))*(Settings!$C$11:$J$11="Yes")))</f>
        <v/>
      </c>
      <c r="Q351" s="32">
        <f>IF($B351="","",SUMPRODUCT(((G351:N351="Accepted")+(G351:N351="Not Needed"))*(Settings!$C$15:$J$15="Yes")))</f>
        <v/>
      </c>
      <c r="R351" s="33">
        <f>IF($B351="","",IF($D351="No","No PTO/PTA",IF($D351&lt;&gt;"Yes","Not Yet Confirmed",IF($Q351&gt;=Settings!$C$13,"Legalized",IF($P351&gt;=Settings!$C$12,"Registered",IF($O351&gt;0,"In Progress","Not Started"))))))</f>
        <v/>
      </c>
      <c r="S351" s="32">
        <f>IF($B351="","",COUNTIF(G351:N351,"Received"))</f>
        <v/>
      </c>
      <c r="T351" s="32">
        <f>IF($B351="","",COUNTIF(G351:N351,"Needs Correction"))</f>
        <v/>
      </c>
      <c r="U351" s="33">
        <f>IF($B351="","",IF($D351&lt;&gt;"Yes","",IF($Q351&gt;=Settings!$C$13,"None",MID(IF(AND(G351&lt;&gt;"Accepted",G351&lt;&gt;"Not Needed",Settings!$C$15="Yes"),", "&amp;G$1,"")&amp;IF(AND(H351&lt;&gt;"Accepted",H351&lt;&gt;"Not Needed",Settings!$D$15="Yes"),", "&amp;H$1,"")&amp;IF(AND(I351&lt;&gt;"Accepted",I351&lt;&gt;"Not Needed",Settings!$E$15="Yes"),", "&amp;I$1,"")&amp;IF(AND(J351&lt;&gt;"Accepted",J351&lt;&gt;"Not Needed",Settings!$F$15="Yes"),", "&amp;J$1,"")&amp;IF(AND(K351&lt;&gt;"Accepted",K351&lt;&gt;"Not Needed",Settings!$G$15="Yes"),", "&amp;K$1,"")&amp;IF(AND(L351&lt;&gt;"Accepted",L351&lt;&gt;"Not Needed",Settings!$H$15="Yes"),", "&amp;L$1,"")&amp;IF(AND(M351&lt;&gt;"Accepted",M351&lt;&gt;"Not Needed",Settings!$I$15="Yes"),", "&amp;M$1,"")&amp;IF(AND(N351&lt;&gt;"Accepted",N351&lt;&gt;"Not Needed",Settings!$J$15="Yes"),", "&amp;N$1,""),3,400))))</f>
        <v/>
      </c>
    </row>
    <row r="352" ht="15" customHeight="1" s="21">
      <c r="A352" s="31" t="n"/>
      <c r="B352" s="31" t="n"/>
      <c r="C352" s="31" t="n"/>
      <c r="D352" s="31" t="n"/>
      <c r="E352" s="31" t="n"/>
      <c r="F352" s="31" t="n"/>
      <c r="G352" s="31" t="n"/>
      <c r="H352" s="31" t="n"/>
      <c r="I352" s="31" t="n"/>
      <c r="J352" s="31" t="n"/>
      <c r="K352" s="31" t="n"/>
      <c r="L352" s="31" t="n"/>
      <c r="M352" s="31" t="n"/>
      <c r="N352" s="31" t="n"/>
      <c r="O352" s="32">
        <f>IF($B352="","",COUNTIF(G352:N352,"Accepted")+COUNTIF(G352:N352,"Received")+COUNTIF(G352:N352,"Needs Correction"))</f>
        <v/>
      </c>
      <c r="P352" s="32">
        <f>IF($B352="","",SUMPRODUCT(((G352:N352="Accepted")+(G352:N352="Not Needed"))*(Settings!$C$11:$J$11="Yes")))</f>
        <v/>
      </c>
      <c r="Q352" s="32">
        <f>IF($B352="","",SUMPRODUCT(((G352:N352="Accepted")+(G352:N352="Not Needed"))*(Settings!$C$15:$J$15="Yes")))</f>
        <v/>
      </c>
      <c r="R352" s="33">
        <f>IF($B352="","",IF($D352="No","No PTO/PTA",IF($D352&lt;&gt;"Yes","Not Yet Confirmed",IF($Q352&gt;=Settings!$C$13,"Legalized",IF($P352&gt;=Settings!$C$12,"Registered",IF($O352&gt;0,"In Progress","Not Started"))))))</f>
        <v/>
      </c>
      <c r="S352" s="32">
        <f>IF($B352="","",COUNTIF(G352:N352,"Received"))</f>
        <v/>
      </c>
      <c r="T352" s="32">
        <f>IF($B352="","",COUNTIF(G352:N352,"Needs Correction"))</f>
        <v/>
      </c>
      <c r="U352" s="33">
        <f>IF($B352="","",IF($D352&lt;&gt;"Yes","",IF($Q352&gt;=Settings!$C$13,"None",MID(IF(AND(G352&lt;&gt;"Accepted",G352&lt;&gt;"Not Needed",Settings!$C$15="Yes"),", "&amp;G$1,"")&amp;IF(AND(H352&lt;&gt;"Accepted",H352&lt;&gt;"Not Needed",Settings!$D$15="Yes"),", "&amp;H$1,"")&amp;IF(AND(I352&lt;&gt;"Accepted",I352&lt;&gt;"Not Needed",Settings!$E$15="Yes"),", "&amp;I$1,"")&amp;IF(AND(J352&lt;&gt;"Accepted",J352&lt;&gt;"Not Needed",Settings!$F$15="Yes"),", "&amp;J$1,"")&amp;IF(AND(K352&lt;&gt;"Accepted",K352&lt;&gt;"Not Needed",Settings!$G$15="Yes"),", "&amp;K$1,"")&amp;IF(AND(L352&lt;&gt;"Accepted",L352&lt;&gt;"Not Needed",Settings!$H$15="Yes"),", "&amp;L$1,"")&amp;IF(AND(M352&lt;&gt;"Accepted",M352&lt;&gt;"Not Needed",Settings!$I$15="Yes"),", "&amp;M$1,"")&amp;IF(AND(N352&lt;&gt;"Accepted",N352&lt;&gt;"Not Needed",Settings!$J$15="Yes"),", "&amp;N$1,""),3,400))))</f>
        <v/>
      </c>
    </row>
    <row r="353" ht="15" customHeight="1" s="21">
      <c r="A353" s="31" t="n"/>
      <c r="B353" s="31" t="n"/>
      <c r="C353" s="31" t="n"/>
      <c r="D353" s="31" t="n"/>
      <c r="E353" s="31" t="n"/>
      <c r="F353" s="31" t="n"/>
      <c r="G353" s="31" t="n"/>
      <c r="H353" s="31" t="n"/>
      <c r="I353" s="31" t="n"/>
      <c r="J353" s="31" t="n"/>
      <c r="K353" s="31" t="n"/>
      <c r="L353" s="31" t="n"/>
      <c r="M353" s="31" t="n"/>
      <c r="N353" s="31" t="n"/>
      <c r="O353" s="32">
        <f>IF($B353="","",COUNTIF(G353:N353,"Accepted")+COUNTIF(G353:N353,"Received")+COUNTIF(G353:N353,"Needs Correction"))</f>
        <v/>
      </c>
      <c r="P353" s="32">
        <f>IF($B353="","",SUMPRODUCT(((G353:N353="Accepted")+(G353:N353="Not Needed"))*(Settings!$C$11:$J$11="Yes")))</f>
        <v/>
      </c>
      <c r="Q353" s="32">
        <f>IF($B353="","",SUMPRODUCT(((G353:N353="Accepted")+(G353:N353="Not Needed"))*(Settings!$C$15:$J$15="Yes")))</f>
        <v/>
      </c>
      <c r="R353" s="33">
        <f>IF($B353="","",IF($D353="No","No PTO/PTA",IF($D353&lt;&gt;"Yes","Not Yet Confirmed",IF($Q353&gt;=Settings!$C$13,"Legalized",IF($P353&gt;=Settings!$C$12,"Registered",IF($O353&gt;0,"In Progress","Not Started"))))))</f>
        <v/>
      </c>
      <c r="S353" s="32">
        <f>IF($B353="","",COUNTIF(G353:N353,"Received"))</f>
        <v/>
      </c>
      <c r="T353" s="32">
        <f>IF($B353="","",COUNTIF(G353:N353,"Needs Correction"))</f>
        <v/>
      </c>
      <c r="U353" s="33">
        <f>IF($B353="","",IF($D353&lt;&gt;"Yes","",IF($Q353&gt;=Settings!$C$13,"None",MID(IF(AND(G353&lt;&gt;"Accepted",G353&lt;&gt;"Not Needed",Settings!$C$15="Yes"),", "&amp;G$1,"")&amp;IF(AND(H353&lt;&gt;"Accepted",H353&lt;&gt;"Not Needed",Settings!$D$15="Yes"),", "&amp;H$1,"")&amp;IF(AND(I353&lt;&gt;"Accepted",I353&lt;&gt;"Not Needed",Settings!$E$15="Yes"),", "&amp;I$1,"")&amp;IF(AND(J353&lt;&gt;"Accepted",J353&lt;&gt;"Not Needed",Settings!$F$15="Yes"),", "&amp;J$1,"")&amp;IF(AND(K353&lt;&gt;"Accepted",K353&lt;&gt;"Not Needed",Settings!$G$15="Yes"),", "&amp;K$1,"")&amp;IF(AND(L353&lt;&gt;"Accepted",L353&lt;&gt;"Not Needed",Settings!$H$15="Yes"),", "&amp;L$1,"")&amp;IF(AND(M353&lt;&gt;"Accepted",M353&lt;&gt;"Not Needed",Settings!$I$15="Yes"),", "&amp;M$1,"")&amp;IF(AND(N353&lt;&gt;"Accepted",N353&lt;&gt;"Not Needed",Settings!$J$15="Yes"),", "&amp;N$1,""),3,400))))</f>
        <v/>
      </c>
    </row>
    <row r="354" ht="15" customHeight="1" s="21">
      <c r="A354" s="31" t="n"/>
      <c r="B354" s="31" t="n"/>
      <c r="C354" s="31" t="n"/>
      <c r="D354" s="31" t="n"/>
      <c r="E354" s="31" t="n"/>
      <c r="F354" s="31" t="n"/>
      <c r="G354" s="31" t="n"/>
      <c r="H354" s="31" t="n"/>
      <c r="I354" s="31" t="n"/>
      <c r="J354" s="31" t="n"/>
      <c r="K354" s="31" t="n"/>
      <c r="L354" s="31" t="n"/>
      <c r="M354" s="31" t="n"/>
      <c r="N354" s="31" t="n"/>
      <c r="O354" s="32">
        <f>IF($B354="","",COUNTIF(G354:N354,"Accepted")+COUNTIF(G354:N354,"Received")+COUNTIF(G354:N354,"Needs Correction"))</f>
        <v/>
      </c>
      <c r="P354" s="32">
        <f>IF($B354="","",SUMPRODUCT(((G354:N354="Accepted")+(G354:N354="Not Needed"))*(Settings!$C$11:$J$11="Yes")))</f>
        <v/>
      </c>
      <c r="Q354" s="32">
        <f>IF($B354="","",SUMPRODUCT(((G354:N354="Accepted")+(G354:N354="Not Needed"))*(Settings!$C$15:$J$15="Yes")))</f>
        <v/>
      </c>
      <c r="R354" s="33">
        <f>IF($B354="","",IF($D354="No","No PTO/PTA",IF($D354&lt;&gt;"Yes","Not Yet Confirmed",IF($Q354&gt;=Settings!$C$13,"Legalized",IF($P354&gt;=Settings!$C$12,"Registered",IF($O354&gt;0,"In Progress","Not Started"))))))</f>
        <v/>
      </c>
      <c r="S354" s="32">
        <f>IF($B354="","",COUNTIF(G354:N354,"Received"))</f>
        <v/>
      </c>
      <c r="T354" s="32">
        <f>IF($B354="","",COUNTIF(G354:N354,"Needs Correction"))</f>
        <v/>
      </c>
      <c r="U354" s="33">
        <f>IF($B354="","",IF($D354&lt;&gt;"Yes","",IF($Q354&gt;=Settings!$C$13,"None",MID(IF(AND(G354&lt;&gt;"Accepted",G354&lt;&gt;"Not Needed",Settings!$C$15="Yes"),", "&amp;G$1,"")&amp;IF(AND(H354&lt;&gt;"Accepted",H354&lt;&gt;"Not Needed",Settings!$D$15="Yes"),", "&amp;H$1,"")&amp;IF(AND(I354&lt;&gt;"Accepted",I354&lt;&gt;"Not Needed",Settings!$E$15="Yes"),", "&amp;I$1,"")&amp;IF(AND(J354&lt;&gt;"Accepted",J354&lt;&gt;"Not Needed",Settings!$F$15="Yes"),", "&amp;J$1,"")&amp;IF(AND(K354&lt;&gt;"Accepted",K354&lt;&gt;"Not Needed",Settings!$G$15="Yes"),", "&amp;K$1,"")&amp;IF(AND(L354&lt;&gt;"Accepted",L354&lt;&gt;"Not Needed",Settings!$H$15="Yes"),", "&amp;L$1,"")&amp;IF(AND(M354&lt;&gt;"Accepted",M354&lt;&gt;"Not Needed",Settings!$I$15="Yes"),", "&amp;M$1,"")&amp;IF(AND(N354&lt;&gt;"Accepted",N354&lt;&gt;"Not Needed",Settings!$J$15="Yes"),", "&amp;N$1,""),3,400))))</f>
        <v/>
      </c>
    </row>
    <row r="355" ht="15" customHeight="1" s="21">
      <c r="A355" s="31" t="n"/>
      <c r="B355" s="31" t="n"/>
      <c r="C355" s="31" t="n"/>
      <c r="D355" s="31" t="n"/>
      <c r="E355" s="31" t="n"/>
      <c r="F355" s="31" t="n"/>
      <c r="G355" s="31" t="n"/>
      <c r="H355" s="31" t="n"/>
      <c r="I355" s="31" t="n"/>
      <c r="J355" s="31" t="n"/>
      <c r="K355" s="31" t="n"/>
      <c r="L355" s="31" t="n"/>
      <c r="M355" s="31" t="n"/>
      <c r="N355" s="31" t="n"/>
      <c r="O355" s="32">
        <f>IF($B355="","",COUNTIF(G355:N355,"Accepted")+COUNTIF(G355:N355,"Received")+COUNTIF(G355:N355,"Needs Correction"))</f>
        <v/>
      </c>
      <c r="P355" s="32">
        <f>IF($B355="","",SUMPRODUCT(((G355:N355="Accepted")+(G355:N355="Not Needed"))*(Settings!$C$11:$J$11="Yes")))</f>
        <v/>
      </c>
      <c r="Q355" s="32">
        <f>IF($B355="","",SUMPRODUCT(((G355:N355="Accepted")+(G355:N355="Not Needed"))*(Settings!$C$15:$J$15="Yes")))</f>
        <v/>
      </c>
      <c r="R355" s="33">
        <f>IF($B355="","",IF($D355="No","No PTO/PTA",IF($D355&lt;&gt;"Yes","Not Yet Confirmed",IF($Q355&gt;=Settings!$C$13,"Legalized",IF($P355&gt;=Settings!$C$12,"Registered",IF($O355&gt;0,"In Progress","Not Started"))))))</f>
        <v/>
      </c>
      <c r="S355" s="32">
        <f>IF($B355="","",COUNTIF(G355:N355,"Received"))</f>
        <v/>
      </c>
      <c r="T355" s="32">
        <f>IF($B355="","",COUNTIF(G355:N355,"Needs Correction"))</f>
        <v/>
      </c>
      <c r="U355" s="33">
        <f>IF($B355="","",IF($D355&lt;&gt;"Yes","",IF($Q355&gt;=Settings!$C$13,"None",MID(IF(AND(G355&lt;&gt;"Accepted",G355&lt;&gt;"Not Needed",Settings!$C$15="Yes"),", "&amp;G$1,"")&amp;IF(AND(H355&lt;&gt;"Accepted",H355&lt;&gt;"Not Needed",Settings!$D$15="Yes"),", "&amp;H$1,"")&amp;IF(AND(I355&lt;&gt;"Accepted",I355&lt;&gt;"Not Needed",Settings!$E$15="Yes"),", "&amp;I$1,"")&amp;IF(AND(J355&lt;&gt;"Accepted",J355&lt;&gt;"Not Needed",Settings!$F$15="Yes"),", "&amp;J$1,"")&amp;IF(AND(K355&lt;&gt;"Accepted",K355&lt;&gt;"Not Needed",Settings!$G$15="Yes"),", "&amp;K$1,"")&amp;IF(AND(L355&lt;&gt;"Accepted",L355&lt;&gt;"Not Needed",Settings!$H$15="Yes"),", "&amp;L$1,"")&amp;IF(AND(M355&lt;&gt;"Accepted",M355&lt;&gt;"Not Needed",Settings!$I$15="Yes"),", "&amp;M$1,"")&amp;IF(AND(N355&lt;&gt;"Accepted",N355&lt;&gt;"Not Needed",Settings!$J$15="Yes"),", "&amp;N$1,""),3,400))))</f>
        <v/>
      </c>
    </row>
    <row r="356" ht="15" customHeight="1" s="21">
      <c r="A356" s="31" t="n"/>
      <c r="B356" s="31" t="n"/>
      <c r="C356" s="31" t="n"/>
      <c r="D356" s="31" t="n"/>
      <c r="E356" s="31" t="n"/>
      <c r="F356" s="31" t="n"/>
      <c r="G356" s="31" t="n"/>
      <c r="H356" s="31" t="n"/>
      <c r="I356" s="31" t="n"/>
      <c r="J356" s="31" t="n"/>
      <c r="K356" s="31" t="n"/>
      <c r="L356" s="31" t="n"/>
      <c r="M356" s="31" t="n"/>
      <c r="N356" s="31" t="n"/>
      <c r="O356" s="32">
        <f>IF($B356="","",COUNTIF(G356:N356,"Accepted")+COUNTIF(G356:N356,"Received")+COUNTIF(G356:N356,"Needs Correction"))</f>
        <v/>
      </c>
      <c r="P356" s="32">
        <f>IF($B356="","",SUMPRODUCT(((G356:N356="Accepted")+(G356:N356="Not Needed"))*(Settings!$C$11:$J$11="Yes")))</f>
        <v/>
      </c>
      <c r="Q356" s="32">
        <f>IF($B356="","",SUMPRODUCT(((G356:N356="Accepted")+(G356:N356="Not Needed"))*(Settings!$C$15:$J$15="Yes")))</f>
        <v/>
      </c>
      <c r="R356" s="33">
        <f>IF($B356="","",IF($D356="No","No PTO/PTA",IF($D356&lt;&gt;"Yes","Not Yet Confirmed",IF($Q356&gt;=Settings!$C$13,"Legalized",IF($P356&gt;=Settings!$C$12,"Registered",IF($O356&gt;0,"In Progress","Not Started"))))))</f>
        <v/>
      </c>
      <c r="S356" s="32">
        <f>IF($B356="","",COUNTIF(G356:N356,"Received"))</f>
        <v/>
      </c>
      <c r="T356" s="32">
        <f>IF($B356="","",COUNTIF(G356:N356,"Needs Correction"))</f>
        <v/>
      </c>
      <c r="U356" s="33">
        <f>IF($B356="","",IF($D356&lt;&gt;"Yes","",IF($Q356&gt;=Settings!$C$13,"None",MID(IF(AND(G356&lt;&gt;"Accepted",G356&lt;&gt;"Not Needed",Settings!$C$15="Yes"),", "&amp;G$1,"")&amp;IF(AND(H356&lt;&gt;"Accepted",H356&lt;&gt;"Not Needed",Settings!$D$15="Yes"),", "&amp;H$1,"")&amp;IF(AND(I356&lt;&gt;"Accepted",I356&lt;&gt;"Not Needed",Settings!$E$15="Yes"),", "&amp;I$1,"")&amp;IF(AND(J356&lt;&gt;"Accepted",J356&lt;&gt;"Not Needed",Settings!$F$15="Yes"),", "&amp;J$1,"")&amp;IF(AND(K356&lt;&gt;"Accepted",K356&lt;&gt;"Not Needed",Settings!$G$15="Yes"),", "&amp;K$1,"")&amp;IF(AND(L356&lt;&gt;"Accepted",L356&lt;&gt;"Not Needed",Settings!$H$15="Yes"),", "&amp;L$1,"")&amp;IF(AND(M356&lt;&gt;"Accepted",M356&lt;&gt;"Not Needed",Settings!$I$15="Yes"),", "&amp;M$1,"")&amp;IF(AND(N356&lt;&gt;"Accepted",N356&lt;&gt;"Not Needed",Settings!$J$15="Yes"),", "&amp;N$1,""),3,400))))</f>
        <v/>
      </c>
    </row>
    <row r="357" ht="15" customHeight="1" s="21">
      <c r="A357" s="31" t="n"/>
      <c r="B357" s="31" t="n"/>
      <c r="C357" s="31" t="n"/>
      <c r="D357" s="31" t="n"/>
      <c r="E357" s="31" t="n"/>
      <c r="F357" s="31" t="n"/>
      <c r="G357" s="31" t="n"/>
      <c r="H357" s="31" t="n"/>
      <c r="I357" s="31" t="n"/>
      <c r="J357" s="31" t="n"/>
      <c r="K357" s="31" t="n"/>
      <c r="L357" s="31" t="n"/>
      <c r="M357" s="31" t="n"/>
      <c r="N357" s="31" t="n"/>
      <c r="O357" s="32">
        <f>IF($B357="","",COUNTIF(G357:N357,"Accepted")+COUNTIF(G357:N357,"Received")+COUNTIF(G357:N357,"Needs Correction"))</f>
        <v/>
      </c>
      <c r="P357" s="32">
        <f>IF($B357="","",SUMPRODUCT(((G357:N357="Accepted")+(G357:N357="Not Needed"))*(Settings!$C$11:$J$11="Yes")))</f>
        <v/>
      </c>
      <c r="Q357" s="32">
        <f>IF($B357="","",SUMPRODUCT(((G357:N357="Accepted")+(G357:N357="Not Needed"))*(Settings!$C$15:$J$15="Yes")))</f>
        <v/>
      </c>
      <c r="R357" s="33">
        <f>IF($B357="","",IF($D357="No","No PTO/PTA",IF($D357&lt;&gt;"Yes","Not Yet Confirmed",IF($Q357&gt;=Settings!$C$13,"Legalized",IF($P357&gt;=Settings!$C$12,"Registered",IF($O357&gt;0,"In Progress","Not Started"))))))</f>
        <v/>
      </c>
      <c r="S357" s="32">
        <f>IF($B357="","",COUNTIF(G357:N357,"Received"))</f>
        <v/>
      </c>
      <c r="T357" s="32">
        <f>IF($B357="","",COUNTIF(G357:N357,"Needs Correction"))</f>
        <v/>
      </c>
      <c r="U357" s="33">
        <f>IF($B357="","",IF($D357&lt;&gt;"Yes","",IF($Q357&gt;=Settings!$C$13,"None",MID(IF(AND(G357&lt;&gt;"Accepted",G357&lt;&gt;"Not Needed",Settings!$C$15="Yes"),", "&amp;G$1,"")&amp;IF(AND(H357&lt;&gt;"Accepted",H357&lt;&gt;"Not Needed",Settings!$D$15="Yes"),", "&amp;H$1,"")&amp;IF(AND(I357&lt;&gt;"Accepted",I357&lt;&gt;"Not Needed",Settings!$E$15="Yes"),", "&amp;I$1,"")&amp;IF(AND(J357&lt;&gt;"Accepted",J357&lt;&gt;"Not Needed",Settings!$F$15="Yes"),", "&amp;J$1,"")&amp;IF(AND(K357&lt;&gt;"Accepted",K357&lt;&gt;"Not Needed",Settings!$G$15="Yes"),", "&amp;K$1,"")&amp;IF(AND(L357&lt;&gt;"Accepted",L357&lt;&gt;"Not Needed",Settings!$H$15="Yes"),", "&amp;L$1,"")&amp;IF(AND(M357&lt;&gt;"Accepted",M357&lt;&gt;"Not Needed",Settings!$I$15="Yes"),", "&amp;M$1,"")&amp;IF(AND(N357&lt;&gt;"Accepted",N357&lt;&gt;"Not Needed",Settings!$J$15="Yes"),", "&amp;N$1,""),3,400))))</f>
        <v/>
      </c>
    </row>
    <row r="358" ht="15" customHeight="1" s="21">
      <c r="A358" s="31" t="n"/>
      <c r="B358" s="31" t="n"/>
      <c r="C358" s="31" t="n"/>
      <c r="D358" s="31" t="n"/>
      <c r="E358" s="31" t="n"/>
      <c r="F358" s="31" t="n"/>
      <c r="G358" s="31" t="n"/>
      <c r="H358" s="31" t="n"/>
      <c r="I358" s="31" t="n"/>
      <c r="J358" s="31" t="n"/>
      <c r="K358" s="31" t="n"/>
      <c r="L358" s="31" t="n"/>
      <c r="M358" s="31" t="n"/>
      <c r="N358" s="31" t="n"/>
      <c r="O358" s="32">
        <f>IF($B358="","",COUNTIF(G358:N358,"Accepted")+COUNTIF(G358:N358,"Received")+COUNTIF(G358:N358,"Needs Correction"))</f>
        <v/>
      </c>
      <c r="P358" s="32">
        <f>IF($B358="","",SUMPRODUCT(((G358:N358="Accepted")+(G358:N358="Not Needed"))*(Settings!$C$11:$J$11="Yes")))</f>
        <v/>
      </c>
      <c r="Q358" s="32">
        <f>IF($B358="","",SUMPRODUCT(((G358:N358="Accepted")+(G358:N358="Not Needed"))*(Settings!$C$15:$J$15="Yes")))</f>
        <v/>
      </c>
      <c r="R358" s="33">
        <f>IF($B358="","",IF($D358="No","No PTO/PTA",IF($D358&lt;&gt;"Yes","Not Yet Confirmed",IF($Q358&gt;=Settings!$C$13,"Legalized",IF($P358&gt;=Settings!$C$12,"Registered",IF($O358&gt;0,"In Progress","Not Started"))))))</f>
        <v/>
      </c>
      <c r="S358" s="32">
        <f>IF($B358="","",COUNTIF(G358:N358,"Received"))</f>
        <v/>
      </c>
      <c r="T358" s="32">
        <f>IF($B358="","",COUNTIF(G358:N358,"Needs Correction"))</f>
        <v/>
      </c>
      <c r="U358" s="33">
        <f>IF($B358="","",IF($D358&lt;&gt;"Yes","",IF($Q358&gt;=Settings!$C$13,"None",MID(IF(AND(G358&lt;&gt;"Accepted",G358&lt;&gt;"Not Needed",Settings!$C$15="Yes"),", "&amp;G$1,"")&amp;IF(AND(H358&lt;&gt;"Accepted",H358&lt;&gt;"Not Needed",Settings!$D$15="Yes"),", "&amp;H$1,"")&amp;IF(AND(I358&lt;&gt;"Accepted",I358&lt;&gt;"Not Needed",Settings!$E$15="Yes"),", "&amp;I$1,"")&amp;IF(AND(J358&lt;&gt;"Accepted",J358&lt;&gt;"Not Needed",Settings!$F$15="Yes"),", "&amp;J$1,"")&amp;IF(AND(K358&lt;&gt;"Accepted",K358&lt;&gt;"Not Needed",Settings!$G$15="Yes"),", "&amp;K$1,"")&amp;IF(AND(L358&lt;&gt;"Accepted",L358&lt;&gt;"Not Needed",Settings!$H$15="Yes"),", "&amp;L$1,"")&amp;IF(AND(M358&lt;&gt;"Accepted",M358&lt;&gt;"Not Needed",Settings!$I$15="Yes"),", "&amp;M$1,"")&amp;IF(AND(N358&lt;&gt;"Accepted",N358&lt;&gt;"Not Needed",Settings!$J$15="Yes"),", "&amp;N$1,""),3,400))))</f>
        <v/>
      </c>
    </row>
    <row r="359" ht="15" customHeight="1" s="21">
      <c r="A359" s="31" t="n"/>
      <c r="B359" s="31" t="n"/>
      <c r="C359" s="31" t="n"/>
      <c r="D359" s="31" t="n"/>
      <c r="E359" s="31" t="n"/>
      <c r="F359" s="31" t="n"/>
      <c r="G359" s="31" t="n"/>
      <c r="H359" s="31" t="n"/>
      <c r="I359" s="31" t="n"/>
      <c r="J359" s="31" t="n"/>
      <c r="K359" s="31" t="n"/>
      <c r="L359" s="31" t="n"/>
      <c r="M359" s="31" t="n"/>
      <c r="N359" s="31" t="n"/>
      <c r="O359" s="32">
        <f>IF($B359="","",COUNTIF(G359:N359,"Accepted")+COUNTIF(G359:N359,"Received")+COUNTIF(G359:N359,"Needs Correction"))</f>
        <v/>
      </c>
      <c r="P359" s="32">
        <f>IF($B359="","",SUMPRODUCT(((G359:N359="Accepted")+(G359:N359="Not Needed"))*(Settings!$C$11:$J$11="Yes")))</f>
        <v/>
      </c>
      <c r="Q359" s="32">
        <f>IF($B359="","",SUMPRODUCT(((G359:N359="Accepted")+(G359:N359="Not Needed"))*(Settings!$C$15:$J$15="Yes")))</f>
        <v/>
      </c>
      <c r="R359" s="33">
        <f>IF($B359="","",IF($D359="No","No PTO/PTA",IF($D359&lt;&gt;"Yes","Not Yet Confirmed",IF($Q359&gt;=Settings!$C$13,"Legalized",IF($P359&gt;=Settings!$C$12,"Registered",IF($O359&gt;0,"In Progress","Not Started"))))))</f>
        <v/>
      </c>
      <c r="S359" s="32">
        <f>IF($B359="","",COUNTIF(G359:N359,"Received"))</f>
        <v/>
      </c>
      <c r="T359" s="32">
        <f>IF($B359="","",COUNTIF(G359:N359,"Needs Correction"))</f>
        <v/>
      </c>
      <c r="U359" s="33">
        <f>IF($B359="","",IF($D359&lt;&gt;"Yes","",IF($Q359&gt;=Settings!$C$13,"None",MID(IF(AND(G359&lt;&gt;"Accepted",G359&lt;&gt;"Not Needed",Settings!$C$15="Yes"),", "&amp;G$1,"")&amp;IF(AND(H359&lt;&gt;"Accepted",H359&lt;&gt;"Not Needed",Settings!$D$15="Yes"),", "&amp;H$1,"")&amp;IF(AND(I359&lt;&gt;"Accepted",I359&lt;&gt;"Not Needed",Settings!$E$15="Yes"),", "&amp;I$1,"")&amp;IF(AND(J359&lt;&gt;"Accepted",J359&lt;&gt;"Not Needed",Settings!$F$15="Yes"),", "&amp;J$1,"")&amp;IF(AND(K359&lt;&gt;"Accepted",K359&lt;&gt;"Not Needed",Settings!$G$15="Yes"),", "&amp;K$1,"")&amp;IF(AND(L359&lt;&gt;"Accepted",L359&lt;&gt;"Not Needed",Settings!$H$15="Yes"),", "&amp;L$1,"")&amp;IF(AND(M359&lt;&gt;"Accepted",M359&lt;&gt;"Not Needed",Settings!$I$15="Yes"),", "&amp;M$1,"")&amp;IF(AND(N359&lt;&gt;"Accepted",N359&lt;&gt;"Not Needed",Settings!$J$15="Yes"),", "&amp;N$1,""),3,400))))</f>
        <v/>
      </c>
    </row>
    <row r="360" ht="15" customHeight="1" s="21">
      <c r="A360" s="31" t="n"/>
      <c r="B360" s="31" t="n"/>
      <c r="C360" s="31" t="n"/>
      <c r="D360" s="31" t="n"/>
      <c r="E360" s="31" t="n"/>
      <c r="F360" s="31" t="n"/>
      <c r="G360" s="31" t="n"/>
      <c r="H360" s="31" t="n"/>
      <c r="I360" s="31" t="n"/>
      <c r="J360" s="31" t="n"/>
      <c r="K360" s="31" t="n"/>
      <c r="L360" s="31" t="n"/>
      <c r="M360" s="31" t="n"/>
      <c r="N360" s="31" t="n"/>
      <c r="O360" s="32">
        <f>IF($B360="","",COUNTIF(G360:N360,"Accepted")+COUNTIF(G360:N360,"Received")+COUNTIF(G360:N360,"Needs Correction"))</f>
        <v/>
      </c>
      <c r="P360" s="32">
        <f>IF($B360="","",SUMPRODUCT(((G360:N360="Accepted")+(G360:N360="Not Needed"))*(Settings!$C$11:$J$11="Yes")))</f>
        <v/>
      </c>
      <c r="Q360" s="32">
        <f>IF($B360="","",SUMPRODUCT(((G360:N360="Accepted")+(G360:N360="Not Needed"))*(Settings!$C$15:$J$15="Yes")))</f>
        <v/>
      </c>
      <c r="R360" s="33">
        <f>IF($B360="","",IF($D360="No","No PTO/PTA",IF($D360&lt;&gt;"Yes","Not Yet Confirmed",IF($Q360&gt;=Settings!$C$13,"Legalized",IF($P360&gt;=Settings!$C$12,"Registered",IF($O360&gt;0,"In Progress","Not Started"))))))</f>
        <v/>
      </c>
      <c r="S360" s="32">
        <f>IF($B360="","",COUNTIF(G360:N360,"Received"))</f>
        <v/>
      </c>
      <c r="T360" s="32">
        <f>IF($B360="","",COUNTIF(G360:N360,"Needs Correction"))</f>
        <v/>
      </c>
      <c r="U360" s="33">
        <f>IF($B360="","",IF($D360&lt;&gt;"Yes","",IF($Q360&gt;=Settings!$C$13,"None",MID(IF(AND(G360&lt;&gt;"Accepted",G360&lt;&gt;"Not Needed",Settings!$C$15="Yes"),", "&amp;G$1,"")&amp;IF(AND(H360&lt;&gt;"Accepted",H360&lt;&gt;"Not Needed",Settings!$D$15="Yes"),", "&amp;H$1,"")&amp;IF(AND(I360&lt;&gt;"Accepted",I360&lt;&gt;"Not Needed",Settings!$E$15="Yes"),", "&amp;I$1,"")&amp;IF(AND(J360&lt;&gt;"Accepted",J360&lt;&gt;"Not Needed",Settings!$F$15="Yes"),", "&amp;J$1,"")&amp;IF(AND(K360&lt;&gt;"Accepted",K360&lt;&gt;"Not Needed",Settings!$G$15="Yes"),", "&amp;K$1,"")&amp;IF(AND(L360&lt;&gt;"Accepted",L360&lt;&gt;"Not Needed",Settings!$H$15="Yes"),", "&amp;L$1,"")&amp;IF(AND(M360&lt;&gt;"Accepted",M360&lt;&gt;"Not Needed",Settings!$I$15="Yes"),", "&amp;M$1,"")&amp;IF(AND(N360&lt;&gt;"Accepted",N360&lt;&gt;"Not Needed",Settings!$J$15="Yes"),", "&amp;N$1,""),3,400))))</f>
        <v/>
      </c>
    </row>
    <row r="361" ht="15" customHeight="1" s="21">
      <c r="A361" s="31" t="n"/>
      <c r="B361" s="31" t="n"/>
      <c r="C361" s="31" t="n"/>
      <c r="D361" s="31" t="n"/>
      <c r="E361" s="31" t="n"/>
      <c r="F361" s="31" t="n"/>
      <c r="G361" s="31" t="n"/>
      <c r="H361" s="31" t="n"/>
      <c r="I361" s="31" t="n"/>
      <c r="J361" s="31" t="n"/>
      <c r="K361" s="31" t="n"/>
      <c r="L361" s="31" t="n"/>
      <c r="M361" s="31" t="n"/>
      <c r="N361" s="31" t="n"/>
      <c r="O361" s="32">
        <f>IF($B361="","",COUNTIF(G361:N361,"Accepted")+COUNTIF(G361:N361,"Received")+COUNTIF(G361:N361,"Needs Correction"))</f>
        <v/>
      </c>
      <c r="P361" s="32">
        <f>IF($B361="","",SUMPRODUCT(((G361:N361="Accepted")+(G361:N361="Not Needed"))*(Settings!$C$11:$J$11="Yes")))</f>
        <v/>
      </c>
      <c r="Q361" s="32">
        <f>IF($B361="","",SUMPRODUCT(((G361:N361="Accepted")+(G361:N361="Not Needed"))*(Settings!$C$15:$J$15="Yes")))</f>
        <v/>
      </c>
      <c r="R361" s="33">
        <f>IF($B361="","",IF($D361="No","No PTO/PTA",IF($D361&lt;&gt;"Yes","Not Yet Confirmed",IF($Q361&gt;=Settings!$C$13,"Legalized",IF($P361&gt;=Settings!$C$12,"Registered",IF($O361&gt;0,"In Progress","Not Started"))))))</f>
        <v/>
      </c>
      <c r="S361" s="32">
        <f>IF($B361="","",COUNTIF(G361:N361,"Received"))</f>
        <v/>
      </c>
      <c r="T361" s="32">
        <f>IF($B361="","",COUNTIF(G361:N361,"Needs Correction"))</f>
        <v/>
      </c>
      <c r="U361" s="33">
        <f>IF($B361="","",IF($D361&lt;&gt;"Yes","",IF($Q361&gt;=Settings!$C$13,"None",MID(IF(AND(G361&lt;&gt;"Accepted",G361&lt;&gt;"Not Needed",Settings!$C$15="Yes"),", "&amp;G$1,"")&amp;IF(AND(H361&lt;&gt;"Accepted",H361&lt;&gt;"Not Needed",Settings!$D$15="Yes"),", "&amp;H$1,"")&amp;IF(AND(I361&lt;&gt;"Accepted",I361&lt;&gt;"Not Needed",Settings!$E$15="Yes"),", "&amp;I$1,"")&amp;IF(AND(J361&lt;&gt;"Accepted",J361&lt;&gt;"Not Needed",Settings!$F$15="Yes"),", "&amp;J$1,"")&amp;IF(AND(K361&lt;&gt;"Accepted",K361&lt;&gt;"Not Needed",Settings!$G$15="Yes"),", "&amp;K$1,"")&amp;IF(AND(L361&lt;&gt;"Accepted",L361&lt;&gt;"Not Needed",Settings!$H$15="Yes"),", "&amp;L$1,"")&amp;IF(AND(M361&lt;&gt;"Accepted",M361&lt;&gt;"Not Needed",Settings!$I$15="Yes"),", "&amp;M$1,"")&amp;IF(AND(N361&lt;&gt;"Accepted",N361&lt;&gt;"Not Needed",Settings!$J$15="Yes"),", "&amp;N$1,""),3,400))))</f>
        <v/>
      </c>
    </row>
    <row r="362" ht="15" customHeight="1" s="21">
      <c r="A362" s="31" t="n"/>
      <c r="B362" s="31" t="n"/>
      <c r="C362" s="31" t="n"/>
      <c r="D362" s="31" t="n"/>
      <c r="E362" s="31" t="n"/>
      <c r="F362" s="31" t="n"/>
      <c r="G362" s="31" t="n"/>
      <c r="H362" s="31" t="n"/>
      <c r="I362" s="31" t="n"/>
      <c r="J362" s="31" t="n"/>
      <c r="K362" s="31" t="n"/>
      <c r="L362" s="31" t="n"/>
      <c r="M362" s="31" t="n"/>
      <c r="N362" s="31" t="n"/>
      <c r="O362" s="32">
        <f>IF($B362="","",COUNTIF(G362:N362,"Accepted")+COUNTIF(G362:N362,"Received")+COUNTIF(G362:N362,"Needs Correction"))</f>
        <v/>
      </c>
      <c r="P362" s="32">
        <f>IF($B362="","",SUMPRODUCT(((G362:N362="Accepted")+(G362:N362="Not Needed"))*(Settings!$C$11:$J$11="Yes")))</f>
        <v/>
      </c>
      <c r="Q362" s="32">
        <f>IF($B362="","",SUMPRODUCT(((G362:N362="Accepted")+(G362:N362="Not Needed"))*(Settings!$C$15:$J$15="Yes")))</f>
        <v/>
      </c>
      <c r="R362" s="33">
        <f>IF($B362="","",IF($D362="No","No PTO/PTA",IF($D362&lt;&gt;"Yes","Not Yet Confirmed",IF($Q362&gt;=Settings!$C$13,"Legalized",IF($P362&gt;=Settings!$C$12,"Registered",IF($O362&gt;0,"In Progress","Not Started"))))))</f>
        <v/>
      </c>
      <c r="S362" s="32">
        <f>IF($B362="","",COUNTIF(G362:N362,"Received"))</f>
        <v/>
      </c>
      <c r="T362" s="32">
        <f>IF($B362="","",COUNTIF(G362:N362,"Needs Correction"))</f>
        <v/>
      </c>
      <c r="U362" s="33">
        <f>IF($B362="","",IF($D362&lt;&gt;"Yes","",IF($Q362&gt;=Settings!$C$13,"None",MID(IF(AND(G362&lt;&gt;"Accepted",G362&lt;&gt;"Not Needed",Settings!$C$15="Yes"),", "&amp;G$1,"")&amp;IF(AND(H362&lt;&gt;"Accepted",H362&lt;&gt;"Not Needed",Settings!$D$15="Yes"),", "&amp;H$1,"")&amp;IF(AND(I362&lt;&gt;"Accepted",I362&lt;&gt;"Not Needed",Settings!$E$15="Yes"),", "&amp;I$1,"")&amp;IF(AND(J362&lt;&gt;"Accepted",J362&lt;&gt;"Not Needed",Settings!$F$15="Yes"),", "&amp;J$1,"")&amp;IF(AND(K362&lt;&gt;"Accepted",K362&lt;&gt;"Not Needed",Settings!$G$15="Yes"),", "&amp;K$1,"")&amp;IF(AND(L362&lt;&gt;"Accepted",L362&lt;&gt;"Not Needed",Settings!$H$15="Yes"),", "&amp;L$1,"")&amp;IF(AND(M362&lt;&gt;"Accepted",M362&lt;&gt;"Not Needed",Settings!$I$15="Yes"),", "&amp;M$1,"")&amp;IF(AND(N362&lt;&gt;"Accepted",N362&lt;&gt;"Not Needed",Settings!$J$15="Yes"),", "&amp;N$1,""),3,400))))</f>
        <v/>
      </c>
    </row>
    <row r="363" ht="15" customHeight="1" s="21">
      <c r="A363" s="31" t="n"/>
      <c r="B363" s="31" t="n"/>
      <c r="C363" s="31" t="n"/>
      <c r="D363" s="31" t="n"/>
      <c r="E363" s="31" t="n"/>
      <c r="F363" s="31" t="n"/>
      <c r="G363" s="31" t="n"/>
      <c r="H363" s="31" t="n"/>
      <c r="I363" s="31" t="n"/>
      <c r="J363" s="31" t="n"/>
      <c r="K363" s="31" t="n"/>
      <c r="L363" s="31" t="n"/>
      <c r="M363" s="31" t="n"/>
      <c r="N363" s="31" t="n"/>
      <c r="O363" s="32">
        <f>IF($B363="","",COUNTIF(G363:N363,"Accepted")+COUNTIF(G363:N363,"Received")+COUNTIF(G363:N363,"Needs Correction"))</f>
        <v/>
      </c>
      <c r="P363" s="32">
        <f>IF($B363="","",SUMPRODUCT(((G363:N363="Accepted")+(G363:N363="Not Needed"))*(Settings!$C$11:$J$11="Yes")))</f>
        <v/>
      </c>
      <c r="Q363" s="32">
        <f>IF($B363="","",SUMPRODUCT(((G363:N363="Accepted")+(G363:N363="Not Needed"))*(Settings!$C$15:$J$15="Yes")))</f>
        <v/>
      </c>
      <c r="R363" s="33">
        <f>IF($B363="","",IF($D363="No","No PTO/PTA",IF($D363&lt;&gt;"Yes","Not Yet Confirmed",IF($Q363&gt;=Settings!$C$13,"Legalized",IF($P363&gt;=Settings!$C$12,"Registered",IF($O363&gt;0,"In Progress","Not Started"))))))</f>
        <v/>
      </c>
      <c r="S363" s="32">
        <f>IF($B363="","",COUNTIF(G363:N363,"Received"))</f>
        <v/>
      </c>
      <c r="T363" s="32">
        <f>IF($B363="","",COUNTIF(G363:N363,"Needs Correction"))</f>
        <v/>
      </c>
      <c r="U363" s="33">
        <f>IF($B363="","",IF($D363&lt;&gt;"Yes","",IF($Q363&gt;=Settings!$C$13,"None",MID(IF(AND(G363&lt;&gt;"Accepted",G363&lt;&gt;"Not Needed",Settings!$C$15="Yes"),", "&amp;G$1,"")&amp;IF(AND(H363&lt;&gt;"Accepted",H363&lt;&gt;"Not Needed",Settings!$D$15="Yes"),", "&amp;H$1,"")&amp;IF(AND(I363&lt;&gt;"Accepted",I363&lt;&gt;"Not Needed",Settings!$E$15="Yes"),", "&amp;I$1,"")&amp;IF(AND(J363&lt;&gt;"Accepted",J363&lt;&gt;"Not Needed",Settings!$F$15="Yes"),", "&amp;J$1,"")&amp;IF(AND(K363&lt;&gt;"Accepted",K363&lt;&gt;"Not Needed",Settings!$G$15="Yes"),", "&amp;K$1,"")&amp;IF(AND(L363&lt;&gt;"Accepted",L363&lt;&gt;"Not Needed",Settings!$H$15="Yes"),", "&amp;L$1,"")&amp;IF(AND(M363&lt;&gt;"Accepted",M363&lt;&gt;"Not Needed",Settings!$I$15="Yes"),", "&amp;M$1,"")&amp;IF(AND(N363&lt;&gt;"Accepted",N363&lt;&gt;"Not Needed",Settings!$J$15="Yes"),", "&amp;N$1,""),3,400))))</f>
        <v/>
      </c>
    </row>
    <row r="364" ht="15" customHeight="1" s="21">
      <c r="A364" s="31" t="n"/>
      <c r="B364" s="31" t="n"/>
      <c r="C364" s="31" t="n"/>
      <c r="D364" s="31" t="n"/>
      <c r="E364" s="31" t="n"/>
      <c r="F364" s="31" t="n"/>
      <c r="G364" s="31" t="n"/>
      <c r="H364" s="31" t="n"/>
      <c r="I364" s="31" t="n"/>
      <c r="J364" s="31" t="n"/>
      <c r="K364" s="31" t="n"/>
      <c r="L364" s="31" t="n"/>
      <c r="M364" s="31" t="n"/>
      <c r="N364" s="31" t="n"/>
      <c r="O364" s="32">
        <f>IF($B364="","",COUNTIF(G364:N364,"Accepted")+COUNTIF(G364:N364,"Received")+COUNTIF(G364:N364,"Needs Correction"))</f>
        <v/>
      </c>
      <c r="P364" s="32">
        <f>IF($B364="","",SUMPRODUCT(((G364:N364="Accepted")+(G364:N364="Not Needed"))*(Settings!$C$11:$J$11="Yes")))</f>
        <v/>
      </c>
      <c r="Q364" s="32">
        <f>IF($B364="","",SUMPRODUCT(((G364:N364="Accepted")+(G364:N364="Not Needed"))*(Settings!$C$15:$J$15="Yes")))</f>
        <v/>
      </c>
      <c r="R364" s="33">
        <f>IF($B364="","",IF($D364="No","No PTO/PTA",IF($D364&lt;&gt;"Yes","Not Yet Confirmed",IF($Q364&gt;=Settings!$C$13,"Legalized",IF($P364&gt;=Settings!$C$12,"Registered",IF($O364&gt;0,"In Progress","Not Started"))))))</f>
        <v/>
      </c>
      <c r="S364" s="32">
        <f>IF($B364="","",COUNTIF(G364:N364,"Received"))</f>
        <v/>
      </c>
      <c r="T364" s="32">
        <f>IF($B364="","",COUNTIF(G364:N364,"Needs Correction"))</f>
        <v/>
      </c>
      <c r="U364" s="33">
        <f>IF($B364="","",IF($D364&lt;&gt;"Yes","",IF($Q364&gt;=Settings!$C$13,"None",MID(IF(AND(G364&lt;&gt;"Accepted",G364&lt;&gt;"Not Needed",Settings!$C$15="Yes"),", "&amp;G$1,"")&amp;IF(AND(H364&lt;&gt;"Accepted",H364&lt;&gt;"Not Needed",Settings!$D$15="Yes"),", "&amp;H$1,"")&amp;IF(AND(I364&lt;&gt;"Accepted",I364&lt;&gt;"Not Needed",Settings!$E$15="Yes"),", "&amp;I$1,"")&amp;IF(AND(J364&lt;&gt;"Accepted",J364&lt;&gt;"Not Needed",Settings!$F$15="Yes"),", "&amp;J$1,"")&amp;IF(AND(K364&lt;&gt;"Accepted",K364&lt;&gt;"Not Needed",Settings!$G$15="Yes"),", "&amp;K$1,"")&amp;IF(AND(L364&lt;&gt;"Accepted",L364&lt;&gt;"Not Needed",Settings!$H$15="Yes"),", "&amp;L$1,"")&amp;IF(AND(M364&lt;&gt;"Accepted",M364&lt;&gt;"Not Needed",Settings!$I$15="Yes"),", "&amp;M$1,"")&amp;IF(AND(N364&lt;&gt;"Accepted",N364&lt;&gt;"Not Needed",Settings!$J$15="Yes"),", "&amp;N$1,""),3,400))))</f>
        <v/>
      </c>
    </row>
    <row r="365" ht="15" customHeight="1" s="21">
      <c r="A365" s="31" t="n"/>
      <c r="B365" s="31" t="n"/>
      <c r="C365" s="31" t="n"/>
      <c r="D365" s="31" t="n"/>
      <c r="E365" s="31" t="n"/>
      <c r="F365" s="31" t="n"/>
      <c r="G365" s="31" t="n"/>
      <c r="H365" s="31" t="n"/>
      <c r="I365" s="31" t="n"/>
      <c r="J365" s="31" t="n"/>
      <c r="K365" s="31" t="n"/>
      <c r="L365" s="31" t="n"/>
      <c r="M365" s="31" t="n"/>
      <c r="N365" s="31" t="n"/>
      <c r="O365" s="32">
        <f>IF($B365="","",COUNTIF(G365:N365,"Accepted")+COUNTIF(G365:N365,"Received")+COUNTIF(G365:N365,"Needs Correction"))</f>
        <v/>
      </c>
      <c r="P365" s="32">
        <f>IF($B365="","",SUMPRODUCT(((G365:N365="Accepted")+(G365:N365="Not Needed"))*(Settings!$C$11:$J$11="Yes")))</f>
        <v/>
      </c>
      <c r="Q365" s="32">
        <f>IF($B365="","",SUMPRODUCT(((G365:N365="Accepted")+(G365:N365="Not Needed"))*(Settings!$C$15:$J$15="Yes")))</f>
        <v/>
      </c>
      <c r="R365" s="33">
        <f>IF($B365="","",IF($D365="No","No PTO/PTA",IF($D365&lt;&gt;"Yes","Not Yet Confirmed",IF($Q365&gt;=Settings!$C$13,"Legalized",IF($P365&gt;=Settings!$C$12,"Registered",IF($O365&gt;0,"In Progress","Not Started"))))))</f>
        <v/>
      </c>
      <c r="S365" s="32">
        <f>IF($B365="","",COUNTIF(G365:N365,"Received"))</f>
        <v/>
      </c>
      <c r="T365" s="32">
        <f>IF($B365="","",COUNTIF(G365:N365,"Needs Correction"))</f>
        <v/>
      </c>
      <c r="U365" s="33">
        <f>IF($B365="","",IF($D365&lt;&gt;"Yes","",IF($Q365&gt;=Settings!$C$13,"None",MID(IF(AND(G365&lt;&gt;"Accepted",G365&lt;&gt;"Not Needed",Settings!$C$15="Yes"),", "&amp;G$1,"")&amp;IF(AND(H365&lt;&gt;"Accepted",H365&lt;&gt;"Not Needed",Settings!$D$15="Yes"),", "&amp;H$1,"")&amp;IF(AND(I365&lt;&gt;"Accepted",I365&lt;&gt;"Not Needed",Settings!$E$15="Yes"),", "&amp;I$1,"")&amp;IF(AND(J365&lt;&gt;"Accepted",J365&lt;&gt;"Not Needed",Settings!$F$15="Yes"),", "&amp;J$1,"")&amp;IF(AND(K365&lt;&gt;"Accepted",K365&lt;&gt;"Not Needed",Settings!$G$15="Yes"),", "&amp;K$1,"")&amp;IF(AND(L365&lt;&gt;"Accepted",L365&lt;&gt;"Not Needed",Settings!$H$15="Yes"),", "&amp;L$1,"")&amp;IF(AND(M365&lt;&gt;"Accepted",M365&lt;&gt;"Not Needed",Settings!$I$15="Yes"),", "&amp;M$1,"")&amp;IF(AND(N365&lt;&gt;"Accepted",N365&lt;&gt;"Not Needed",Settings!$J$15="Yes"),", "&amp;N$1,""),3,400))))</f>
        <v/>
      </c>
    </row>
    <row r="366" ht="15" customHeight="1" s="21">
      <c r="A366" s="31" t="n"/>
      <c r="B366" s="31" t="n"/>
      <c r="C366" s="31" t="n"/>
      <c r="D366" s="31" t="n"/>
      <c r="E366" s="31" t="n"/>
      <c r="F366" s="31" t="n"/>
      <c r="G366" s="31" t="n"/>
      <c r="H366" s="31" t="n"/>
      <c r="I366" s="31" t="n"/>
      <c r="J366" s="31" t="n"/>
      <c r="K366" s="31" t="n"/>
      <c r="L366" s="31" t="n"/>
      <c r="M366" s="31" t="n"/>
      <c r="N366" s="31" t="n"/>
      <c r="O366" s="32">
        <f>IF($B366="","",COUNTIF(G366:N366,"Accepted")+COUNTIF(G366:N366,"Received")+COUNTIF(G366:N366,"Needs Correction"))</f>
        <v/>
      </c>
      <c r="P366" s="32">
        <f>IF($B366="","",SUMPRODUCT(((G366:N366="Accepted")+(G366:N366="Not Needed"))*(Settings!$C$11:$J$11="Yes")))</f>
        <v/>
      </c>
      <c r="Q366" s="32">
        <f>IF($B366="","",SUMPRODUCT(((G366:N366="Accepted")+(G366:N366="Not Needed"))*(Settings!$C$15:$J$15="Yes")))</f>
        <v/>
      </c>
      <c r="R366" s="33">
        <f>IF($B366="","",IF($D366="No","No PTO/PTA",IF($D366&lt;&gt;"Yes","Not Yet Confirmed",IF($Q366&gt;=Settings!$C$13,"Legalized",IF($P366&gt;=Settings!$C$12,"Registered",IF($O366&gt;0,"In Progress","Not Started"))))))</f>
        <v/>
      </c>
      <c r="S366" s="32">
        <f>IF($B366="","",COUNTIF(G366:N366,"Received"))</f>
        <v/>
      </c>
      <c r="T366" s="32">
        <f>IF($B366="","",COUNTIF(G366:N366,"Needs Correction"))</f>
        <v/>
      </c>
      <c r="U366" s="33">
        <f>IF($B366="","",IF($D366&lt;&gt;"Yes","",IF($Q366&gt;=Settings!$C$13,"None",MID(IF(AND(G366&lt;&gt;"Accepted",G366&lt;&gt;"Not Needed",Settings!$C$15="Yes"),", "&amp;G$1,"")&amp;IF(AND(H366&lt;&gt;"Accepted",H366&lt;&gt;"Not Needed",Settings!$D$15="Yes"),", "&amp;H$1,"")&amp;IF(AND(I366&lt;&gt;"Accepted",I366&lt;&gt;"Not Needed",Settings!$E$15="Yes"),", "&amp;I$1,"")&amp;IF(AND(J366&lt;&gt;"Accepted",J366&lt;&gt;"Not Needed",Settings!$F$15="Yes"),", "&amp;J$1,"")&amp;IF(AND(K366&lt;&gt;"Accepted",K366&lt;&gt;"Not Needed",Settings!$G$15="Yes"),", "&amp;K$1,"")&amp;IF(AND(L366&lt;&gt;"Accepted",L366&lt;&gt;"Not Needed",Settings!$H$15="Yes"),", "&amp;L$1,"")&amp;IF(AND(M366&lt;&gt;"Accepted",M366&lt;&gt;"Not Needed",Settings!$I$15="Yes"),", "&amp;M$1,"")&amp;IF(AND(N366&lt;&gt;"Accepted",N366&lt;&gt;"Not Needed",Settings!$J$15="Yes"),", "&amp;N$1,""),3,400))))</f>
        <v/>
      </c>
    </row>
    <row r="367" ht="15" customHeight="1" s="21">
      <c r="A367" s="31" t="n"/>
      <c r="B367" s="31" t="n"/>
      <c r="C367" s="31" t="n"/>
      <c r="D367" s="31" t="n"/>
      <c r="E367" s="31" t="n"/>
      <c r="F367" s="31" t="n"/>
      <c r="G367" s="31" t="n"/>
      <c r="H367" s="31" t="n"/>
      <c r="I367" s="31" t="n"/>
      <c r="J367" s="31" t="n"/>
      <c r="K367" s="31" t="n"/>
      <c r="L367" s="31" t="n"/>
      <c r="M367" s="31" t="n"/>
      <c r="N367" s="31" t="n"/>
      <c r="O367" s="32">
        <f>IF($B367="","",COUNTIF(G367:N367,"Accepted")+COUNTIF(G367:N367,"Received")+COUNTIF(G367:N367,"Needs Correction"))</f>
        <v/>
      </c>
      <c r="P367" s="32">
        <f>IF($B367="","",SUMPRODUCT(((G367:N367="Accepted")+(G367:N367="Not Needed"))*(Settings!$C$11:$J$11="Yes")))</f>
        <v/>
      </c>
      <c r="Q367" s="32">
        <f>IF($B367="","",SUMPRODUCT(((G367:N367="Accepted")+(G367:N367="Not Needed"))*(Settings!$C$15:$J$15="Yes")))</f>
        <v/>
      </c>
      <c r="R367" s="33">
        <f>IF($B367="","",IF($D367="No","No PTO/PTA",IF($D367&lt;&gt;"Yes","Not Yet Confirmed",IF($Q367&gt;=Settings!$C$13,"Legalized",IF($P367&gt;=Settings!$C$12,"Registered",IF($O367&gt;0,"In Progress","Not Started"))))))</f>
        <v/>
      </c>
      <c r="S367" s="32">
        <f>IF($B367="","",COUNTIF(G367:N367,"Received"))</f>
        <v/>
      </c>
      <c r="T367" s="32">
        <f>IF($B367="","",COUNTIF(G367:N367,"Needs Correction"))</f>
        <v/>
      </c>
      <c r="U367" s="33">
        <f>IF($B367="","",IF($D367&lt;&gt;"Yes","",IF($Q367&gt;=Settings!$C$13,"None",MID(IF(AND(G367&lt;&gt;"Accepted",G367&lt;&gt;"Not Needed",Settings!$C$15="Yes"),", "&amp;G$1,"")&amp;IF(AND(H367&lt;&gt;"Accepted",H367&lt;&gt;"Not Needed",Settings!$D$15="Yes"),", "&amp;H$1,"")&amp;IF(AND(I367&lt;&gt;"Accepted",I367&lt;&gt;"Not Needed",Settings!$E$15="Yes"),", "&amp;I$1,"")&amp;IF(AND(J367&lt;&gt;"Accepted",J367&lt;&gt;"Not Needed",Settings!$F$15="Yes"),", "&amp;J$1,"")&amp;IF(AND(K367&lt;&gt;"Accepted",K367&lt;&gt;"Not Needed",Settings!$G$15="Yes"),", "&amp;K$1,"")&amp;IF(AND(L367&lt;&gt;"Accepted",L367&lt;&gt;"Not Needed",Settings!$H$15="Yes"),", "&amp;L$1,"")&amp;IF(AND(M367&lt;&gt;"Accepted",M367&lt;&gt;"Not Needed",Settings!$I$15="Yes"),", "&amp;M$1,"")&amp;IF(AND(N367&lt;&gt;"Accepted",N367&lt;&gt;"Not Needed",Settings!$J$15="Yes"),", "&amp;N$1,""),3,400))))</f>
        <v/>
      </c>
    </row>
    <row r="368" ht="15" customHeight="1" s="21">
      <c r="A368" s="31" t="n"/>
      <c r="B368" s="31" t="n"/>
      <c r="C368" s="31" t="n"/>
      <c r="D368" s="31" t="n"/>
      <c r="E368" s="31" t="n"/>
      <c r="F368" s="31" t="n"/>
      <c r="G368" s="31" t="n"/>
      <c r="H368" s="31" t="n"/>
      <c r="I368" s="31" t="n"/>
      <c r="J368" s="31" t="n"/>
      <c r="K368" s="31" t="n"/>
      <c r="L368" s="31" t="n"/>
      <c r="M368" s="31" t="n"/>
      <c r="N368" s="31" t="n"/>
      <c r="O368" s="32">
        <f>IF($B368="","",COUNTIF(G368:N368,"Accepted")+COUNTIF(G368:N368,"Received")+COUNTIF(G368:N368,"Needs Correction"))</f>
        <v/>
      </c>
      <c r="P368" s="32">
        <f>IF($B368="","",SUMPRODUCT(((G368:N368="Accepted")+(G368:N368="Not Needed"))*(Settings!$C$11:$J$11="Yes")))</f>
        <v/>
      </c>
      <c r="Q368" s="32">
        <f>IF($B368="","",SUMPRODUCT(((G368:N368="Accepted")+(G368:N368="Not Needed"))*(Settings!$C$15:$J$15="Yes")))</f>
        <v/>
      </c>
      <c r="R368" s="33">
        <f>IF($B368="","",IF($D368="No","No PTO/PTA",IF($D368&lt;&gt;"Yes","Not Yet Confirmed",IF($Q368&gt;=Settings!$C$13,"Legalized",IF($P368&gt;=Settings!$C$12,"Registered",IF($O368&gt;0,"In Progress","Not Started"))))))</f>
        <v/>
      </c>
      <c r="S368" s="32">
        <f>IF($B368="","",COUNTIF(G368:N368,"Received"))</f>
        <v/>
      </c>
      <c r="T368" s="32">
        <f>IF($B368="","",COUNTIF(G368:N368,"Needs Correction"))</f>
        <v/>
      </c>
      <c r="U368" s="33">
        <f>IF($B368="","",IF($D368&lt;&gt;"Yes","",IF($Q368&gt;=Settings!$C$13,"None",MID(IF(AND(G368&lt;&gt;"Accepted",G368&lt;&gt;"Not Needed",Settings!$C$15="Yes"),", "&amp;G$1,"")&amp;IF(AND(H368&lt;&gt;"Accepted",H368&lt;&gt;"Not Needed",Settings!$D$15="Yes"),", "&amp;H$1,"")&amp;IF(AND(I368&lt;&gt;"Accepted",I368&lt;&gt;"Not Needed",Settings!$E$15="Yes"),", "&amp;I$1,"")&amp;IF(AND(J368&lt;&gt;"Accepted",J368&lt;&gt;"Not Needed",Settings!$F$15="Yes"),", "&amp;J$1,"")&amp;IF(AND(K368&lt;&gt;"Accepted",K368&lt;&gt;"Not Needed",Settings!$G$15="Yes"),", "&amp;K$1,"")&amp;IF(AND(L368&lt;&gt;"Accepted",L368&lt;&gt;"Not Needed",Settings!$H$15="Yes"),", "&amp;L$1,"")&amp;IF(AND(M368&lt;&gt;"Accepted",M368&lt;&gt;"Not Needed",Settings!$I$15="Yes"),", "&amp;M$1,"")&amp;IF(AND(N368&lt;&gt;"Accepted",N368&lt;&gt;"Not Needed",Settings!$J$15="Yes"),", "&amp;N$1,""),3,400))))</f>
        <v/>
      </c>
    </row>
    <row r="369" ht="15" customHeight="1" s="21">
      <c r="A369" s="31" t="n"/>
      <c r="B369" s="31" t="n"/>
      <c r="C369" s="31" t="n"/>
      <c r="D369" s="31" t="n"/>
      <c r="E369" s="31" t="n"/>
      <c r="F369" s="31" t="n"/>
      <c r="G369" s="31" t="n"/>
      <c r="H369" s="31" t="n"/>
      <c r="I369" s="31" t="n"/>
      <c r="J369" s="31" t="n"/>
      <c r="K369" s="31" t="n"/>
      <c r="L369" s="31" t="n"/>
      <c r="M369" s="31" t="n"/>
      <c r="N369" s="31" t="n"/>
      <c r="O369" s="32">
        <f>IF($B369="","",COUNTIF(G369:N369,"Accepted")+COUNTIF(G369:N369,"Received")+COUNTIF(G369:N369,"Needs Correction"))</f>
        <v/>
      </c>
      <c r="P369" s="32">
        <f>IF($B369="","",SUMPRODUCT(((G369:N369="Accepted")+(G369:N369="Not Needed"))*(Settings!$C$11:$J$11="Yes")))</f>
        <v/>
      </c>
      <c r="Q369" s="32">
        <f>IF($B369="","",SUMPRODUCT(((G369:N369="Accepted")+(G369:N369="Not Needed"))*(Settings!$C$15:$J$15="Yes")))</f>
        <v/>
      </c>
      <c r="R369" s="33">
        <f>IF($B369="","",IF($D369="No","No PTO/PTA",IF($D369&lt;&gt;"Yes","Not Yet Confirmed",IF($Q369&gt;=Settings!$C$13,"Legalized",IF($P369&gt;=Settings!$C$12,"Registered",IF($O369&gt;0,"In Progress","Not Started"))))))</f>
        <v/>
      </c>
      <c r="S369" s="32">
        <f>IF($B369="","",COUNTIF(G369:N369,"Received"))</f>
        <v/>
      </c>
      <c r="T369" s="32">
        <f>IF($B369="","",COUNTIF(G369:N369,"Needs Correction"))</f>
        <v/>
      </c>
      <c r="U369" s="33">
        <f>IF($B369="","",IF($D369&lt;&gt;"Yes","",IF($Q369&gt;=Settings!$C$13,"None",MID(IF(AND(G369&lt;&gt;"Accepted",G369&lt;&gt;"Not Needed",Settings!$C$15="Yes"),", "&amp;G$1,"")&amp;IF(AND(H369&lt;&gt;"Accepted",H369&lt;&gt;"Not Needed",Settings!$D$15="Yes"),", "&amp;H$1,"")&amp;IF(AND(I369&lt;&gt;"Accepted",I369&lt;&gt;"Not Needed",Settings!$E$15="Yes"),", "&amp;I$1,"")&amp;IF(AND(J369&lt;&gt;"Accepted",J369&lt;&gt;"Not Needed",Settings!$F$15="Yes"),", "&amp;J$1,"")&amp;IF(AND(K369&lt;&gt;"Accepted",K369&lt;&gt;"Not Needed",Settings!$G$15="Yes"),", "&amp;K$1,"")&amp;IF(AND(L369&lt;&gt;"Accepted",L369&lt;&gt;"Not Needed",Settings!$H$15="Yes"),", "&amp;L$1,"")&amp;IF(AND(M369&lt;&gt;"Accepted",M369&lt;&gt;"Not Needed",Settings!$I$15="Yes"),", "&amp;M$1,"")&amp;IF(AND(N369&lt;&gt;"Accepted",N369&lt;&gt;"Not Needed",Settings!$J$15="Yes"),", "&amp;N$1,""),3,400))))</f>
        <v/>
      </c>
    </row>
    <row r="370" ht="15" customHeight="1" s="21">
      <c r="A370" s="31" t="n"/>
      <c r="B370" s="31" t="n"/>
      <c r="C370" s="31" t="n"/>
      <c r="D370" s="31" t="n"/>
      <c r="E370" s="31" t="n"/>
      <c r="F370" s="31" t="n"/>
      <c r="G370" s="31" t="n"/>
      <c r="H370" s="31" t="n"/>
      <c r="I370" s="31" t="n"/>
      <c r="J370" s="31" t="n"/>
      <c r="K370" s="31" t="n"/>
      <c r="L370" s="31" t="n"/>
      <c r="M370" s="31" t="n"/>
      <c r="N370" s="31" t="n"/>
      <c r="O370" s="32">
        <f>IF($B370="","",COUNTIF(G370:N370,"Accepted")+COUNTIF(G370:N370,"Received")+COUNTIF(G370:N370,"Needs Correction"))</f>
        <v/>
      </c>
      <c r="P370" s="32">
        <f>IF($B370="","",SUMPRODUCT(((G370:N370="Accepted")+(G370:N370="Not Needed"))*(Settings!$C$11:$J$11="Yes")))</f>
        <v/>
      </c>
      <c r="Q370" s="32">
        <f>IF($B370="","",SUMPRODUCT(((G370:N370="Accepted")+(G370:N370="Not Needed"))*(Settings!$C$15:$J$15="Yes")))</f>
        <v/>
      </c>
      <c r="R370" s="33">
        <f>IF($B370="","",IF($D370="No","No PTO/PTA",IF($D370&lt;&gt;"Yes","Not Yet Confirmed",IF($Q370&gt;=Settings!$C$13,"Legalized",IF($P370&gt;=Settings!$C$12,"Registered",IF($O370&gt;0,"In Progress","Not Started"))))))</f>
        <v/>
      </c>
      <c r="S370" s="32">
        <f>IF($B370="","",COUNTIF(G370:N370,"Received"))</f>
        <v/>
      </c>
      <c r="T370" s="32">
        <f>IF($B370="","",COUNTIF(G370:N370,"Needs Correction"))</f>
        <v/>
      </c>
      <c r="U370" s="33">
        <f>IF($B370="","",IF($D370&lt;&gt;"Yes","",IF($Q370&gt;=Settings!$C$13,"None",MID(IF(AND(G370&lt;&gt;"Accepted",G370&lt;&gt;"Not Needed",Settings!$C$15="Yes"),", "&amp;G$1,"")&amp;IF(AND(H370&lt;&gt;"Accepted",H370&lt;&gt;"Not Needed",Settings!$D$15="Yes"),", "&amp;H$1,"")&amp;IF(AND(I370&lt;&gt;"Accepted",I370&lt;&gt;"Not Needed",Settings!$E$15="Yes"),", "&amp;I$1,"")&amp;IF(AND(J370&lt;&gt;"Accepted",J370&lt;&gt;"Not Needed",Settings!$F$15="Yes"),", "&amp;J$1,"")&amp;IF(AND(K370&lt;&gt;"Accepted",K370&lt;&gt;"Not Needed",Settings!$G$15="Yes"),", "&amp;K$1,"")&amp;IF(AND(L370&lt;&gt;"Accepted",L370&lt;&gt;"Not Needed",Settings!$H$15="Yes"),", "&amp;L$1,"")&amp;IF(AND(M370&lt;&gt;"Accepted",M370&lt;&gt;"Not Needed",Settings!$I$15="Yes"),", "&amp;M$1,"")&amp;IF(AND(N370&lt;&gt;"Accepted",N370&lt;&gt;"Not Needed",Settings!$J$15="Yes"),", "&amp;N$1,""),3,400))))</f>
        <v/>
      </c>
    </row>
    <row r="371" ht="15" customHeight="1" s="21">
      <c r="A371" s="31" t="n"/>
      <c r="B371" s="31" t="n"/>
      <c r="C371" s="31" t="n"/>
      <c r="D371" s="31" t="n"/>
      <c r="E371" s="31" t="n"/>
      <c r="F371" s="31" t="n"/>
      <c r="G371" s="31" t="n"/>
      <c r="H371" s="31" t="n"/>
      <c r="I371" s="31" t="n"/>
      <c r="J371" s="31" t="n"/>
      <c r="K371" s="31" t="n"/>
      <c r="L371" s="31" t="n"/>
      <c r="M371" s="31" t="n"/>
      <c r="N371" s="31" t="n"/>
      <c r="O371" s="32">
        <f>IF($B371="","",COUNTIF(G371:N371,"Accepted")+COUNTIF(G371:N371,"Received")+COUNTIF(G371:N371,"Needs Correction"))</f>
        <v/>
      </c>
      <c r="P371" s="32">
        <f>IF($B371="","",SUMPRODUCT(((G371:N371="Accepted")+(G371:N371="Not Needed"))*(Settings!$C$11:$J$11="Yes")))</f>
        <v/>
      </c>
      <c r="Q371" s="32">
        <f>IF($B371="","",SUMPRODUCT(((G371:N371="Accepted")+(G371:N371="Not Needed"))*(Settings!$C$15:$J$15="Yes")))</f>
        <v/>
      </c>
      <c r="R371" s="33">
        <f>IF($B371="","",IF($D371="No","No PTO/PTA",IF($D371&lt;&gt;"Yes","Not Yet Confirmed",IF($Q371&gt;=Settings!$C$13,"Legalized",IF($P371&gt;=Settings!$C$12,"Registered",IF($O371&gt;0,"In Progress","Not Started"))))))</f>
        <v/>
      </c>
      <c r="S371" s="32">
        <f>IF($B371="","",COUNTIF(G371:N371,"Received"))</f>
        <v/>
      </c>
      <c r="T371" s="32">
        <f>IF($B371="","",COUNTIF(G371:N371,"Needs Correction"))</f>
        <v/>
      </c>
      <c r="U371" s="33">
        <f>IF($B371="","",IF($D371&lt;&gt;"Yes","",IF($Q371&gt;=Settings!$C$13,"None",MID(IF(AND(G371&lt;&gt;"Accepted",G371&lt;&gt;"Not Needed",Settings!$C$15="Yes"),", "&amp;G$1,"")&amp;IF(AND(H371&lt;&gt;"Accepted",H371&lt;&gt;"Not Needed",Settings!$D$15="Yes"),", "&amp;H$1,"")&amp;IF(AND(I371&lt;&gt;"Accepted",I371&lt;&gt;"Not Needed",Settings!$E$15="Yes"),", "&amp;I$1,"")&amp;IF(AND(J371&lt;&gt;"Accepted",J371&lt;&gt;"Not Needed",Settings!$F$15="Yes"),", "&amp;J$1,"")&amp;IF(AND(K371&lt;&gt;"Accepted",K371&lt;&gt;"Not Needed",Settings!$G$15="Yes"),", "&amp;K$1,"")&amp;IF(AND(L371&lt;&gt;"Accepted",L371&lt;&gt;"Not Needed",Settings!$H$15="Yes"),", "&amp;L$1,"")&amp;IF(AND(M371&lt;&gt;"Accepted",M371&lt;&gt;"Not Needed",Settings!$I$15="Yes"),", "&amp;M$1,"")&amp;IF(AND(N371&lt;&gt;"Accepted",N371&lt;&gt;"Not Needed",Settings!$J$15="Yes"),", "&amp;N$1,""),3,400))))</f>
        <v/>
      </c>
    </row>
    <row r="372" ht="15" customHeight="1" s="21">
      <c r="A372" s="31" t="n"/>
      <c r="B372" s="31" t="n"/>
      <c r="C372" s="31" t="n"/>
      <c r="D372" s="31" t="n"/>
      <c r="E372" s="31" t="n"/>
      <c r="F372" s="31" t="n"/>
      <c r="G372" s="31" t="n"/>
      <c r="H372" s="31" t="n"/>
      <c r="I372" s="31" t="n"/>
      <c r="J372" s="31" t="n"/>
      <c r="K372" s="31" t="n"/>
      <c r="L372" s="31" t="n"/>
      <c r="M372" s="31" t="n"/>
      <c r="N372" s="31" t="n"/>
      <c r="O372" s="32">
        <f>IF($B372="","",COUNTIF(G372:N372,"Accepted")+COUNTIF(G372:N372,"Received")+COUNTIF(G372:N372,"Needs Correction"))</f>
        <v/>
      </c>
      <c r="P372" s="32">
        <f>IF($B372="","",SUMPRODUCT(((G372:N372="Accepted")+(G372:N372="Not Needed"))*(Settings!$C$11:$J$11="Yes")))</f>
        <v/>
      </c>
      <c r="Q372" s="32">
        <f>IF($B372="","",SUMPRODUCT(((G372:N372="Accepted")+(G372:N372="Not Needed"))*(Settings!$C$15:$J$15="Yes")))</f>
        <v/>
      </c>
      <c r="R372" s="33">
        <f>IF($B372="","",IF($D372="No","No PTO/PTA",IF($D372&lt;&gt;"Yes","Not Yet Confirmed",IF($Q372&gt;=Settings!$C$13,"Legalized",IF($P372&gt;=Settings!$C$12,"Registered",IF($O372&gt;0,"In Progress","Not Started"))))))</f>
        <v/>
      </c>
      <c r="S372" s="32">
        <f>IF($B372="","",COUNTIF(G372:N372,"Received"))</f>
        <v/>
      </c>
      <c r="T372" s="32">
        <f>IF($B372="","",COUNTIF(G372:N372,"Needs Correction"))</f>
        <v/>
      </c>
      <c r="U372" s="33">
        <f>IF($B372="","",IF($D372&lt;&gt;"Yes","",IF($Q372&gt;=Settings!$C$13,"None",MID(IF(AND(G372&lt;&gt;"Accepted",G372&lt;&gt;"Not Needed",Settings!$C$15="Yes"),", "&amp;G$1,"")&amp;IF(AND(H372&lt;&gt;"Accepted",H372&lt;&gt;"Not Needed",Settings!$D$15="Yes"),", "&amp;H$1,"")&amp;IF(AND(I372&lt;&gt;"Accepted",I372&lt;&gt;"Not Needed",Settings!$E$15="Yes"),", "&amp;I$1,"")&amp;IF(AND(J372&lt;&gt;"Accepted",J372&lt;&gt;"Not Needed",Settings!$F$15="Yes"),", "&amp;J$1,"")&amp;IF(AND(K372&lt;&gt;"Accepted",K372&lt;&gt;"Not Needed",Settings!$G$15="Yes"),", "&amp;K$1,"")&amp;IF(AND(L372&lt;&gt;"Accepted",L372&lt;&gt;"Not Needed",Settings!$H$15="Yes"),", "&amp;L$1,"")&amp;IF(AND(M372&lt;&gt;"Accepted",M372&lt;&gt;"Not Needed",Settings!$I$15="Yes"),", "&amp;M$1,"")&amp;IF(AND(N372&lt;&gt;"Accepted",N372&lt;&gt;"Not Needed",Settings!$J$15="Yes"),", "&amp;N$1,""),3,400))))</f>
        <v/>
      </c>
    </row>
    <row r="373" ht="15" customHeight="1" s="21">
      <c r="A373" s="31" t="n"/>
      <c r="B373" s="31" t="n"/>
      <c r="C373" s="31" t="n"/>
      <c r="D373" s="31" t="n"/>
      <c r="E373" s="31" t="n"/>
      <c r="F373" s="31" t="n"/>
      <c r="G373" s="31" t="n"/>
      <c r="H373" s="31" t="n"/>
      <c r="I373" s="31" t="n"/>
      <c r="J373" s="31" t="n"/>
      <c r="K373" s="31" t="n"/>
      <c r="L373" s="31" t="n"/>
      <c r="M373" s="31" t="n"/>
      <c r="N373" s="31" t="n"/>
      <c r="O373" s="32">
        <f>IF($B373="","",COUNTIF(G373:N373,"Accepted")+COUNTIF(G373:N373,"Received")+COUNTIF(G373:N373,"Needs Correction"))</f>
        <v/>
      </c>
      <c r="P373" s="32">
        <f>IF($B373="","",SUMPRODUCT(((G373:N373="Accepted")+(G373:N373="Not Needed"))*(Settings!$C$11:$J$11="Yes")))</f>
        <v/>
      </c>
      <c r="Q373" s="32">
        <f>IF($B373="","",SUMPRODUCT(((G373:N373="Accepted")+(G373:N373="Not Needed"))*(Settings!$C$15:$J$15="Yes")))</f>
        <v/>
      </c>
      <c r="R373" s="33">
        <f>IF($B373="","",IF($D373="No","No PTO/PTA",IF($D373&lt;&gt;"Yes","Not Yet Confirmed",IF($Q373&gt;=Settings!$C$13,"Legalized",IF($P373&gt;=Settings!$C$12,"Registered",IF($O373&gt;0,"In Progress","Not Started"))))))</f>
        <v/>
      </c>
      <c r="S373" s="32">
        <f>IF($B373="","",COUNTIF(G373:N373,"Received"))</f>
        <v/>
      </c>
      <c r="T373" s="32">
        <f>IF($B373="","",COUNTIF(G373:N373,"Needs Correction"))</f>
        <v/>
      </c>
      <c r="U373" s="33">
        <f>IF($B373="","",IF($D373&lt;&gt;"Yes","",IF($Q373&gt;=Settings!$C$13,"None",MID(IF(AND(G373&lt;&gt;"Accepted",G373&lt;&gt;"Not Needed",Settings!$C$15="Yes"),", "&amp;G$1,"")&amp;IF(AND(H373&lt;&gt;"Accepted",H373&lt;&gt;"Not Needed",Settings!$D$15="Yes"),", "&amp;H$1,"")&amp;IF(AND(I373&lt;&gt;"Accepted",I373&lt;&gt;"Not Needed",Settings!$E$15="Yes"),", "&amp;I$1,"")&amp;IF(AND(J373&lt;&gt;"Accepted",J373&lt;&gt;"Not Needed",Settings!$F$15="Yes"),", "&amp;J$1,"")&amp;IF(AND(K373&lt;&gt;"Accepted",K373&lt;&gt;"Not Needed",Settings!$G$15="Yes"),", "&amp;K$1,"")&amp;IF(AND(L373&lt;&gt;"Accepted",L373&lt;&gt;"Not Needed",Settings!$H$15="Yes"),", "&amp;L$1,"")&amp;IF(AND(M373&lt;&gt;"Accepted",M373&lt;&gt;"Not Needed",Settings!$I$15="Yes"),", "&amp;M$1,"")&amp;IF(AND(N373&lt;&gt;"Accepted",N373&lt;&gt;"Not Needed",Settings!$J$15="Yes"),", "&amp;N$1,""),3,400))))</f>
        <v/>
      </c>
    </row>
    <row r="374" ht="15" customHeight="1" s="21">
      <c r="A374" s="31" t="n"/>
      <c r="B374" s="31" t="n"/>
      <c r="C374" s="31" t="n"/>
      <c r="D374" s="31" t="n"/>
      <c r="E374" s="31" t="n"/>
      <c r="F374" s="31" t="n"/>
      <c r="G374" s="31" t="n"/>
      <c r="H374" s="31" t="n"/>
      <c r="I374" s="31" t="n"/>
      <c r="J374" s="31" t="n"/>
      <c r="K374" s="31" t="n"/>
      <c r="L374" s="31" t="n"/>
      <c r="M374" s="31" t="n"/>
      <c r="N374" s="31" t="n"/>
      <c r="O374" s="32">
        <f>IF($B374="","",COUNTIF(G374:N374,"Accepted")+COUNTIF(G374:N374,"Received")+COUNTIF(G374:N374,"Needs Correction"))</f>
        <v/>
      </c>
      <c r="P374" s="32">
        <f>IF($B374="","",SUMPRODUCT(((G374:N374="Accepted")+(G374:N374="Not Needed"))*(Settings!$C$11:$J$11="Yes")))</f>
        <v/>
      </c>
      <c r="Q374" s="32">
        <f>IF($B374="","",SUMPRODUCT(((G374:N374="Accepted")+(G374:N374="Not Needed"))*(Settings!$C$15:$J$15="Yes")))</f>
        <v/>
      </c>
      <c r="R374" s="33">
        <f>IF($B374="","",IF($D374="No","No PTO/PTA",IF($D374&lt;&gt;"Yes","Not Yet Confirmed",IF($Q374&gt;=Settings!$C$13,"Legalized",IF($P374&gt;=Settings!$C$12,"Registered",IF($O374&gt;0,"In Progress","Not Started"))))))</f>
        <v/>
      </c>
      <c r="S374" s="32">
        <f>IF($B374="","",COUNTIF(G374:N374,"Received"))</f>
        <v/>
      </c>
      <c r="T374" s="32">
        <f>IF($B374="","",COUNTIF(G374:N374,"Needs Correction"))</f>
        <v/>
      </c>
      <c r="U374" s="33">
        <f>IF($B374="","",IF($D374&lt;&gt;"Yes","",IF($Q374&gt;=Settings!$C$13,"None",MID(IF(AND(G374&lt;&gt;"Accepted",G374&lt;&gt;"Not Needed",Settings!$C$15="Yes"),", "&amp;G$1,"")&amp;IF(AND(H374&lt;&gt;"Accepted",H374&lt;&gt;"Not Needed",Settings!$D$15="Yes"),", "&amp;H$1,"")&amp;IF(AND(I374&lt;&gt;"Accepted",I374&lt;&gt;"Not Needed",Settings!$E$15="Yes"),", "&amp;I$1,"")&amp;IF(AND(J374&lt;&gt;"Accepted",J374&lt;&gt;"Not Needed",Settings!$F$15="Yes"),", "&amp;J$1,"")&amp;IF(AND(K374&lt;&gt;"Accepted",K374&lt;&gt;"Not Needed",Settings!$G$15="Yes"),", "&amp;K$1,"")&amp;IF(AND(L374&lt;&gt;"Accepted",L374&lt;&gt;"Not Needed",Settings!$H$15="Yes"),", "&amp;L$1,"")&amp;IF(AND(M374&lt;&gt;"Accepted",M374&lt;&gt;"Not Needed",Settings!$I$15="Yes"),", "&amp;M$1,"")&amp;IF(AND(N374&lt;&gt;"Accepted",N374&lt;&gt;"Not Needed",Settings!$J$15="Yes"),", "&amp;N$1,""),3,400))))</f>
        <v/>
      </c>
    </row>
    <row r="375" ht="15" customHeight="1" s="21">
      <c r="A375" s="31" t="n"/>
      <c r="B375" s="31" t="n"/>
      <c r="C375" s="31" t="n"/>
      <c r="D375" s="31" t="n"/>
      <c r="E375" s="31" t="n"/>
      <c r="F375" s="31" t="n"/>
      <c r="G375" s="31" t="n"/>
      <c r="H375" s="31" t="n"/>
      <c r="I375" s="31" t="n"/>
      <c r="J375" s="31" t="n"/>
      <c r="K375" s="31" t="n"/>
      <c r="L375" s="31" t="n"/>
      <c r="M375" s="31" t="n"/>
      <c r="N375" s="31" t="n"/>
      <c r="O375" s="32">
        <f>IF($B375="","",COUNTIF(G375:N375,"Accepted")+COUNTIF(G375:N375,"Received")+COUNTIF(G375:N375,"Needs Correction"))</f>
        <v/>
      </c>
      <c r="P375" s="32">
        <f>IF($B375="","",SUMPRODUCT(((G375:N375="Accepted")+(G375:N375="Not Needed"))*(Settings!$C$11:$J$11="Yes")))</f>
        <v/>
      </c>
      <c r="Q375" s="32">
        <f>IF($B375="","",SUMPRODUCT(((G375:N375="Accepted")+(G375:N375="Not Needed"))*(Settings!$C$15:$J$15="Yes")))</f>
        <v/>
      </c>
      <c r="R375" s="33">
        <f>IF($B375="","",IF($D375="No","No PTO/PTA",IF($D375&lt;&gt;"Yes","Not Yet Confirmed",IF($Q375&gt;=Settings!$C$13,"Legalized",IF($P375&gt;=Settings!$C$12,"Registered",IF($O375&gt;0,"In Progress","Not Started"))))))</f>
        <v/>
      </c>
      <c r="S375" s="32">
        <f>IF($B375="","",COUNTIF(G375:N375,"Received"))</f>
        <v/>
      </c>
      <c r="T375" s="32">
        <f>IF($B375="","",COUNTIF(G375:N375,"Needs Correction"))</f>
        <v/>
      </c>
      <c r="U375" s="33">
        <f>IF($B375="","",IF($D375&lt;&gt;"Yes","",IF($Q375&gt;=Settings!$C$13,"None",MID(IF(AND(G375&lt;&gt;"Accepted",G375&lt;&gt;"Not Needed",Settings!$C$15="Yes"),", "&amp;G$1,"")&amp;IF(AND(H375&lt;&gt;"Accepted",H375&lt;&gt;"Not Needed",Settings!$D$15="Yes"),", "&amp;H$1,"")&amp;IF(AND(I375&lt;&gt;"Accepted",I375&lt;&gt;"Not Needed",Settings!$E$15="Yes"),", "&amp;I$1,"")&amp;IF(AND(J375&lt;&gt;"Accepted",J375&lt;&gt;"Not Needed",Settings!$F$15="Yes"),", "&amp;J$1,"")&amp;IF(AND(K375&lt;&gt;"Accepted",K375&lt;&gt;"Not Needed",Settings!$G$15="Yes"),", "&amp;K$1,"")&amp;IF(AND(L375&lt;&gt;"Accepted",L375&lt;&gt;"Not Needed",Settings!$H$15="Yes"),", "&amp;L$1,"")&amp;IF(AND(M375&lt;&gt;"Accepted",M375&lt;&gt;"Not Needed",Settings!$I$15="Yes"),", "&amp;M$1,"")&amp;IF(AND(N375&lt;&gt;"Accepted",N375&lt;&gt;"Not Needed",Settings!$J$15="Yes"),", "&amp;N$1,""),3,400))))</f>
        <v/>
      </c>
    </row>
    <row r="376" ht="15" customHeight="1" s="21">
      <c r="A376" s="31" t="n"/>
      <c r="B376" s="31" t="n"/>
      <c r="C376" s="31" t="n"/>
      <c r="D376" s="31" t="n"/>
      <c r="E376" s="31" t="n"/>
      <c r="F376" s="31" t="n"/>
      <c r="G376" s="31" t="n"/>
      <c r="H376" s="31" t="n"/>
      <c r="I376" s="31" t="n"/>
      <c r="J376" s="31" t="n"/>
      <c r="K376" s="31" t="n"/>
      <c r="L376" s="31" t="n"/>
      <c r="M376" s="31" t="n"/>
      <c r="N376" s="31" t="n"/>
      <c r="O376" s="32">
        <f>IF($B376="","",COUNTIF(G376:N376,"Accepted")+COUNTIF(G376:N376,"Received")+COUNTIF(G376:N376,"Needs Correction"))</f>
        <v/>
      </c>
      <c r="P376" s="32">
        <f>IF($B376="","",SUMPRODUCT(((G376:N376="Accepted")+(G376:N376="Not Needed"))*(Settings!$C$11:$J$11="Yes")))</f>
        <v/>
      </c>
      <c r="Q376" s="32">
        <f>IF($B376="","",SUMPRODUCT(((G376:N376="Accepted")+(G376:N376="Not Needed"))*(Settings!$C$15:$J$15="Yes")))</f>
        <v/>
      </c>
      <c r="R376" s="33">
        <f>IF($B376="","",IF($D376="No","No PTO/PTA",IF($D376&lt;&gt;"Yes","Not Yet Confirmed",IF($Q376&gt;=Settings!$C$13,"Legalized",IF($P376&gt;=Settings!$C$12,"Registered",IF($O376&gt;0,"In Progress","Not Started"))))))</f>
        <v/>
      </c>
      <c r="S376" s="32">
        <f>IF($B376="","",COUNTIF(G376:N376,"Received"))</f>
        <v/>
      </c>
      <c r="T376" s="32">
        <f>IF($B376="","",COUNTIF(G376:N376,"Needs Correction"))</f>
        <v/>
      </c>
      <c r="U376" s="33">
        <f>IF($B376="","",IF($D376&lt;&gt;"Yes","",IF($Q376&gt;=Settings!$C$13,"None",MID(IF(AND(G376&lt;&gt;"Accepted",G376&lt;&gt;"Not Needed",Settings!$C$15="Yes"),", "&amp;G$1,"")&amp;IF(AND(H376&lt;&gt;"Accepted",H376&lt;&gt;"Not Needed",Settings!$D$15="Yes"),", "&amp;H$1,"")&amp;IF(AND(I376&lt;&gt;"Accepted",I376&lt;&gt;"Not Needed",Settings!$E$15="Yes"),", "&amp;I$1,"")&amp;IF(AND(J376&lt;&gt;"Accepted",J376&lt;&gt;"Not Needed",Settings!$F$15="Yes"),", "&amp;J$1,"")&amp;IF(AND(K376&lt;&gt;"Accepted",K376&lt;&gt;"Not Needed",Settings!$G$15="Yes"),", "&amp;K$1,"")&amp;IF(AND(L376&lt;&gt;"Accepted",L376&lt;&gt;"Not Needed",Settings!$H$15="Yes"),", "&amp;L$1,"")&amp;IF(AND(M376&lt;&gt;"Accepted",M376&lt;&gt;"Not Needed",Settings!$I$15="Yes"),", "&amp;M$1,"")&amp;IF(AND(N376&lt;&gt;"Accepted",N376&lt;&gt;"Not Needed",Settings!$J$15="Yes"),", "&amp;N$1,""),3,400))))</f>
        <v/>
      </c>
    </row>
    <row r="377" ht="15" customHeight="1" s="21">
      <c r="A377" s="31" t="n"/>
      <c r="B377" s="31" t="n"/>
      <c r="C377" s="31" t="n"/>
      <c r="D377" s="31" t="n"/>
      <c r="E377" s="31" t="n"/>
      <c r="F377" s="31" t="n"/>
      <c r="G377" s="31" t="n"/>
      <c r="H377" s="31" t="n"/>
      <c r="I377" s="31" t="n"/>
      <c r="J377" s="31" t="n"/>
      <c r="K377" s="31" t="n"/>
      <c r="L377" s="31" t="n"/>
      <c r="M377" s="31" t="n"/>
      <c r="N377" s="31" t="n"/>
      <c r="O377" s="32">
        <f>IF($B377="","",COUNTIF(G377:N377,"Accepted")+COUNTIF(G377:N377,"Received")+COUNTIF(G377:N377,"Needs Correction"))</f>
        <v/>
      </c>
      <c r="P377" s="32">
        <f>IF($B377="","",SUMPRODUCT(((G377:N377="Accepted")+(G377:N377="Not Needed"))*(Settings!$C$11:$J$11="Yes")))</f>
        <v/>
      </c>
      <c r="Q377" s="32">
        <f>IF($B377="","",SUMPRODUCT(((G377:N377="Accepted")+(G377:N377="Not Needed"))*(Settings!$C$15:$J$15="Yes")))</f>
        <v/>
      </c>
      <c r="R377" s="33">
        <f>IF($B377="","",IF($D377="No","No PTO/PTA",IF($D377&lt;&gt;"Yes","Not Yet Confirmed",IF($Q377&gt;=Settings!$C$13,"Legalized",IF($P377&gt;=Settings!$C$12,"Registered",IF($O377&gt;0,"In Progress","Not Started"))))))</f>
        <v/>
      </c>
      <c r="S377" s="32">
        <f>IF($B377="","",COUNTIF(G377:N377,"Received"))</f>
        <v/>
      </c>
      <c r="T377" s="32">
        <f>IF($B377="","",COUNTIF(G377:N377,"Needs Correction"))</f>
        <v/>
      </c>
      <c r="U377" s="33">
        <f>IF($B377="","",IF($D377&lt;&gt;"Yes","",IF($Q377&gt;=Settings!$C$13,"None",MID(IF(AND(G377&lt;&gt;"Accepted",G377&lt;&gt;"Not Needed",Settings!$C$15="Yes"),", "&amp;G$1,"")&amp;IF(AND(H377&lt;&gt;"Accepted",H377&lt;&gt;"Not Needed",Settings!$D$15="Yes"),", "&amp;H$1,"")&amp;IF(AND(I377&lt;&gt;"Accepted",I377&lt;&gt;"Not Needed",Settings!$E$15="Yes"),", "&amp;I$1,"")&amp;IF(AND(J377&lt;&gt;"Accepted",J377&lt;&gt;"Not Needed",Settings!$F$15="Yes"),", "&amp;J$1,"")&amp;IF(AND(K377&lt;&gt;"Accepted",K377&lt;&gt;"Not Needed",Settings!$G$15="Yes"),", "&amp;K$1,"")&amp;IF(AND(L377&lt;&gt;"Accepted",L377&lt;&gt;"Not Needed",Settings!$H$15="Yes"),", "&amp;L$1,"")&amp;IF(AND(M377&lt;&gt;"Accepted",M377&lt;&gt;"Not Needed",Settings!$I$15="Yes"),", "&amp;M$1,"")&amp;IF(AND(N377&lt;&gt;"Accepted",N377&lt;&gt;"Not Needed",Settings!$J$15="Yes"),", "&amp;N$1,""),3,400))))</f>
        <v/>
      </c>
    </row>
    <row r="378" ht="15" customHeight="1" s="21">
      <c r="A378" s="31" t="n"/>
      <c r="B378" s="31" t="n"/>
      <c r="C378" s="31" t="n"/>
      <c r="D378" s="31" t="n"/>
      <c r="E378" s="31" t="n"/>
      <c r="F378" s="31" t="n"/>
      <c r="G378" s="31" t="n"/>
      <c r="H378" s="31" t="n"/>
      <c r="I378" s="31" t="n"/>
      <c r="J378" s="31" t="n"/>
      <c r="K378" s="31" t="n"/>
      <c r="L378" s="31" t="n"/>
      <c r="M378" s="31" t="n"/>
      <c r="N378" s="31" t="n"/>
      <c r="O378" s="32">
        <f>IF($B378="","",COUNTIF(G378:N378,"Accepted")+COUNTIF(G378:N378,"Received")+COUNTIF(G378:N378,"Needs Correction"))</f>
        <v/>
      </c>
      <c r="P378" s="32">
        <f>IF($B378="","",SUMPRODUCT(((G378:N378="Accepted")+(G378:N378="Not Needed"))*(Settings!$C$11:$J$11="Yes")))</f>
        <v/>
      </c>
      <c r="Q378" s="32">
        <f>IF($B378="","",SUMPRODUCT(((G378:N378="Accepted")+(G378:N378="Not Needed"))*(Settings!$C$15:$J$15="Yes")))</f>
        <v/>
      </c>
      <c r="R378" s="33">
        <f>IF($B378="","",IF($D378="No","No PTO/PTA",IF($D378&lt;&gt;"Yes","Not Yet Confirmed",IF($Q378&gt;=Settings!$C$13,"Legalized",IF($P378&gt;=Settings!$C$12,"Registered",IF($O378&gt;0,"In Progress","Not Started"))))))</f>
        <v/>
      </c>
      <c r="S378" s="32">
        <f>IF($B378="","",COUNTIF(G378:N378,"Received"))</f>
        <v/>
      </c>
      <c r="T378" s="32">
        <f>IF($B378="","",COUNTIF(G378:N378,"Needs Correction"))</f>
        <v/>
      </c>
      <c r="U378" s="33">
        <f>IF($B378="","",IF($D378&lt;&gt;"Yes","",IF($Q378&gt;=Settings!$C$13,"None",MID(IF(AND(G378&lt;&gt;"Accepted",G378&lt;&gt;"Not Needed",Settings!$C$15="Yes"),", "&amp;G$1,"")&amp;IF(AND(H378&lt;&gt;"Accepted",H378&lt;&gt;"Not Needed",Settings!$D$15="Yes"),", "&amp;H$1,"")&amp;IF(AND(I378&lt;&gt;"Accepted",I378&lt;&gt;"Not Needed",Settings!$E$15="Yes"),", "&amp;I$1,"")&amp;IF(AND(J378&lt;&gt;"Accepted",J378&lt;&gt;"Not Needed",Settings!$F$15="Yes"),", "&amp;J$1,"")&amp;IF(AND(K378&lt;&gt;"Accepted",K378&lt;&gt;"Not Needed",Settings!$G$15="Yes"),", "&amp;K$1,"")&amp;IF(AND(L378&lt;&gt;"Accepted",L378&lt;&gt;"Not Needed",Settings!$H$15="Yes"),", "&amp;L$1,"")&amp;IF(AND(M378&lt;&gt;"Accepted",M378&lt;&gt;"Not Needed",Settings!$I$15="Yes"),", "&amp;M$1,"")&amp;IF(AND(N378&lt;&gt;"Accepted",N378&lt;&gt;"Not Needed",Settings!$J$15="Yes"),", "&amp;N$1,""),3,400))))</f>
        <v/>
      </c>
    </row>
    <row r="379" ht="15" customHeight="1" s="21">
      <c r="A379" s="31" t="n"/>
      <c r="B379" s="31" t="n"/>
      <c r="C379" s="31" t="n"/>
      <c r="D379" s="31" t="n"/>
      <c r="E379" s="31" t="n"/>
      <c r="F379" s="31" t="n"/>
      <c r="G379" s="31" t="n"/>
      <c r="H379" s="31" t="n"/>
      <c r="I379" s="31" t="n"/>
      <c r="J379" s="31" t="n"/>
      <c r="K379" s="31" t="n"/>
      <c r="L379" s="31" t="n"/>
      <c r="M379" s="31" t="n"/>
      <c r="N379" s="31" t="n"/>
      <c r="O379" s="32">
        <f>IF($B379="","",COUNTIF(G379:N379,"Accepted")+COUNTIF(G379:N379,"Received")+COUNTIF(G379:N379,"Needs Correction"))</f>
        <v/>
      </c>
      <c r="P379" s="32">
        <f>IF($B379="","",SUMPRODUCT(((G379:N379="Accepted")+(G379:N379="Not Needed"))*(Settings!$C$11:$J$11="Yes")))</f>
        <v/>
      </c>
      <c r="Q379" s="32">
        <f>IF($B379="","",SUMPRODUCT(((G379:N379="Accepted")+(G379:N379="Not Needed"))*(Settings!$C$15:$J$15="Yes")))</f>
        <v/>
      </c>
      <c r="R379" s="33">
        <f>IF($B379="","",IF($D379="No","No PTO/PTA",IF($D379&lt;&gt;"Yes","Not Yet Confirmed",IF($Q379&gt;=Settings!$C$13,"Legalized",IF($P379&gt;=Settings!$C$12,"Registered",IF($O379&gt;0,"In Progress","Not Started"))))))</f>
        <v/>
      </c>
      <c r="S379" s="32">
        <f>IF($B379="","",COUNTIF(G379:N379,"Received"))</f>
        <v/>
      </c>
      <c r="T379" s="32">
        <f>IF($B379="","",COUNTIF(G379:N379,"Needs Correction"))</f>
        <v/>
      </c>
      <c r="U379" s="33">
        <f>IF($B379="","",IF($D379&lt;&gt;"Yes","",IF($Q379&gt;=Settings!$C$13,"None",MID(IF(AND(G379&lt;&gt;"Accepted",G379&lt;&gt;"Not Needed",Settings!$C$15="Yes"),", "&amp;G$1,"")&amp;IF(AND(H379&lt;&gt;"Accepted",H379&lt;&gt;"Not Needed",Settings!$D$15="Yes"),", "&amp;H$1,"")&amp;IF(AND(I379&lt;&gt;"Accepted",I379&lt;&gt;"Not Needed",Settings!$E$15="Yes"),", "&amp;I$1,"")&amp;IF(AND(J379&lt;&gt;"Accepted",J379&lt;&gt;"Not Needed",Settings!$F$15="Yes"),", "&amp;J$1,"")&amp;IF(AND(K379&lt;&gt;"Accepted",K379&lt;&gt;"Not Needed",Settings!$G$15="Yes"),", "&amp;K$1,"")&amp;IF(AND(L379&lt;&gt;"Accepted",L379&lt;&gt;"Not Needed",Settings!$H$15="Yes"),", "&amp;L$1,"")&amp;IF(AND(M379&lt;&gt;"Accepted",M379&lt;&gt;"Not Needed",Settings!$I$15="Yes"),", "&amp;M$1,"")&amp;IF(AND(N379&lt;&gt;"Accepted",N379&lt;&gt;"Not Needed",Settings!$J$15="Yes"),", "&amp;N$1,""),3,400))))</f>
        <v/>
      </c>
    </row>
    <row r="380" ht="15" customHeight="1" s="21">
      <c r="A380" s="31" t="n"/>
      <c r="B380" s="31" t="n"/>
      <c r="C380" s="31" t="n"/>
      <c r="D380" s="31" t="n"/>
      <c r="E380" s="31" t="n"/>
      <c r="F380" s="31" t="n"/>
      <c r="G380" s="31" t="n"/>
      <c r="H380" s="31" t="n"/>
      <c r="I380" s="31" t="n"/>
      <c r="J380" s="31" t="n"/>
      <c r="K380" s="31" t="n"/>
      <c r="L380" s="31" t="n"/>
      <c r="M380" s="31" t="n"/>
      <c r="N380" s="31" t="n"/>
      <c r="O380" s="32">
        <f>IF($B380="","",COUNTIF(G380:N380,"Accepted")+COUNTIF(G380:N380,"Received")+COUNTIF(G380:N380,"Needs Correction"))</f>
        <v/>
      </c>
      <c r="P380" s="32">
        <f>IF($B380="","",SUMPRODUCT(((G380:N380="Accepted")+(G380:N380="Not Needed"))*(Settings!$C$11:$J$11="Yes")))</f>
        <v/>
      </c>
      <c r="Q380" s="32">
        <f>IF($B380="","",SUMPRODUCT(((G380:N380="Accepted")+(G380:N380="Not Needed"))*(Settings!$C$15:$J$15="Yes")))</f>
        <v/>
      </c>
      <c r="R380" s="33">
        <f>IF($B380="","",IF($D380="No","No PTO/PTA",IF($D380&lt;&gt;"Yes","Not Yet Confirmed",IF($Q380&gt;=Settings!$C$13,"Legalized",IF($P380&gt;=Settings!$C$12,"Registered",IF($O380&gt;0,"In Progress","Not Started"))))))</f>
        <v/>
      </c>
      <c r="S380" s="32">
        <f>IF($B380="","",COUNTIF(G380:N380,"Received"))</f>
        <v/>
      </c>
      <c r="T380" s="32">
        <f>IF($B380="","",COUNTIF(G380:N380,"Needs Correction"))</f>
        <v/>
      </c>
      <c r="U380" s="33">
        <f>IF($B380="","",IF($D380&lt;&gt;"Yes","",IF($Q380&gt;=Settings!$C$13,"None",MID(IF(AND(G380&lt;&gt;"Accepted",G380&lt;&gt;"Not Needed",Settings!$C$15="Yes"),", "&amp;G$1,"")&amp;IF(AND(H380&lt;&gt;"Accepted",H380&lt;&gt;"Not Needed",Settings!$D$15="Yes"),", "&amp;H$1,"")&amp;IF(AND(I380&lt;&gt;"Accepted",I380&lt;&gt;"Not Needed",Settings!$E$15="Yes"),", "&amp;I$1,"")&amp;IF(AND(J380&lt;&gt;"Accepted",J380&lt;&gt;"Not Needed",Settings!$F$15="Yes"),", "&amp;J$1,"")&amp;IF(AND(K380&lt;&gt;"Accepted",K380&lt;&gt;"Not Needed",Settings!$G$15="Yes"),", "&amp;K$1,"")&amp;IF(AND(L380&lt;&gt;"Accepted",L380&lt;&gt;"Not Needed",Settings!$H$15="Yes"),", "&amp;L$1,"")&amp;IF(AND(M380&lt;&gt;"Accepted",M380&lt;&gt;"Not Needed",Settings!$I$15="Yes"),", "&amp;M$1,"")&amp;IF(AND(N380&lt;&gt;"Accepted",N380&lt;&gt;"Not Needed",Settings!$J$15="Yes"),", "&amp;N$1,""),3,400))))</f>
        <v/>
      </c>
    </row>
    <row r="381" ht="15" customHeight="1" s="21">
      <c r="A381" s="31" t="n"/>
      <c r="B381" s="31" t="n"/>
      <c r="C381" s="31" t="n"/>
      <c r="D381" s="31" t="n"/>
      <c r="E381" s="31" t="n"/>
      <c r="F381" s="31" t="n"/>
      <c r="G381" s="31" t="n"/>
      <c r="H381" s="31" t="n"/>
      <c r="I381" s="31" t="n"/>
      <c r="J381" s="31" t="n"/>
      <c r="K381" s="31" t="n"/>
      <c r="L381" s="31" t="n"/>
      <c r="M381" s="31" t="n"/>
      <c r="N381" s="31" t="n"/>
      <c r="O381" s="32">
        <f>IF($B381="","",COUNTIF(G381:N381,"Accepted")+COUNTIF(G381:N381,"Received")+COUNTIF(G381:N381,"Needs Correction"))</f>
        <v/>
      </c>
      <c r="P381" s="32">
        <f>IF($B381="","",SUMPRODUCT(((G381:N381="Accepted")+(G381:N381="Not Needed"))*(Settings!$C$11:$J$11="Yes")))</f>
        <v/>
      </c>
      <c r="Q381" s="32">
        <f>IF($B381="","",SUMPRODUCT(((G381:N381="Accepted")+(G381:N381="Not Needed"))*(Settings!$C$15:$J$15="Yes")))</f>
        <v/>
      </c>
      <c r="R381" s="33">
        <f>IF($B381="","",IF($D381="No","No PTO/PTA",IF($D381&lt;&gt;"Yes","Not Yet Confirmed",IF($Q381&gt;=Settings!$C$13,"Legalized",IF($P381&gt;=Settings!$C$12,"Registered",IF($O381&gt;0,"In Progress","Not Started"))))))</f>
        <v/>
      </c>
      <c r="S381" s="32">
        <f>IF($B381="","",COUNTIF(G381:N381,"Received"))</f>
        <v/>
      </c>
      <c r="T381" s="32">
        <f>IF($B381="","",COUNTIF(G381:N381,"Needs Correction"))</f>
        <v/>
      </c>
      <c r="U381" s="33">
        <f>IF($B381="","",IF($D381&lt;&gt;"Yes","",IF($Q381&gt;=Settings!$C$13,"None",MID(IF(AND(G381&lt;&gt;"Accepted",G381&lt;&gt;"Not Needed",Settings!$C$15="Yes"),", "&amp;G$1,"")&amp;IF(AND(H381&lt;&gt;"Accepted",H381&lt;&gt;"Not Needed",Settings!$D$15="Yes"),", "&amp;H$1,"")&amp;IF(AND(I381&lt;&gt;"Accepted",I381&lt;&gt;"Not Needed",Settings!$E$15="Yes"),", "&amp;I$1,"")&amp;IF(AND(J381&lt;&gt;"Accepted",J381&lt;&gt;"Not Needed",Settings!$F$15="Yes"),", "&amp;J$1,"")&amp;IF(AND(K381&lt;&gt;"Accepted",K381&lt;&gt;"Not Needed",Settings!$G$15="Yes"),", "&amp;K$1,"")&amp;IF(AND(L381&lt;&gt;"Accepted",L381&lt;&gt;"Not Needed",Settings!$H$15="Yes"),", "&amp;L$1,"")&amp;IF(AND(M381&lt;&gt;"Accepted",M381&lt;&gt;"Not Needed",Settings!$I$15="Yes"),", "&amp;M$1,"")&amp;IF(AND(N381&lt;&gt;"Accepted",N381&lt;&gt;"Not Needed",Settings!$J$15="Yes"),", "&amp;N$1,""),3,400))))</f>
        <v/>
      </c>
    </row>
    <row r="382" ht="15" customHeight="1" s="21">
      <c r="A382" s="31" t="n"/>
      <c r="B382" s="31" t="n"/>
      <c r="C382" s="31" t="n"/>
      <c r="D382" s="31" t="n"/>
      <c r="E382" s="31" t="n"/>
      <c r="F382" s="31" t="n"/>
      <c r="G382" s="31" t="n"/>
      <c r="H382" s="31" t="n"/>
      <c r="I382" s="31" t="n"/>
      <c r="J382" s="31" t="n"/>
      <c r="K382" s="31" t="n"/>
      <c r="L382" s="31" t="n"/>
      <c r="M382" s="31" t="n"/>
      <c r="N382" s="31" t="n"/>
      <c r="O382" s="32">
        <f>IF($B382="","",COUNTIF(G382:N382,"Accepted")+COUNTIF(G382:N382,"Received")+COUNTIF(G382:N382,"Needs Correction"))</f>
        <v/>
      </c>
      <c r="P382" s="32">
        <f>IF($B382="","",SUMPRODUCT(((G382:N382="Accepted")+(G382:N382="Not Needed"))*(Settings!$C$11:$J$11="Yes")))</f>
        <v/>
      </c>
      <c r="Q382" s="32">
        <f>IF($B382="","",SUMPRODUCT(((G382:N382="Accepted")+(G382:N382="Not Needed"))*(Settings!$C$15:$J$15="Yes")))</f>
        <v/>
      </c>
      <c r="R382" s="33">
        <f>IF($B382="","",IF($D382="No","No PTO/PTA",IF($D382&lt;&gt;"Yes","Not Yet Confirmed",IF($Q382&gt;=Settings!$C$13,"Legalized",IF($P382&gt;=Settings!$C$12,"Registered",IF($O382&gt;0,"In Progress","Not Started"))))))</f>
        <v/>
      </c>
      <c r="S382" s="32">
        <f>IF($B382="","",COUNTIF(G382:N382,"Received"))</f>
        <v/>
      </c>
      <c r="T382" s="32">
        <f>IF($B382="","",COUNTIF(G382:N382,"Needs Correction"))</f>
        <v/>
      </c>
      <c r="U382" s="33">
        <f>IF($B382="","",IF($D382&lt;&gt;"Yes","",IF($Q382&gt;=Settings!$C$13,"None",MID(IF(AND(G382&lt;&gt;"Accepted",G382&lt;&gt;"Not Needed",Settings!$C$15="Yes"),", "&amp;G$1,"")&amp;IF(AND(H382&lt;&gt;"Accepted",H382&lt;&gt;"Not Needed",Settings!$D$15="Yes"),", "&amp;H$1,"")&amp;IF(AND(I382&lt;&gt;"Accepted",I382&lt;&gt;"Not Needed",Settings!$E$15="Yes"),", "&amp;I$1,"")&amp;IF(AND(J382&lt;&gt;"Accepted",J382&lt;&gt;"Not Needed",Settings!$F$15="Yes"),", "&amp;J$1,"")&amp;IF(AND(K382&lt;&gt;"Accepted",K382&lt;&gt;"Not Needed",Settings!$G$15="Yes"),", "&amp;K$1,"")&amp;IF(AND(L382&lt;&gt;"Accepted",L382&lt;&gt;"Not Needed",Settings!$H$15="Yes"),", "&amp;L$1,"")&amp;IF(AND(M382&lt;&gt;"Accepted",M382&lt;&gt;"Not Needed",Settings!$I$15="Yes"),", "&amp;M$1,"")&amp;IF(AND(N382&lt;&gt;"Accepted",N382&lt;&gt;"Not Needed",Settings!$J$15="Yes"),", "&amp;N$1,""),3,400))))</f>
        <v/>
      </c>
    </row>
    <row r="383" ht="15" customHeight="1" s="21">
      <c r="A383" s="31" t="n"/>
      <c r="B383" s="31" t="n"/>
      <c r="C383" s="31" t="n"/>
      <c r="D383" s="31" t="n"/>
      <c r="E383" s="31" t="n"/>
      <c r="F383" s="31" t="n"/>
      <c r="G383" s="31" t="n"/>
      <c r="H383" s="31" t="n"/>
      <c r="I383" s="31" t="n"/>
      <c r="J383" s="31" t="n"/>
      <c r="K383" s="31" t="n"/>
      <c r="L383" s="31" t="n"/>
      <c r="M383" s="31" t="n"/>
      <c r="N383" s="31" t="n"/>
      <c r="O383" s="32">
        <f>IF($B383="","",COUNTIF(G383:N383,"Accepted")+COUNTIF(G383:N383,"Received")+COUNTIF(G383:N383,"Needs Correction"))</f>
        <v/>
      </c>
      <c r="P383" s="32">
        <f>IF($B383="","",SUMPRODUCT(((G383:N383="Accepted")+(G383:N383="Not Needed"))*(Settings!$C$11:$J$11="Yes")))</f>
        <v/>
      </c>
      <c r="Q383" s="32">
        <f>IF($B383="","",SUMPRODUCT(((G383:N383="Accepted")+(G383:N383="Not Needed"))*(Settings!$C$15:$J$15="Yes")))</f>
        <v/>
      </c>
      <c r="R383" s="33">
        <f>IF($B383="","",IF($D383="No","No PTO/PTA",IF($D383&lt;&gt;"Yes","Not Yet Confirmed",IF($Q383&gt;=Settings!$C$13,"Legalized",IF($P383&gt;=Settings!$C$12,"Registered",IF($O383&gt;0,"In Progress","Not Started"))))))</f>
        <v/>
      </c>
      <c r="S383" s="32">
        <f>IF($B383="","",COUNTIF(G383:N383,"Received"))</f>
        <v/>
      </c>
      <c r="T383" s="32">
        <f>IF($B383="","",COUNTIF(G383:N383,"Needs Correction"))</f>
        <v/>
      </c>
      <c r="U383" s="33">
        <f>IF($B383="","",IF($D383&lt;&gt;"Yes","",IF($Q383&gt;=Settings!$C$13,"None",MID(IF(AND(G383&lt;&gt;"Accepted",G383&lt;&gt;"Not Needed",Settings!$C$15="Yes"),", "&amp;G$1,"")&amp;IF(AND(H383&lt;&gt;"Accepted",H383&lt;&gt;"Not Needed",Settings!$D$15="Yes"),", "&amp;H$1,"")&amp;IF(AND(I383&lt;&gt;"Accepted",I383&lt;&gt;"Not Needed",Settings!$E$15="Yes"),", "&amp;I$1,"")&amp;IF(AND(J383&lt;&gt;"Accepted",J383&lt;&gt;"Not Needed",Settings!$F$15="Yes"),", "&amp;J$1,"")&amp;IF(AND(K383&lt;&gt;"Accepted",K383&lt;&gt;"Not Needed",Settings!$G$15="Yes"),", "&amp;K$1,"")&amp;IF(AND(L383&lt;&gt;"Accepted",L383&lt;&gt;"Not Needed",Settings!$H$15="Yes"),", "&amp;L$1,"")&amp;IF(AND(M383&lt;&gt;"Accepted",M383&lt;&gt;"Not Needed",Settings!$I$15="Yes"),", "&amp;M$1,"")&amp;IF(AND(N383&lt;&gt;"Accepted",N383&lt;&gt;"Not Needed",Settings!$J$15="Yes"),", "&amp;N$1,""),3,400))))</f>
        <v/>
      </c>
    </row>
    <row r="384" ht="15" customHeight="1" s="21">
      <c r="A384" s="31" t="n"/>
      <c r="B384" s="31" t="n"/>
      <c r="C384" s="31" t="n"/>
      <c r="D384" s="31" t="n"/>
      <c r="E384" s="31" t="n"/>
      <c r="F384" s="31" t="n"/>
      <c r="G384" s="31" t="n"/>
      <c r="H384" s="31" t="n"/>
      <c r="I384" s="31" t="n"/>
      <c r="J384" s="31" t="n"/>
      <c r="K384" s="31" t="n"/>
      <c r="L384" s="31" t="n"/>
      <c r="M384" s="31" t="n"/>
      <c r="N384" s="31" t="n"/>
      <c r="O384" s="32">
        <f>IF($B384="","",COUNTIF(G384:N384,"Accepted")+COUNTIF(G384:N384,"Received")+COUNTIF(G384:N384,"Needs Correction"))</f>
        <v/>
      </c>
      <c r="P384" s="32">
        <f>IF($B384="","",SUMPRODUCT(((G384:N384="Accepted")+(G384:N384="Not Needed"))*(Settings!$C$11:$J$11="Yes")))</f>
        <v/>
      </c>
      <c r="Q384" s="32">
        <f>IF($B384="","",SUMPRODUCT(((G384:N384="Accepted")+(G384:N384="Not Needed"))*(Settings!$C$15:$J$15="Yes")))</f>
        <v/>
      </c>
      <c r="R384" s="33">
        <f>IF($B384="","",IF($D384="No","No PTO/PTA",IF($D384&lt;&gt;"Yes","Not Yet Confirmed",IF($Q384&gt;=Settings!$C$13,"Legalized",IF($P384&gt;=Settings!$C$12,"Registered",IF($O384&gt;0,"In Progress","Not Started"))))))</f>
        <v/>
      </c>
      <c r="S384" s="32">
        <f>IF($B384="","",COUNTIF(G384:N384,"Received"))</f>
        <v/>
      </c>
      <c r="T384" s="32">
        <f>IF($B384="","",COUNTIF(G384:N384,"Needs Correction"))</f>
        <v/>
      </c>
      <c r="U384" s="33">
        <f>IF($B384="","",IF($D384&lt;&gt;"Yes","",IF($Q384&gt;=Settings!$C$13,"None",MID(IF(AND(G384&lt;&gt;"Accepted",G384&lt;&gt;"Not Needed",Settings!$C$15="Yes"),", "&amp;G$1,"")&amp;IF(AND(H384&lt;&gt;"Accepted",H384&lt;&gt;"Not Needed",Settings!$D$15="Yes"),", "&amp;H$1,"")&amp;IF(AND(I384&lt;&gt;"Accepted",I384&lt;&gt;"Not Needed",Settings!$E$15="Yes"),", "&amp;I$1,"")&amp;IF(AND(J384&lt;&gt;"Accepted",J384&lt;&gt;"Not Needed",Settings!$F$15="Yes"),", "&amp;J$1,"")&amp;IF(AND(K384&lt;&gt;"Accepted",K384&lt;&gt;"Not Needed",Settings!$G$15="Yes"),", "&amp;K$1,"")&amp;IF(AND(L384&lt;&gt;"Accepted",L384&lt;&gt;"Not Needed",Settings!$H$15="Yes"),", "&amp;L$1,"")&amp;IF(AND(M384&lt;&gt;"Accepted",M384&lt;&gt;"Not Needed",Settings!$I$15="Yes"),", "&amp;M$1,"")&amp;IF(AND(N384&lt;&gt;"Accepted",N384&lt;&gt;"Not Needed",Settings!$J$15="Yes"),", "&amp;N$1,""),3,400))))</f>
        <v/>
      </c>
    </row>
    <row r="385" ht="15" customHeight="1" s="21">
      <c r="A385" s="31" t="n"/>
      <c r="B385" s="31" t="n"/>
      <c r="C385" s="31" t="n"/>
      <c r="D385" s="31" t="n"/>
      <c r="E385" s="31" t="n"/>
      <c r="F385" s="31" t="n"/>
      <c r="G385" s="31" t="n"/>
      <c r="H385" s="31" t="n"/>
      <c r="I385" s="31" t="n"/>
      <c r="J385" s="31" t="n"/>
      <c r="K385" s="31" t="n"/>
      <c r="L385" s="31" t="n"/>
      <c r="M385" s="31" t="n"/>
      <c r="N385" s="31" t="n"/>
      <c r="O385" s="32">
        <f>IF($B385="","",COUNTIF(G385:N385,"Accepted")+COUNTIF(G385:N385,"Received")+COUNTIF(G385:N385,"Needs Correction"))</f>
        <v/>
      </c>
      <c r="P385" s="32">
        <f>IF($B385="","",SUMPRODUCT(((G385:N385="Accepted")+(G385:N385="Not Needed"))*(Settings!$C$11:$J$11="Yes")))</f>
        <v/>
      </c>
      <c r="Q385" s="32">
        <f>IF($B385="","",SUMPRODUCT(((G385:N385="Accepted")+(G385:N385="Not Needed"))*(Settings!$C$15:$J$15="Yes")))</f>
        <v/>
      </c>
      <c r="R385" s="33">
        <f>IF($B385="","",IF($D385="No","No PTO/PTA",IF($D385&lt;&gt;"Yes","Not Yet Confirmed",IF($Q385&gt;=Settings!$C$13,"Legalized",IF($P385&gt;=Settings!$C$12,"Registered",IF($O385&gt;0,"In Progress","Not Started"))))))</f>
        <v/>
      </c>
      <c r="S385" s="32">
        <f>IF($B385="","",COUNTIF(G385:N385,"Received"))</f>
        <v/>
      </c>
      <c r="T385" s="32">
        <f>IF($B385="","",COUNTIF(G385:N385,"Needs Correction"))</f>
        <v/>
      </c>
      <c r="U385" s="33">
        <f>IF($B385="","",IF($D385&lt;&gt;"Yes","",IF($Q385&gt;=Settings!$C$13,"None",MID(IF(AND(G385&lt;&gt;"Accepted",G385&lt;&gt;"Not Needed",Settings!$C$15="Yes"),", "&amp;G$1,"")&amp;IF(AND(H385&lt;&gt;"Accepted",H385&lt;&gt;"Not Needed",Settings!$D$15="Yes"),", "&amp;H$1,"")&amp;IF(AND(I385&lt;&gt;"Accepted",I385&lt;&gt;"Not Needed",Settings!$E$15="Yes"),", "&amp;I$1,"")&amp;IF(AND(J385&lt;&gt;"Accepted",J385&lt;&gt;"Not Needed",Settings!$F$15="Yes"),", "&amp;J$1,"")&amp;IF(AND(K385&lt;&gt;"Accepted",K385&lt;&gt;"Not Needed",Settings!$G$15="Yes"),", "&amp;K$1,"")&amp;IF(AND(L385&lt;&gt;"Accepted",L385&lt;&gt;"Not Needed",Settings!$H$15="Yes"),", "&amp;L$1,"")&amp;IF(AND(M385&lt;&gt;"Accepted",M385&lt;&gt;"Not Needed",Settings!$I$15="Yes"),", "&amp;M$1,"")&amp;IF(AND(N385&lt;&gt;"Accepted",N385&lt;&gt;"Not Needed",Settings!$J$15="Yes"),", "&amp;N$1,""),3,400))))</f>
        <v/>
      </c>
    </row>
    <row r="386" ht="15" customHeight="1" s="21">
      <c r="A386" s="31" t="n"/>
      <c r="B386" s="31" t="n"/>
      <c r="C386" s="31" t="n"/>
      <c r="D386" s="31" t="n"/>
      <c r="E386" s="31" t="n"/>
      <c r="F386" s="31" t="n"/>
      <c r="G386" s="31" t="n"/>
      <c r="H386" s="31" t="n"/>
      <c r="I386" s="31" t="n"/>
      <c r="J386" s="31" t="n"/>
      <c r="K386" s="31" t="n"/>
      <c r="L386" s="31" t="n"/>
      <c r="M386" s="31" t="n"/>
      <c r="N386" s="31" t="n"/>
      <c r="O386" s="32">
        <f>IF($B386="","",COUNTIF(G386:N386,"Accepted")+COUNTIF(G386:N386,"Received")+COUNTIF(G386:N386,"Needs Correction"))</f>
        <v/>
      </c>
      <c r="P386" s="32">
        <f>IF($B386="","",SUMPRODUCT(((G386:N386="Accepted")+(G386:N386="Not Needed"))*(Settings!$C$11:$J$11="Yes")))</f>
        <v/>
      </c>
      <c r="Q386" s="32">
        <f>IF($B386="","",SUMPRODUCT(((G386:N386="Accepted")+(G386:N386="Not Needed"))*(Settings!$C$15:$J$15="Yes")))</f>
        <v/>
      </c>
      <c r="R386" s="33">
        <f>IF($B386="","",IF($D386="No","No PTO/PTA",IF($D386&lt;&gt;"Yes","Not Yet Confirmed",IF($Q386&gt;=Settings!$C$13,"Legalized",IF($P386&gt;=Settings!$C$12,"Registered",IF($O386&gt;0,"In Progress","Not Started"))))))</f>
        <v/>
      </c>
      <c r="S386" s="32">
        <f>IF($B386="","",COUNTIF(G386:N386,"Received"))</f>
        <v/>
      </c>
      <c r="T386" s="32">
        <f>IF($B386="","",COUNTIF(G386:N386,"Needs Correction"))</f>
        <v/>
      </c>
      <c r="U386" s="33">
        <f>IF($B386="","",IF($D386&lt;&gt;"Yes","",IF($Q386&gt;=Settings!$C$13,"None",MID(IF(AND(G386&lt;&gt;"Accepted",G386&lt;&gt;"Not Needed",Settings!$C$15="Yes"),", "&amp;G$1,"")&amp;IF(AND(H386&lt;&gt;"Accepted",H386&lt;&gt;"Not Needed",Settings!$D$15="Yes"),", "&amp;H$1,"")&amp;IF(AND(I386&lt;&gt;"Accepted",I386&lt;&gt;"Not Needed",Settings!$E$15="Yes"),", "&amp;I$1,"")&amp;IF(AND(J386&lt;&gt;"Accepted",J386&lt;&gt;"Not Needed",Settings!$F$15="Yes"),", "&amp;J$1,"")&amp;IF(AND(K386&lt;&gt;"Accepted",K386&lt;&gt;"Not Needed",Settings!$G$15="Yes"),", "&amp;K$1,"")&amp;IF(AND(L386&lt;&gt;"Accepted",L386&lt;&gt;"Not Needed",Settings!$H$15="Yes"),", "&amp;L$1,"")&amp;IF(AND(M386&lt;&gt;"Accepted",M386&lt;&gt;"Not Needed",Settings!$I$15="Yes"),", "&amp;M$1,"")&amp;IF(AND(N386&lt;&gt;"Accepted",N386&lt;&gt;"Not Needed",Settings!$J$15="Yes"),", "&amp;N$1,""),3,400))))</f>
        <v/>
      </c>
    </row>
    <row r="387" ht="15" customHeight="1" s="21">
      <c r="A387" s="31" t="n"/>
      <c r="B387" s="31" t="n"/>
      <c r="C387" s="31" t="n"/>
      <c r="D387" s="31" t="n"/>
      <c r="E387" s="31" t="n"/>
      <c r="F387" s="31" t="n"/>
      <c r="G387" s="31" t="n"/>
      <c r="H387" s="31" t="n"/>
      <c r="I387" s="31" t="n"/>
      <c r="J387" s="31" t="n"/>
      <c r="K387" s="31" t="n"/>
      <c r="L387" s="31" t="n"/>
      <c r="M387" s="31" t="n"/>
      <c r="N387" s="31" t="n"/>
      <c r="O387" s="32">
        <f>IF($B387="","",COUNTIF(G387:N387,"Accepted")+COUNTIF(G387:N387,"Received")+COUNTIF(G387:N387,"Needs Correction"))</f>
        <v/>
      </c>
      <c r="P387" s="32">
        <f>IF($B387="","",SUMPRODUCT(((G387:N387="Accepted")+(G387:N387="Not Needed"))*(Settings!$C$11:$J$11="Yes")))</f>
        <v/>
      </c>
      <c r="Q387" s="32">
        <f>IF($B387="","",SUMPRODUCT(((G387:N387="Accepted")+(G387:N387="Not Needed"))*(Settings!$C$15:$J$15="Yes")))</f>
        <v/>
      </c>
      <c r="R387" s="33">
        <f>IF($B387="","",IF($D387="No","No PTO/PTA",IF($D387&lt;&gt;"Yes","Not Yet Confirmed",IF($Q387&gt;=Settings!$C$13,"Legalized",IF($P387&gt;=Settings!$C$12,"Registered",IF($O387&gt;0,"In Progress","Not Started"))))))</f>
        <v/>
      </c>
      <c r="S387" s="32">
        <f>IF($B387="","",COUNTIF(G387:N387,"Received"))</f>
        <v/>
      </c>
      <c r="T387" s="32">
        <f>IF($B387="","",COUNTIF(G387:N387,"Needs Correction"))</f>
        <v/>
      </c>
      <c r="U387" s="33">
        <f>IF($B387="","",IF($D387&lt;&gt;"Yes","",IF($Q387&gt;=Settings!$C$13,"None",MID(IF(AND(G387&lt;&gt;"Accepted",G387&lt;&gt;"Not Needed",Settings!$C$15="Yes"),", "&amp;G$1,"")&amp;IF(AND(H387&lt;&gt;"Accepted",H387&lt;&gt;"Not Needed",Settings!$D$15="Yes"),", "&amp;H$1,"")&amp;IF(AND(I387&lt;&gt;"Accepted",I387&lt;&gt;"Not Needed",Settings!$E$15="Yes"),", "&amp;I$1,"")&amp;IF(AND(J387&lt;&gt;"Accepted",J387&lt;&gt;"Not Needed",Settings!$F$15="Yes"),", "&amp;J$1,"")&amp;IF(AND(K387&lt;&gt;"Accepted",K387&lt;&gt;"Not Needed",Settings!$G$15="Yes"),", "&amp;K$1,"")&amp;IF(AND(L387&lt;&gt;"Accepted",L387&lt;&gt;"Not Needed",Settings!$H$15="Yes"),", "&amp;L$1,"")&amp;IF(AND(M387&lt;&gt;"Accepted",M387&lt;&gt;"Not Needed",Settings!$I$15="Yes"),", "&amp;M$1,"")&amp;IF(AND(N387&lt;&gt;"Accepted",N387&lt;&gt;"Not Needed",Settings!$J$15="Yes"),", "&amp;N$1,""),3,400))))</f>
        <v/>
      </c>
    </row>
    <row r="388" ht="15" customHeight="1" s="21">
      <c r="A388" s="31" t="n"/>
      <c r="B388" s="31" t="n"/>
      <c r="C388" s="31" t="n"/>
      <c r="D388" s="31" t="n"/>
      <c r="E388" s="31" t="n"/>
      <c r="F388" s="31" t="n"/>
      <c r="G388" s="31" t="n"/>
      <c r="H388" s="31" t="n"/>
      <c r="I388" s="31" t="n"/>
      <c r="J388" s="31" t="n"/>
      <c r="K388" s="31" t="n"/>
      <c r="L388" s="31" t="n"/>
      <c r="M388" s="31" t="n"/>
      <c r="N388" s="31" t="n"/>
      <c r="O388" s="32">
        <f>IF($B388="","",COUNTIF(G388:N388,"Accepted")+COUNTIF(G388:N388,"Received")+COUNTIF(G388:N388,"Needs Correction"))</f>
        <v/>
      </c>
      <c r="P388" s="32">
        <f>IF($B388="","",SUMPRODUCT(((G388:N388="Accepted")+(G388:N388="Not Needed"))*(Settings!$C$11:$J$11="Yes")))</f>
        <v/>
      </c>
      <c r="Q388" s="32">
        <f>IF($B388="","",SUMPRODUCT(((G388:N388="Accepted")+(G388:N388="Not Needed"))*(Settings!$C$15:$J$15="Yes")))</f>
        <v/>
      </c>
      <c r="R388" s="33">
        <f>IF($B388="","",IF($D388="No","No PTO/PTA",IF($D388&lt;&gt;"Yes","Not Yet Confirmed",IF($Q388&gt;=Settings!$C$13,"Legalized",IF($P388&gt;=Settings!$C$12,"Registered",IF($O388&gt;0,"In Progress","Not Started"))))))</f>
        <v/>
      </c>
      <c r="S388" s="32">
        <f>IF($B388="","",COUNTIF(G388:N388,"Received"))</f>
        <v/>
      </c>
      <c r="T388" s="32">
        <f>IF($B388="","",COUNTIF(G388:N388,"Needs Correction"))</f>
        <v/>
      </c>
      <c r="U388" s="33">
        <f>IF($B388="","",IF($D388&lt;&gt;"Yes","",IF($Q388&gt;=Settings!$C$13,"None",MID(IF(AND(G388&lt;&gt;"Accepted",G388&lt;&gt;"Not Needed",Settings!$C$15="Yes"),", "&amp;G$1,"")&amp;IF(AND(H388&lt;&gt;"Accepted",H388&lt;&gt;"Not Needed",Settings!$D$15="Yes"),", "&amp;H$1,"")&amp;IF(AND(I388&lt;&gt;"Accepted",I388&lt;&gt;"Not Needed",Settings!$E$15="Yes"),", "&amp;I$1,"")&amp;IF(AND(J388&lt;&gt;"Accepted",J388&lt;&gt;"Not Needed",Settings!$F$15="Yes"),", "&amp;J$1,"")&amp;IF(AND(K388&lt;&gt;"Accepted",K388&lt;&gt;"Not Needed",Settings!$G$15="Yes"),", "&amp;K$1,"")&amp;IF(AND(L388&lt;&gt;"Accepted",L388&lt;&gt;"Not Needed",Settings!$H$15="Yes"),", "&amp;L$1,"")&amp;IF(AND(M388&lt;&gt;"Accepted",M388&lt;&gt;"Not Needed",Settings!$I$15="Yes"),", "&amp;M$1,"")&amp;IF(AND(N388&lt;&gt;"Accepted",N388&lt;&gt;"Not Needed",Settings!$J$15="Yes"),", "&amp;N$1,""),3,400))))</f>
        <v/>
      </c>
    </row>
    <row r="389" ht="15" customHeight="1" s="21">
      <c r="A389" s="31" t="n"/>
      <c r="B389" s="31" t="n"/>
      <c r="C389" s="31" t="n"/>
      <c r="D389" s="31" t="n"/>
      <c r="E389" s="31" t="n"/>
      <c r="F389" s="31" t="n"/>
      <c r="G389" s="31" t="n"/>
      <c r="H389" s="31" t="n"/>
      <c r="I389" s="31" t="n"/>
      <c r="J389" s="31" t="n"/>
      <c r="K389" s="31" t="n"/>
      <c r="L389" s="31" t="n"/>
      <c r="M389" s="31" t="n"/>
      <c r="N389" s="31" t="n"/>
      <c r="O389" s="32">
        <f>IF($B389="","",COUNTIF(G389:N389,"Accepted")+COUNTIF(G389:N389,"Received")+COUNTIF(G389:N389,"Needs Correction"))</f>
        <v/>
      </c>
      <c r="P389" s="32">
        <f>IF($B389="","",SUMPRODUCT(((G389:N389="Accepted")+(G389:N389="Not Needed"))*(Settings!$C$11:$J$11="Yes")))</f>
        <v/>
      </c>
      <c r="Q389" s="32">
        <f>IF($B389="","",SUMPRODUCT(((G389:N389="Accepted")+(G389:N389="Not Needed"))*(Settings!$C$15:$J$15="Yes")))</f>
        <v/>
      </c>
      <c r="R389" s="33">
        <f>IF($B389="","",IF($D389="No","No PTO/PTA",IF($D389&lt;&gt;"Yes","Not Yet Confirmed",IF($Q389&gt;=Settings!$C$13,"Legalized",IF($P389&gt;=Settings!$C$12,"Registered",IF($O389&gt;0,"In Progress","Not Started"))))))</f>
        <v/>
      </c>
      <c r="S389" s="32">
        <f>IF($B389="","",COUNTIF(G389:N389,"Received"))</f>
        <v/>
      </c>
      <c r="T389" s="32">
        <f>IF($B389="","",COUNTIF(G389:N389,"Needs Correction"))</f>
        <v/>
      </c>
      <c r="U389" s="33">
        <f>IF($B389="","",IF($D389&lt;&gt;"Yes","",IF($Q389&gt;=Settings!$C$13,"None",MID(IF(AND(G389&lt;&gt;"Accepted",G389&lt;&gt;"Not Needed",Settings!$C$15="Yes"),", "&amp;G$1,"")&amp;IF(AND(H389&lt;&gt;"Accepted",H389&lt;&gt;"Not Needed",Settings!$D$15="Yes"),", "&amp;H$1,"")&amp;IF(AND(I389&lt;&gt;"Accepted",I389&lt;&gt;"Not Needed",Settings!$E$15="Yes"),", "&amp;I$1,"")&amp;IF(AND(J389&lt;&gt;"Accepted",J389&lt;&gt;"Not Needed",Settings!$F$15="Yes"),", "&amp;J$1,"")&amp;IF(AND(K389&lt;&gt;"Accepted",K389&lt;&gt;"Not Needed",Settings!$G$15="Yes"),", "&amp;K$1,"")&amp;IF(AND(L389&lt;&gt;"Accepted",L389&lt;&gt;"Not Needed",Settings!$H$15="Yes"),", "&amp;L$1,"")&amp;IF(AND(M389&lt;&gt;"Accepted",M389&lt;&gt;"Not Needed",Settings!$I$15="Yes"),", "&amp;M$1,"")&amp;IF(AND(N389&lt;&gt;"Accepted",N389&lt;&gt;"Not Needed",Settings!$J$15="Yes"),", "&amp;N$1,""),3,400))))</f>
        <v/>
      </c>
    </row>
    <row r="390" ht="15" customHeight="1" s="21">
      <c r="A390" s="31" t="n"/>
      <c r="B390" s="31" t="n"/>
      <c r="C390" s="31" t="n"/>
      <c r="D390" s="31" t="n"/>
      <c r="E390" s="31" t="n"/>
      <c r="F390" s="31" t="n"/>
      <c r="G390" s="31" t="n"/>
      <c r="H390" s="31" t="n"/>
      <c r="I390" s="31" t="n"/>
      <c r="J390" s="31" t="n"/>
      <c r="K390" s="31" t="n"/>
      <c r="L390" s="31" t="n"/>
      <c r="M390" s="31" t="n"/>
      <c r="N390" s="31" t="n"/>
      <c r="O390" s="32">
        <f>IF($B390="","",COUNTIF(G390:N390,"Accepted")+COUNTIF(G390:N390,"Received")+COUNTIF(G390:N390,"Needs Correction"))</f>
        <v/>
      </c>
      <c r="P390" s="32">
        <f>IF($B390="","",SUMPRODUCT(((G390:N390="Accepted")+(G390:N390="Not Needed"))*(Settings!$C$11:$J$11="Yes")))</f>
        <v/>
      </c>
      <c r="Q390" s="32">
        <f>IF($B390="","",SUMPRODUCT(((G390:N390="Accepted")+(G390:N390="Not Needed"))*(Settings!$C$15:$J$15="Yes")))</f>
        <v/>
      </c>
      <c r="R390" s="33">
        <f>IF($B390="","",IF($D390="No","No PTO/PTA",IF($D390&lt;&gt;"Yes","Not Yet Confirmed",IF($Q390&gt;=Settings!$C$13,"Legalized",IF($P390&gt;=Settings!$C$12,"Registered",IF($O390&gt;0,"In Progress","Not Started"))))))</f>
        <v/>
      </c>
      <c r="S390" s="32">
        <f>IF($B390="","",COUNTIF(G390:N390,"Received"))</f>
        <v/>
      </c>
      <c r="T390" s="32">
        <f>IF($B390="","",COUNTIF(G390:N390,"Needs Correction"))</f>
        <v/>
      </c>
      <c r="U390" s="33">
        <f>IF($B390="","",IF($D390&lt;&gt;"Yes","",IF($Q390&gt;=Settings!$C$13,"None",MID(IF(AND(G390&lt;&gt;"Accepted",G390&lt;&gt;"Not Needed",Settings!$C$15="Yes"),", "&amp;G$1,"")&amp;IF(AND(H390&lt;&gt;"Accepted",H390&lt;&gt;"Not Needed",Settings!$D$15="Yes"),", "&amp;H$1,"")&amp;IF(AND(I390&lt;&gt;"Accepted",I390&lt;&gt;"Not Needed",Settings!$E$15="Yes"),", "&amp;I$1,"")&amp;IF(AND(J390&lt;&gt;"Accepted",J390&lt;&gt;"Not Needed",Settings!$F$15="Yes"),", "&amp;J$1,"")&amp;IF(AND(K390&lt;&gt;"Accepted",K390&lt;&gt;"Not Needed",Settings!$G$15="Yes"),", "&amp;K$1,"")&amp;IF(AND(L390&lt;&gt;"Accepted",L390&lt;&gt;"Not Needed",Settings!$H$15="Yes"),", "&amp;L$1,"")&amp;IF(AND(M390&lt;&gt;"Accepted",M390&lt;&gt;"Not Needed",Settings!$I$15="Yes"),", "&amp;M$1,"")&amp;IF(AND(N390&lt;&gt;"Accepted",N390&lt;&gt;"Not Needed",Settings!$J$15="Yes"),", "&amp;N$1,""),3,400))))</f>
        <v/>
      </c>
    </row>
    <row r="391" ht="15" customHeight="1" s="21">
      <c r="A391" s="31" t="n"/>
      <c r="B391" s="31" t="n"/>
      <c r="C391" s="31" t="n"/>
      <c r="D391" s="31" t="n"/>
      <c r="E391" s="31" t="n"/>
      <c r="F391" s="31" t="n"/>
      <c r="G391" s="31" t="n"/>
      <c r="H391" s="31" t="n"/>
      <c r="I391" s="31" t="n"/>
      <c r="J391" s="31" t="n"/>
      <c r="K391" s="31" t="n"/>
      <c r="L391" s="31" t="n"/>
      <c r="M391" s="31" t="n"/>
      <c r="N391" s="31" t="n"/>
      <c r="O391" s="32">
        <f>IF($B391="","",COUNTIF(G391:N391,"Accepted")+COUNTIF(G391:N391,"Received")+COUNTIF(G391:N391,"Needs Correction"))</f>
        <v/>
      </c>
      <c r="P391" s="32">
        <f>IF($B391="","",SUMPRODUCT(((G391:N391="Accepted")+(G391:N391="Not Needed"))*(Settings!$C$11:$J$11="Yes")))</f>
        <v/>
      </c>
      <c r="Q391" s="32">
        <f>IF($B391="","",SUMPRODUCT(((G391:N391="Accepted")+(G391:N391="Not Needed"))*(Settings!$C$15:$J$15="Yes")))</f>
        <v/>
      </c>
      <c r="R391" s="33">
        <f>IF($B391="","",IF($D391="No","No PTO/PTA",IF($D391&lt;&gt;"Yes","Not Yet Confirmed",IF($Q391&gt;=Settings!$C$13,"Legalized",IF($P391&gt;=Settings!$C$12,"Registered",IF($O391&gt;0,"In Progress","Not Started"))))))</f>
        <v/>
      </c>
      <c r="S391" s="32">
        <f>IF($B391="","",COUNTIF(G391:N391,"Received"))</f>
        <v/>
      </c>
      <c r="T391" s="32">
        <f>IF($B391="","",COUNTIF(G391:N391,"Needs Correction"))</f>
        <v/>
      </c>
      <c r="U391" s="33">
        <f>IF($B391="","",IF($D391&lt;&gt;"Yes","",IF($Q391&gt;=Settings!$C$13,"None",MID(IF(AND(G391&lt;&gt;"Accepted",G391&lt;&gt;"Not Needed",Settings!$C$15="Yes"),", "&amp;G$1,"")&amp;IF(AND(H391&lt;&gt;"Accepted",H391&lt;&gt;"Not Needed",Settings!$D$15="Yes"),", "&amp;H$1,"")&amp;IF(AND(I391&lt;&gt;"Accepted",I391&lt;&gt;"Not Needed",Settings!$E$15="Yes"),", "&amp;I$1,"")&amp;IF(AND(J391&lt;&gt;"Accepted",J391&lt;&gt;"Not Needed",Settings!$F$15="Yes"),", "&amp;J$1,"")&amp;IF(AND(K391&lt;&gt;"Accepted",K391&lt;&gt;"Not Needed",Settings!$G$15="Yes"),", "&amp;K$1,"")&amp;IF(AND(L391&lt;&gt;"Accepted",L391&lt;&gt;"Not Needed",Settings!$H$15="Yes"),", "&amp;L$1,"")&amp;IF(AND(M391&lt;&gt;"Accepted",M391&lt;&gt;"Not Needed",Settings!$I$15="Yes"),", "&amp;M$1,"")&amp;IF(AND(N391&lt;&gt;"Accepted",N391&lt;&gt;"Not Needed",Settings!$J$15="Yes"),", "&amp;N$1,""),3,400))))</f>
        <v/>
      </c>
    </row>
    <row r="392" ht="15" customHeight="1" s="21">
      <c r="A392" s="31" t="n"/>
      <c r="B392" s="31" t="n"/>
      <c r="C392" s="31" t="n"/>
      <c r="D392" s="31" t="n"/>
      <c r="E392" s="31" t="n"/>
      <c r="F392" s="31" t="n"/>
      <c r="G392" s="31" t="n"/>
      <c r="H392" s="31" t="n"/>
      <c r="I392" s="31" t="n"/>
      <c r="J392" s="31" t="n"/>
      <c r="K392" s="31" t="n"/>
      <c r="L392" s="31" t="n"/>
      <c r="M392" s="31" t="n"/>
      <c r="N392" s="31" t="n"/>
      <c r="O392" s="32">
        <f>IF($B392="","",COUNTIF(G392:N392,"Accepted")+COUNTIF(G392:N392,"Received")+COUNTIF(G392:N392,"Needs Correction"))</f>
        <v/>
      </c>
      <c r="P392" s="32">
        <f>IF($B392="","",SUMPRODUCT(((G392:N392="Accepted")+(G392:N392="Not Needed"))*(Settings!$C$11:$J$11="Yes")))</f>
        <v/>
      </c>
      <c r="Q392" s="32">
        <f>IF($B392="","",SUMPRODUCT(((G392:N392="Accepted")+(G392:N392="Not Needed"))*(Settings!$C$15:$J$15="Yes")))</f>
        <v/>
      </c>
      <c r="R392" s="33">
        <f>IF($B392="","",IF($D392="No","No PTO/PTA",IF($D392&lt;&gt;"Yes","Not Yet Confirmed",IF($Q392&gt;=Settings!$C$13,"Legalized",IF($P392&gt;=Settings!$C$12,"Registered",IF($O392&gt;0,"In Progress","Not Started"))))))</f>
        <v/>
      </c>
      <c r="S392" s="32">
        <f>IF($B392="","",COUNTIF(G392:N392,"Received"))</f>
        <v/>
      </c>
      <c r="T392" s="32">
        <f>IF($B392="","",COUNTIF(G392:N392,"Needs Correction"))</f>
        <v/>
      </c>
      <c r="U392" s="33">
        <f>IF($B392="","",IF($D392&lt;&gt;"Yes","",IF($Q392&gt;=Settings!$C$13,"None",MID(IF(AND(G392&lt;&gt;"Accepted",G392&lt;&gt;"Not Needed",Settings!$C$15="Yes"),", "&amp;G$1,"")&amp;IF(AND(H392&lt;&gt;"Accepted",H392&lt;&gt;"Not Needed",Settings!$D$15="Yes"),", "&amp;H$1,"")&amp;IF(AND(I392&lt;&gt;"Accepted",I392&lt;&gt;"Not Needed",Settings!$E$15="Yes"),", "&amp;I$1,"")&amp;IF(AND(J392&lt;&gt;"Accepted",J392&lt;&gt;"Not Needed",Settings!$F$15="Yes"),", "&amp;J$1,"")&amp;IF(AND(K392&lt;&gt;"Accepted",K392&lt;&gt;"Not Needed",Settings!$G$15="Yes"),", "&amp;K$1,"")&amp;IF(AND(L392&lt;&gt;"Accepted",L392&lt;&gt;"Not Needed",Settings!$H$15="Yes"),", "&amp;L$1,"")&amp;IF(AND(M392&lt;&gt;"Accepted",M392&lt;&gt;"Not Needed",Settings!$I$15="Yes"),", "&amp;M$1,"")&amp;IF(AND(N392&lt;&gt;"Accepted",N392&lt;&gt;"Not Needed",Settings!$J$15="Yes"),", "&amp;N$1,""),3,400))))</f>
        <v/>
      </c>
    </row>
    <row r="393" ht="15" customHeight="1" s="21">
      <c r="A393" s="31" t="n"/>
      <c r="B393" s="31" t="n"/>
      <c r="C393" s="31" t="n"/>
      <c r="D393" s="31" t="n"/>
      <c r="E393" s="31" t="n"/>
      <c r="F393" s="31" t="n"/>
      <c r="G393" s="31" t="n"/>
      <c r="H393" s="31" t="n"/>
      <c r="I393" s="31" t="n"/>
      <c r="J393" s="31" t="n"/>
      <c r="K393" s="31" t="n"/>
      <c r="L393" s="31" t="n"/>
      <c r="M393" s="31" t="n"/>
      <c r="N393" s="31" t="n"/>
      <c r="O393" s="32">
        <f>IF($B393="","",COUNTIF(G393:N393,"Accepted")+COUNTIF(G393:N393,"Received")+COUNTIF(G393:N393,"Needs Correction"))</f>
        <v/>
      </c>
      <c r="P393" s="32">
        <f>IF($B393="","",SUMPRODUCT(((G393:N393="Accepted")+(G393:N393="Not Needed"))*(Settings!$C$11:$J$11="Yes")))</f>
        <v/>
      </c>
      <c r="Q393" s="32">
        <f>IF($B393="","",SUMPRODUCT(((G393:N393="Accepted")+(G393:N393="Not Needed"))*(Settings!$C$15:$J$15="Yes")))</f>
        <v/>
      </c>
      <c r="R393" s="33">
        <f>IF($B393="","",IF($D393="No","No PTO/PTA",IF($D393&lt;&gt;"Yes","Not Yet Confirmed",IF($Q393&gt;=Settings!$C$13,"Legalized",IF($P393&gt;=Settings!$C$12,"Registered",IF($O393&gt;0,"In Progress","Not Started"))))))</f>
        <v/>
      </c>
      <c r="S393" s="32">
        <f>IF($B393="","",COUNTIF(G393:N393,"Received"))</f>
        <v/>
      </c>
      <c r="T393" s="32">
        <f>IF($B393="","",COUNTIF(G393:N393,"Needs Correction"))</f>
        <v/>
      </c>
      <c r="U393" s="33">
        <f>IF($B393="","",IF($D393&lt;&gt;"Yes","",IF($Q393&gt;=Settings!$C$13,"None",MID(IF(AND(G393&lt;&gt;"Accepted",G393&lt;&gt;"Not Needed",Settings!$C$15="Yes"),", "&amp;G$1,"")&amp;IF(AND(H393&lt;&gt;"Accepted",H393&lt;&gt;"Not Needed",Settings!$D$15="Yes"),", "&amp;H$1,"")&amp;IF(AND(I393&lt;&gt;"Accepted",I393&lt;&gt;"Not Needed",Settings!$E$15="Yes"),", "&amp;I$1,"")&amp;IF(AND(J393&lt;&gt;"Accepted",J393&lt;&gt;"Not Needed",Settings!$F$15="Yes"),", "&amp;J$1,"")&amp;IF(AND(K393&lt;&gt;"Accepted",K393&lt;&gt;"Not Needed",Settings!$G$15="Yes"),", "&amp;K$1,"")&amp;IF(AND(L393&lt;&gt;"Accepted",L393&lt;&gt;"Not Needed",Settings!$H$15="Yes"),", "&amp;L$1,"")&amp;IF(AND(M393&lt;&gt;"Accepted",M393&lt;&gt;"Not Needed",Settings!$I$15="Yes"),", "&amp;M$1,"")&amp;IF(AND(N393&lt;&gt;"Accepted",N393&lt;&gt;"Not Needed",Settings!$J$15="Yes"),", "&amp;N$1,""),3,400))))</f>
        <v/>
      </c>
    </row>
    <row r="394" ht="15" customHeight="1" s="21">
      <c r="A394" s="31" t="n"/>
      <c r="B394" s="31" t="n"/>
      <c r="C394" s="31" t="n"/>
      <c r="D394" s="31" t="n"/>
      <c r="E394" s="31" t="n"/>
      <c r="F394" s="31" t="n"/>
      <c r="G394" s="31" t="n"/>
      <c r="H394" s="31" t="n"/>
      <c r="I394" s="31" t="n"/>
      <c r="J394" s="31" t="n"/>
      <c r="K394" s="31" t="n"/>
      <c r="L394" s="31" t="n"/>
      <c r="M394" s="31" t="n"/>
      <c r="N394" s="31" t="n"/>
      <c r="O394" s="32">
        <f>IF($B394="","",COUNTIF(G394:N394,"Accepted")+COUNTIF(G394:N394,"Received")+COUNTIF(G394:N394,"Needs Correction"))</f>
        <v/>
      </c>
      <c r="P394" s="32">
        <f>IF($B394="","",SUMPRODUCT(((G394:N394="Accepted")+(G394:N394="Not Needed"))*(Settings!$C$11:$J$11="Yes")))</f>
        <v/>
      </c>
      <c r="Q394" s="32">
        <f>IF($B394="","",SUMPRODUCT(((G394:N394="Accepted")+(G394:N394="Not Needed"))*(Settings!$C$15:$J$15="Yes")))</f>
        <v/>
      </c>
      <c r="R394" s="33">
        <f>IF($B394="","",IF($D394="No","No PTO/PTA",IF($D394&lt;&gt;"Yes","Not Yet Confirmed",IF($Q394&gt;=Settings!$C$13,"Legalized",IF($P394&gt;=Settings!$C$12,"Registered",IF($O394&gt;0,"In Progress","Not Started"))))))</f>
        <v/>
      </c>
      <c r="S394" s="32">
        <f>IF($B394="","",COUNTIF(G394:N394,"Received"))</f>
        <v/>
      </c>
      <c r="T394" s="32">
        <f>IF($B394="","",COUNTIF(G394:N394,"Needs Correction"))</f>
        <v/>
      </c>
      <c r="U394" s="33">
        <f>IF($B394="","",IF($D394&lt;&gt;"Yes","",IF($Q394&gt;=Settings!$C$13,"None",MID(IF(AND(G394&lt;&gt;"Accepted",G394&lt;&gt;"Not Needed",Settings!$C$15="Yes"),", "&amp;G$1,"")&amp;IF(AND(H394&lt;&gt;"Accepted",H394&lt;&gt;"Not Needed",Settings!$D$15="Yes"),", "&amp;H$1,"")&amp;IF(AND(I394&lt;&gt;"Accepted",I394&lt;&gt;"Not Needed",Settings!$E$15="Yes"),", "&amp;I$1,"")&amp;IF(AND(J394&lt;&gt;"Accepted",J394&lt;&gt;"Not Needed",Settings!$F$15="Yes"),", "&amp;J$1,"")&amp;IF(AND(K394&lt;&gt;"Accepted",K394&lt;&gt;"Not Needed",Settings!$G$15="Yes"),", "&amp;K$1,"")&amp;IF(AND(L394&lt;&gt;"Accepted",L394&lt;&gt;"Not Needed",Settings!$H$15="Yes"),", "&amp;L$1,"")&amp;IF(AND(M394&lt;&gt;"Accepted",M394&lt;&gt;"Not Needed",Settings!$I$15="Yes"),", "&amp;M$1,"")&amp;IF(AND(N394&lt;&gt;"Accepted",N394&lt;&gt;"Not Needed",Settings!$J$15="Yes"),", "&amp;N$1,""),3,400))))</f>
        <v/>
      </c>
    </row>
    <row r="395" ht="15" customHeight="1" s="21">
      <c r="A395" s="31" t="n"/>
      <c r="B395" s="31" t="n"/>
      <c r="C395" s="31" t="n"/>
      <c r="D395" s="31" t="n"/>
      <c r="E395" s="31" t="n"/>
      <c r="F395" s="31" t="n"/>
      <c r="G395" s="31" t="n"/>
      <c r="H395" s="31" t="n"/>
      <c r="I395" s="31" t="n"/>
      <c r="J395" s="31" t="n"/>
      <c r="K395" s="31" t="n"/>
      <c r="L395" s="31" t="n"/>
      <c r="M395" s="31" t="n"/>
      <c r="N395" s="31" t="n"/>
      <c r="O395" s="32">
        <f>IF($B395="","",COUNTIF(G395:N395,"Accepted")+COUNTIF(G395:N395,"Received")+COUNTIF(G395:N395,"Needs Correction"))</f>
        <v/>
      </c>
      <c r="P395" s="32">
        <f>IF($B395="","",SUMPRODUCT(((G395:N395="Accepted")+(G395:N395="Not Needed"))*(Settings!$C$11:$J$11="Yes")))</f>
        <v/>
      </c>
      <c r="Q395" s="32">
        <f>IF($B395="","",SUMPRODUCT(((G395:N395="Accepted")+(G395:N395="Not Needed"))*(Settings!$C$15:$J$15="Yes")))</f>
        <v/>
      </c>
      <c r="R395" s="33">
        <f>IF($B395="","",IF($D395="No","No PTO/PTA",IF($D395&lt;&gt;"Yes","Not Yet Confirmed",IF($Q395&gt;=Settings!$C$13,"Legalized",IF($P395&gt;=Settings!$C$12,"Registered",IF($O395&gt;0,"In Progress","Not Started"))))))</f>
        <v/>
      </c>
      <c r="S395" s="32">
        <f>IF($B395="","",COUNTIF(G395:N395,"Received"))</f>
        <v/>
      </c>
      <c r="T395" s="32">
        <f>IF($B395="","",COUNTIF(G395:N395,"Needs Correction"))</f>
        <v/>
      </c>
      <c r="U395" s="33">
        <f>IF($B395="","",IF($D395&lt;&gt;"Yes","",IF($Q395&gt;=Settings!$C$13,"None",MID(IF(AND(G395&lt;&gt;"Accepted",G395&lt;&gt;"Not Needed",Settings!$C$15="Yes"),", "&amp;G$1,"")&amp;IF(AND(H395&lt;&gt;"Accepted",H395&lt;&gt;"Not Needed",Settings!$D$15="Yes"),", "&amp;H$1,"")&amp;IF(AND(I395&lt;&gt;"Accepted",I395&lt;&gt;"Not Needed",Settings!$E$15="Yes"),", "&amp;I$1,"")&amp;IF(AND(J395&lt;&gt;"Accepted",J395&lt;&gt;"Not Needed",Settings!$F$15="Yes"),", "&amp;J$1,"")&amp;IF(AND(K395&lt;&gt;"Accepted",K395&lt;&gt;"Not Needed",Settings!$G$15="Yes"),", "&amp;K$1,"")&amp;IF(AND(L395&lt;&gt;"Accepted",L395&lt;&gt;"Not Needed",Settings!$H$15="Yes"),", "&amp;L$1,"")&amp;IF(AND(M395&lt;&gt;"Accepted",M395&lt;&gt;"Not Needed",Settings!$I$15="Yes"),", "&amp;M$1,"")&amp;IF(AND(N395&lt;&gt;"Accepted",N395&lt;&gt;"Not Needed",Settings!$J$15="Yes"),", "&amp;N$1,""),3,400))))</f>
        <v/>
      </c>
    </row>
    <row r="396" ht="15" customHeight="1" s="21">
      <c r="A396" s="31" t="n"/>
      <c r="B396" s="31" t="n"/>
      <c r="C396" s="31" t="n"/>
      <c r="D396" s="31" t="n"/>
      <c r="E396" s="31" t="n"/>
      <c r="F396" s="31" t="n"/>
      <c r="G396" s="31" t="n"/>
      <c r="H396" s="31" t="n"/>
      <c r="I396" s="31" t="n"/>
      <c r="J396" s="31" t="n"/>
      <c r="K396" s="31" t="n"/>
      <c r="L396" s="31" t="n"/>
      <c r="M396" s="31" t="n"/>
      <c r="N396" s="31" t="n"/>
      <c r="O396" s="32">
        <f>IF($B396="","",COUNTIF(G396:N396,"Accepted")+COUNTIF(G396:N396,"Received")+COUNTIF(G396:N396,"Needs Correction"))</f>
        <v/>
      </c>
      <c r="P396" s="32">
        <f>IF($B396="","",SUMPRODUCT(((G396:N396="Accepted")+(G396:N396="Not Needed"))*(Settings!$C$11:$J$11="Yes")))</f>
        <v/>
      </c>
      <c r="Q396" s="32">
        <f>IF($B396="","",SUMPRODUCT(((G396:N396="Accepted")+(G396:N396="Not Needed"))*(Settings!$C$15:$J$15="Yes")))</f>
        <v/>
      </c>
      <c r="R396" s="33">
        <f>IF($B396="","",IF($D396="No","No PTO/PTA",IF($D396&lt;&gt;"Yes","Not Yet Confirmed",IF($Q396&gt;=Settings!$C$13,"Legalized",IF($P396&gt;=Settings!$C$12,"Registered",IF($O396&gt;0,"In Progress","Not Started"))))))</f>
        <v/>
      </c>
      <c r="S396" s="32">
        <f>IF($B396="","",COUNTIF(G396:N396,"Received"))</f>
        <v/>
      </c>
      <c r="T396" s="32">
        <f>IF($B396="","",COUNTIF(G396:N396,"Needs Correction"))</f>
        <v/>
      </c>
      <c r="U396" s="33">
        <f>IF($B396="","",IF($D396&lt;&gt;"Yes","",IF($Q396&gt;=Settings!$C$13,"None",MID(IF(AND(G396&lt;&gt;"Accepted",G396&lt;&gt;"Not Needed",Settings!$C$15="Yes"),", "&amp;G$1,"")&amp;IF(AND(H396&lt;&gt;"Accepted",H396&lt;&gt;"Not Needed",Settings!$D$15="Yes"),", "&amp;H$1,"")&amp;IF(AND(I396&lt;&gt;"Accepted",I396&lt;&gt;"Not Needed",Settings!$E$15="Yes"),", "&amp;I$1,"")&amp;IF(AND(J396&lt;&gt;"Accepted",J396&lt;&gt;"Not Needed",Settings!$F$15="Yes"),", "&amp;J$1,"")&amp;IF(AND(K396&lt;&gt;"Accepted",K396&lt;&gt;"Not Needed",Settings!$G$15="Yes"),", "&amp;K$1,"")&amp;IF(AND(L396&lt;&gt;"Accepted",L396&lt;&gt;"Not Needed",Settings!$H$15="Yes"),", "&amp;L$1,"")&amp;IF(AND(M396&lt;&gt;"Accepted",M396&lt;&gt;"Not Needed",Settings!$I$15="Yes"),", "&amp;M$1,"")&amp;IF(AND(N396&lt;&gt;"Accepted",N396&lt;&gt;"Not Needed",Settings!$J$15="Yes"),", "&amp;N$1,""),3,400))))</f>
        <v/>
      </c>
    </row>
    <row r="397" ht="15" customHeight="1" s="21">
      <c r="A397" s="31" t="n"/>
      <c r="B397" s="31" t="n"/>
      <c r="C397" s="31" t="n"/>
      <c r="D397" s="31" t="n"/>
      <c r="E397" s="31" t="n"/>
      <c r="F397" s="31" t="n"/>
      <c r="G397" s="31" t="n"/>
      <c r="H397" s="31" t="n"/>
      <c r="I397" s="31" t="n"/>
      <c r="J397" s="31" t="n"/>
      <c r="K397" s="31" t="n"/>
      <c r="L397" s="31" t="n"/>
      <c r="M397" s="31" t="n"/>
      <c r="N397" s="31" t="n"/>
      <c r="O397" s="32">
        <f>IF($B397="","",COUNTIF(G397:N397,"Accepted")+COUNTIF(G397:N397,"Received")+COUNTIF(G397:N397,"Needs Correction"))</f>
        <v/>
      </c>
      <c r="P397" s="32">
        <f>IF($B397="","",SUMPRODUCT(((G397:N397="Accepted")+(G397:N397="Not Needed"))*(Settings!$C$11:$J$11="Yes")))</f>
        <v/>
      </c>
      <c r="Q397" s="32">
        <f>IF($B397="","",SUMPRODUCT(((G397:N397="Accepted")+(G397:N397="Not Needed"))*(Settings!$C$15:$J$15="Yes")))</f>
        <v/>
      </c>
      <c r="R397" s="33">
        <f>IF($B397="","",IF($D397="No","No PTO/PTA",IF($D397&lt;&gt;"Yes","Not Yet Confirmed",IF($Q397&gt;=Settings!$C$13,"Legalized",IF($P397&gt;=Settings!$C$12,"Registered",IF($O397&gt;0,"In Progress","Not Started"))))))</f>
        <v/>
      </c>
      <c r="S397" s="32">
        <f>IF($B397="","",COUNTIF(G397:N397,"Received"))</f>
        <v/>
      </c>
      <c r="T397" s="32">
        <f>IF($B397="","",COUNTIF(G397:N397,"Needs Correction"))</f>
        <v/>
      </c>
      <c r="U397" s="33">
        <f>IF($B397="","",IF($D397&lt;&gt;"Yes","",IF($Q397&gt;=Settings!$C$13,"None",MID(IF(AND(G397&lt;&gt;"Accepted",G397&lt;&gt;"Not Needed",Settings!$C$15="Yes"),", "&amp;G$1,"")&amp;IF(AND(H397&lt;&gt;"Accepted",H397&lt;&gt;"Not Needed",Settings!$D$15="Yes"),", "&amp;H$1,"")&amp;IF(AND(I397&lt;&gt;"Accepted",I397&lt;&gt;"Not Needed",Settings!$E$15="Yes"),", "&amp;I$1,"")&amp;IF(AND(J397&lt;&gt;"Accepted",J397&lt;&gt;"Not Needed",Settings!$F$15="Yes"),", "&amp;J$1,"")&amp;IF(AND(K397&lt;&gt;"Accepted",K397&lt;&gt;"Not Needed",Settings!$G$15="Yes"),", "&amp;K$1,"")&amp;IF(AND(L397&lt;&gt;"Accepted",L397&lt;&gt;"Not Needed",Settings!$H$15="Yes"),", "&amp;L$1,"")&amp;IF(AND(M397&lt;&gt;"Accepted",M397&lt;&gt;"Not Needed",Settings!$I$15="Yes"),", "&amp;M$1,"")&amp;IF(AND(N397&lt;&gt;"Accepted",N397&lt;&gt;"Not Needed",Settings!$J$15="Yes"),", "&amp;N$1,""),3,400))))</f>
        <v/>
      </c>
    </row>
    <row r="398" ht="15" customHeight="1" s="21">
      <c r="A398" s="31" t="n"/>
      <c r="B398" s="31" t="n"/>
      <c r="C398" s="31" t="n"/>
      <c r="D398" s="31" t="n"/>
      <c r="E398" s="31" t="n"/>
      <c r="F398" s="31" t="n"/>
      <c r="G398" s="31" t="n"/>
      <c r="H398" s="31" t="n"/>
      <c r="I398" s="31" t="n"/>
      <c r="J398" s="31" t="n"/>
      <c r="K398" s="31" t="n"/>
      <c r="L398" s="31" t="n"/>
      <c r="M398" s="31" t="n"/>
      <c r="N398" s="31" t="n"/>
      <c r="O398" s="32">
        <f>IF($B398="","",COUNTIF(G398:N398,"Accepted")+COUNTIF(G398:N398,"Received")+COUNTIF(G398:N398,"Needs Correction"))</f>
        <v/>
      </c>
      <c r="P398" s="32">
        <f>IF($B398="","",SUMPRODUCT(((G398:N398="Accepted")+(G398:N398="Not Needed"))*(Settings!$C$11:$J$11="Yes")))</f>
        <v/>
      </c>
      <c r="Q398" s="32">
        <f>IF($B398="","",SUMPRODUCT(((G398:N398="Accepted")+(G398:N398="Not Needed"))*(Settings!$C$15:$J$15="Yes")))</f>
        <v/>
      </c>
      <c r="R398" s="33">
        <f>IF($B398="","",IF($D398="No","No PTO/PTA",IF($D398&lt;&gt;"Yes","Not Yet Confirmed",IF($Q398&gt;=Settings!$C$13,"Legalized",IF($P398&gt;=Settings!$C$12,"Registered",IF($O398&gt;0,"In Progress","Not Started"))))))</f>
        <v/>
      </c>
      <c r="S398" s="32">
        <f>IF($B398="","",COUNTIF(G398:N398,"Received"))</f>
        <v/>
      </c>
      <c r="T398" s="32">
        <f>IF($B398="","",COUNTIF(G398:N398,"Needs Correction"))</f>
        <v/>
      </c>
      <c r="U398" s="33">
        <f>IF($B398="","",IF($D398&lt;&gt;"Yes","",IF($Q398&gt;=Settings!$C$13,"None",MID(IF(AND(G398&lt;&gt;"Accepted",G398&lt;&gt;"Not Needed",Settings!$C$15="Yes"),", "&amp;G$1,"")&amp;IF(AND(H398&lt;&gt;"Accepted",H398&lt;&gt;"Not Needed",Settings!$D$15="Yes"),", "&amp;H$1,"")&amp;IF(AND(I398&lt;&gt;"Accepted",I398&lt;&gt;"Not Needed",Settings!$E$15="Yes"),", "&amp;I$1,"")&amp;IF(AND(J398&lt;&gt;"Accepted",J398&lt;&gt;"Not Needed",Settings!$F$15="Yes"),", "&amp;J$1,"")&amp;IF(AND(K398&lt;&gt;"Accepted",K398&lt;&gt;"Not Needed",Settings!$G$15="Yes"),", "&amp;K$1,"")&amp;IF(AND(L398&lt;&gt;"Accepted",L398&lt;&gt;"Not Needed",Settings!$H$15="Yes"),", "&amp;L$1,"")&amp;IF(AND(M398&lt;&gt;"Accepted",M398&lt;&gt;"Not Needed",Settings!$I$15="Yes"),", "&amp;M$1,"")&amp;IF(AND(N398&lt;&gt;"Accepted",N398&lt;&gt;"Not Needed",Settings!$J$15="Yes"),", "&amp;N$1,""),3,400))))</f>
        <v/>
      </c>
    </row>
    <row r="399" ht="15" customHeight="1" s="21">
      <c r="A399" s="31" t="n"/>
      <c r="B399" s="31" t="n"/>
      <c r="C399" s="31" t="n"/>
      <c r="D399" s="31" t="n"/>
      <c r="E399" s="31" t="n"/>
      <c r="F399" s="31" t="n"/>
      <c r="G399" s="31" t="n"/>
      <c r="H399" s="31" t="n"/>
      <c r="I399" s="31" t="n"/>
      <c r="J399" s="31" t="n"/>
      <c r="K399" s="31" t="n"/>
      <c r="L399" s="31" t="n"/>
      <c r="M399" s="31" t="n"/>
      <c r="N399" s="31" t="n"/>
      <c r="O399" s="32">
        <f>IF($B399="","",COUNTIF(G399:N399,"Accepted")+COUNTIF(G399:N399,"Received")+COUNTIF(G399:N399,"Needs Correction"))</f>
        <v/>
      </c>
      <c r="P399" s="32">
        <f>IF($B399="","",SUMPRODUCT(((G399:N399="Accepted")+(G399:N399="Not Needed"))*(Settings!$C$11:$J$11="Yes")))</f>
        <v/>
      </c>
      <c r="Q399" s="32">
        <f>IF($B399="","",SUMPRODUCT(((G399:N399="Accepted")+(G399:N399="Not Needed"))*(Settings!$C$15:$J$15="Yes")))</f>
        <v/>
      </c>
      <c r="R399" s="33">
        <f>IF($B399="","",IF($D399="No","No PTO/PTA",IF($D399&lt;&gt;"Yes","Not Yet Confirmed",IF($Q399&gt;=Settings!$C$13,"Legalized",IF($P399&gt;=Settings!$C$12,"Registered",IF($O399&gt;0,"In Progress","Not Started"))))))</f>
        <v/>
      </c>
      <c r="S399" s="32">
        <f>IF($B399="","",COUNTIF(G399:N399,"Received"))</f>
        <v/>
      </c>
      <c r="T399" s="32">
        <f>IF($B399="","",COUNTIF(G399:N399,"Needs Correction"))</f>
        <v/>
      </c>
      <c r="U399" s="33">
        <f>IF($B399="","",IF($D399&lt;&gt;"Yes","",IF($Q399&gt;=Settings!$C$13,"None",MID(IF(AND(G399&lt;&gt;"Accepted",G399&lt;&gt;"Not Needed",Settings!$C$15="Yes"),", "&amp;G$1,"")&amp;IF(AND(H399&lt;&gt;"Accepted",H399&lt;&gt;"Not Needed",Settings!$D$15="Yes"),", "&amp;H$1,"")&amp;IF(AND(I399&lt;&gt;"Accepted",I399&lt;&gt;"Not Needed",Settings!$E$15="Yes"),", "&amp;I$1,"")&amp;IF(AND(J399&lt;&gt;"Accepted",J399&lt;&gt;"Not Needed",Settings!$F$15="Yes"),", "&amp;J$1,"")&amp;IF(AND(K399&lt;&gt;"Accepted",K399&lt;&gt;"Not Needed",Settings!$G$15="Yes"),", "&amp;K$1,"")&amp;IF(AND(L399&lt;&gt;"Accepted",L399&lt;&gt;"Not Needed",Settings!$H$15="Yes"),", "&amp;L$1,"")&amp;IF(AND(M399&lt;&gt;"Accepted",M399&lt;&gt;"Not Needed",Settings!$I$15="Yes"),", "&amp;M$1,"")&amp;IF(AND(N399&lt;&gt;"Accepted",N399&lt;&gt;"Not Needed",Settings!$J$15="Yes"),", "&amp;N$1,""),3,400))))</f>
        <v/>
      </c>
    </row>
    <row r="400" ht="15" customHeight="1" s="21">
      <c r="A400" s="31" t="n"/>
      <c r="B400" s="31" t="n"/>
      <c r="C400" s="31" t="n"/>
      <c r="D400" s="31" t="n"/>
      <c r="E400" s="31" t="n"/>
      <c r="F400" s="31" t="n"/>
      <c r="G400" s="31" t="n"/>
      <c r="H400" s="31" t="n"/>
      <c r="I400" s="31" t="n"/>
      <c r="J400" s="31" t="n"/>
      <c r="K400" s="31" t="n"/>
      <c r="L400" s="31" t="n"/>
      <c r="M400" s="31" t="n"/>
      <c r="N400" s="31" t="n"/>
      <c r="O400" s="32">
        <f>IF($B400="","",COUNTIF(G400:N400,"Accepted")+COUNTIF(G400:N400,"Received")+COUNTIF(G400:N400,"Needs Correction"))</f>
        <v/>
      </c>
      <c r="P400" s="32">
        <f>IF($B400="","",SUMPRODUCT(((G400:N400="Accepted")+(G400:N400="Not Needed"))*(Settings!$C$11:$J$11="Yes")))</f>
        <v/>
      </c>
      <c r="Q400" s="32">
        <f>IF($B400="","",SUMPRODUCT(((G400:N400="Accepted")+(G400:N400="Not Needed"))*(Settings!$C$15:$J$15="Yes")))</f>
        <v/>
      </c>
      <c r="R400" s="33">
        <f>IF($B400="","",IF($D400="No","No PTO/PTA",IF($D400&lt;&gt;"Yes","Not Yet Confirmed",IF($Q400&gt;=Settings!$C$13,"Legalized",IF($P400&gt;=Settings!$C$12,"Registered",IF($O400&gt;0,"In Progress","Not Started"))))))</f>
        <v/>
      </c>
      <c r="S400" s="32">
        <f>IF($B400="","",COUNTIF(G400:N400,"Received"))</f>
        <v/>
      </c>
      <c r="T400" s="32">
        <f>IF($B400="","",COUNTIF(G400:N400,"Needs Correction"))</f>
        <v/>
      </c>
      <c r="U400" s="33">
        <f>IF($B400="","",IF($D400&lt;&gt;"Yes","",IF($Q400&gt;=Settings!$C$13,"None",MID(IF(AND(G400&lt;&gt;"Accepted",G400&lt;&gt;"Not Needed",Settings!$C$15="Yes"),", "&amp;G$1,"")&amp;IF(AND(H400&lt;&gt;"Accepted",H400&lt;&gt;"Not Needed",Settings!$D$15="Yes"),", "&amp;H$1,"")&amp;IF(AND(I400&lt;&gt;"Accepted",I400&lt;&gt;"Not Needed",Settings!$E$15="Yes"),", "&amp;I$1,"")&amp;IF(AND(J400&lt;&gt;"Accepted",J400&lt;&gt;"Not Needed",Settings!$F$15="Yes"),", "&amp;J$1,"")&amp;IF(AND(K400&lt;&gt;"Accepted",K400&lt;&gt;"Not Needed",Settings!$G$15="Yes"),", "&amp;K$1,"")&amp;IF(AND(L400&lt;&gt;"Accepted",L400&lt;&gt;"Not Needed",Settings!$H$15="Yes"),", "&amp;L$1,"")&amp;IF(AND(M400&lt;&gt;"Accepted",M400&lt;&gt;"Not Needed",Settings!$I$15="Yes"),", "&amp;M$1,"")&amp;IF(AND(N400&lt;&gt;"Accepted",N400&lt;&gt;"Not Needed",Settings!$J$15="Yes"),", "&amp;N$1,""),3,400))))</f>
        <v/>
      </c>
    </row>
    <row r="401" ht="15" customHeight="1" s="21">
      <c r="A401" s="31" t="n"/>
      <c r="B401" s="31" t="n"/>
      <c r="C401" s="31" t="n"/>
      <c r="D401" s="31" t="n"/>
      <c r="E401" s="31" t="n"/>
      <c r="F401" s="31" t="n"/>
      <c r="G401" s="31" t="n"/>
      <c r="H401" s="31" t="n"/>
      <c r="I401" s="31" t="n"/>
      <c r="J401" s="31" t="n"/>
      <c r="K401" s="31" t="n"/>
      <c r="L401" s="31" t="n"/>
      <c r="M401" s="31" t="n"/>
      <c r="N401" s="31" t="n"/>
      <c r="O401" s="32">
        <f>IF($B401="","",COUNTIF(G401:N401,"Accepted")+COUNTIF(G401:N401,"Received")+COUNTIF(G401:N401,"Needs Correction"))</f>
        <v/>
      </c>
      <c r="P401" s="32">
        <f>IF($B401="","",SUMPRODUCT(((G401:N401="Accepted")+(G401:N401="Not Needed"))*(Settings!$C$11:$J$11="Yes")))</f>
        <v/>
      </c>
      <c r="Q401" s="32">
        <f>IF($B401="","",SUMPRODUCT(((G401:N401="Accepted")+(G401:N401="Not Needed"))*(Settings!$C$15:$J$15="Yes")))</f>
        <v/>
      </c>
      <c r="R401" s="33">
        <f>IF($B401="","",IF($D401="No","No PTO/PTA",IF($D401&lt;&gt;"Yes","Not Yet Confirmed",IF($Q401&gt;=Settings!$C$13,"Legalized",IF($P401&gt;=Settings!$C$12,"Registered",IF($O401&gt;0,"In Progress","Not Started"))))))</f>
        <v/>
      </c>
      <c r="S401" s="32">
        <f>IF($B401="","",COUNTIF(G401:N401,"Received"))</f>
        <v/>
      </c>
      <c r="T401" s="32">
        <f>IF($B401="","",COUNTIF(G401:N401,"Needs Correction"))</f>
        <v/>
      </c>
      <c r="U401" s="33">
        <f>IF($B401="","",IF($D401&lt;&gt;"Yes","",IF($Q401&gt;=Settings!$C$13,"None",MID(IF(AND(G401&lt;&gt;"Accepted",G401&lt;&gt;"Not Needed",Settings!$C$15="Yes"),", "&amp;G$1,"")&amp;IF(AND(H401&lt;&gt;"Accepted",H401&lt;&gt;"Not Needed",Settings!$D$15="Yes"),", "&amp;H$1,"")&amp;IF(AND(I401&lt;&gt;"Accepted",I401&lt;&gt;"Not Needed",Settings!$E$15="Yes"),", "&amp;I$1,"")&amp;IF(AND(J401&lt;&gt;"Accepted",J401&lt;&gt;"Not Needed",Settings!$F$15="Yes"),", "&amp;J$1,"")&amp;IF(AND(K401&lt;&gt;"Accepted",K401&lt;&gt;"Not Needed",Settings!$G$15="Yes"),", "&amp;K$1,"")&amp;IF(AND(L401&lt;&gt;"Accepted",L401&lt;&gt;"Not Needed",Settings!$H$15="Yes"),", "&amp;L$1,"")&amp;IF(AND(M401&lt;&gt;"Accepted",M401&lt;&gt;"Not Needed",Settings!$I$15="Yes"),", "&amp;M$1,"")&amp;IF(AND(N401&lt;&gt;"Accepted",N401&lt;&gt;"Not Needed",Settings!$J$15="Yes"),", "&amp;N$1,""),3,400))))</f>
        <v/>
      </c>
    </row>
    <row r="402" ht="15" customHeight="1" s="21">
      <c r="A402" s="31" t="n"/>
      <c r="B402" s="31" t="n"/>
      <c r="C402" s="31" t="n"/>
      <c r="D402" s="31" t="n"/>
      <c r="E402" s="31" t="n"/>
      <c r="F402" s="31" t="n"/>
      <c r="G402" s="31" t="n"/>
      <c r="H402" s="31" t="n"/>
      <c r="I402" s="31" t="n"/>
      <c r="J402" s="31" t="n"/>
      <c r="K402" s="31" t="n"/>
      <c r="L402" s="31" t="n"/>
      <c r="M402" s="31" t="n"/>
      <c r="N402" s="31" t="n"/>
      <c r="O402" s="32">
        <f>IF($B402="","",COUNTIF(G402:N402,"Accepted")+COUNTIF(G402:N402,"Received")+COUNTIF(G402:N402,"Needs Correction"))</f>
        <v/>
      </c>
      <c r="P402" s="32">
        <f>IF($B402="","",SUMPRODUCT(((G402:N402="Accepted")+(G402:N402="Not Needed"))*(Settings!$C$11:$J$11="Yes")))</f>
        <v/>
      </c>
      <c r="Q402" s="32">
        <f>IF($B402="","",SUMPRODUCT(((G402:N402="Accepted")+(G402:N402="Not Needed"))*(Settings!$C$15:$J$15="Yes")))</f>
        <v/>
      </c>
      <c r="R402" s="33">
        <f>IF($B402="","",IF($D402="No","No PTO/PTA",IF($D402&lt;&gt;"Yes","Not Yet Confirmed",IF($Q402&gt;=Settings!$C$13,"Legalized",IF($P402&gt;=Settings!$C$12,"Registered",IF($O402&gt;0,"In Progress","Not Started"))))))</f>
        <v/>
      </c>
      <c r="S402" s="32">
        <f>IF($B402="","",COUNTIF(G402:N402,"Received"))</f>
        <v/>
      </c>
      <c r="T402" s="32">
        <f>IF($B402="","",COUNTIF(G402:N402,"Needs Correction"))</f>
        <v/>
      </c>
      <c r="U402" s="33">
        <f>IF($B402="","",IF($D402&lt;&gt;"Yes","",IF($Q402&gt;=Settings!$C$13,"None",MID(IF(AND(G402&lt;&gt;"Accepted",G402&lt;&gt;"Not Needed",Settings!$C$15="Yes"),", "&amp;G$1,"")&amp;IF(AND(H402&lt;&gt;"Accepted",H402&lt;&gt;"Not Needed",Settings!$D$15="Yes"),", "&amp;H$1,"")&amp;IF(AND(I402&lt;&gt;"Accepted",I402&lt;&gt;"Not Needed",Settings!$E$15="Yes"),", "&amp;I$1,"")&amp;IF(AND(J402&lt;&gt;"Accepted",J402&lt;&gt;"Not Needed",Settings!$F$15="Yes"),", "&amp;J$1,"")&amp;IF(AND(K402&lt;&gt;"Accepted",K402&lt;&gt;"Not Needed",Settings!$G$15="Yes"),", "&amp;K$1,"")&amp;IF(AND(L402&lt;&gt;"Accepted",L402&lt;&gt;"Not Needed",Settings!$H$15="Yes"),", "&amp;L$1,"")&amp;IF(AND(M402&lt;&gt;"Accepted",M402&lt;&gt;"Not Needed",Settings!$I$15="Yes"),", "&amp;M$1,"")&amp;IF(AND(N402&lt;&gt;"Accepted",N402&lt;&gt;"Not Needed",Settings!$J$15="Yes"),", "&amp;N$1,""),3,400))))</f>
        <v/>
      </c>
    </row>
    <row r="403" ht="15" customHeight="1" s="21">
      <c r="A403" s="31" t="n"/>
      <c r="B403" s="31" t="n"/>
      <c r="C403" s="31" t="n"/>
      <c r="D403" s="31" t="n"/>
      <c r="E403" s="31" t="n"/>
      <c r="F403" s="31" t="n"/>
      <c r="G403" s="31" t="n"/>
      <c r="H403" s="31" t="n"/>
      <c r="I403" s="31" t="n"/>
      <c r="J403" s="31" t="n"/>
      <c r="K403" s="31" t="n"/>
      <c r="L403" s="31" t="n"/>
      <c r="M403" s="31" t="n"/>
      <c r="N403" s="31" t="n"/>
      <c r="O403" s="32">
        <f>IF($B403="","",COUNTIF(G403:N403,"Accepted")+COUNTIF(G403:N403,"Received")+COUNTIF(G403:N403,"Needs Correction"))</f>
        <v/>
      </c>
      <c r="P403" s="32">
        <f>IF($B403="","",SUMPRODUCT(((G403:N403="Accepted")+(G403:N403="Not Needed"))*(Settings!$C$11:$J$11="Yes")))</f>
        <v/>
      </c>
      <c r="Q403" s="32">
        <f>IF($B403="","",SUMPRODUCT(((G403:N403="Accepted")+(G403:N403="Not Needed"))*(Settings!$C$15:$J$15="Yes")))</f>
        <v/>
      </c>
      <c r="R403" s="33">
        <f>IF($B403="","",IF($D403="No","No PTO/PTA",IF($D403&lt;&gt;"Yes","Not Yet Confirmed",IF($Q403&gt;=Settings!$C$13,"Legalized",IF($P403&gt;=Settings!$C$12,"Registered",IF($O403&gt;0,"In Progress","Not Started"))))))</f>
        <v/>
      </c>
      <c r="S403" s="32">
        <f>IF($B403="","",COUNTIF(G403:N403,"Received"))</f>
        <v/>
      </c>
      <c r="T403" s="32">
        <f>IF($B403="","",COUNTIF(G403:N403,"Needs Correction"))</f>
        <v/>
      </c>
      <c r="U403" s="33">
        <f>IF($B403="","",IF($D403&lt;&gt;"Yes","",IF($Q403&gt;=Settings!$C$13,"None",MID(IF(AND(G403&lt;&gt;"Accepted",G403&lt;&gt;"Not Needed",Settings!$C$15="Yes"),", "&amp;G$1,"")&amp;IF(AND(H403&lt;&gt;"Accepted",H403&lt;&gt;"Not Needed",Settings!$D$15="Yes"),", "&amp;H$1,"")&amp;IF(AND(I403&lt;&gt;"Accepted",I403&lt;&gt;"Not Needed",Settings!$E$15="Yes"),", "&amp;I$1,"")&amp;IF(AND(J403&lt;&gt;"Accepted",J403&lt;&gt;"Not Needed",Settings!$F$15="Yes"),", "&amp;J$1,"")&amp;IF(AND(K403&lt;&gt;"Accepted",K403&lt;&gt;"Not Needed",Settings!$G$15="Yes"),", "&amp;K$1,"")&amp;IF(AND(L403&lt;&gt;"Accepted",L403&lt;&gt;"Not Needed",Settings!$H$15="Yes"),", "&amp;L$1,"")&amp;IF(AND(M403&lt;&gt;"Accepted",M403&lt;&gt;"Not Needed",Settings!$I$15="Yes"),", "&amp;M$1,"")&amp;IF(AND(N403&lt;&gt;"Accepted",N403&lt;&gt;"Not Needed",Settings!$J$15="Yes"),", "&amp;N$1,""),3,400))))</f>
        <v/>
      </c>
    </row>
    <row r="404" ht="15" customHeight="1" s="21">
      <c r="A404" s="31" t="n"/>
      <c r="B404" s="31" t="n"/>
      <c r="C404" s="31" t="n"/>
      <c r="D404" s="31" t="n"/>
      <c r="E404" s="31" t="n"/>
      <c r="F404" s="31" t="n"/>
      <c r="G404" s="31" t="n"/>
      <c r="H404" s="31" t="n"/>
      <c r="I404" s="31" t="n"/>
      <c r="J404" s="31" t="n"/>
      <c r="K404" s="31" t="n"/>
      <c r="L404" s="31" t="n"/>
      <c r="M404" s="31" t="n"/>
      <c r="N404" s="31" t="n"/>
      <c r="O404" s="32">
        <f>IF($B404="","",COUNTIF(G404:N404,"Accepted")+COUNTIF(G404:N404,"Received")+COUNTIF(G404:N404,"Needs Correction"))</f>
        <v/>
      </c>
      <c r="P404" s="32">
        <f>IF($B404="","",SUMPRODUCT(((G404:N404="Accepted")+(G404:N404="Not Needed"))*(Settings!$C$11:$J$11="Yes")))</f>
        <v/>
      </c>
      <c r="Q404" s="32">
        <f>IF($B404="","",SUMPRODUCT(((G404:N404="Accepted")+(G404:N404="Not Needed"))*(Settings!$C$15:$J$15="Yes")))</f>
        <v/>
      </c>
      <c r="R404" s="33">
        <f>IF($B404="","",IF($D404="No","No PTO/PTA",IF($D404&lt;&gt;"Yes","Not Yet Confirmed",IF($Q404&gt;=Settings!$C$13,"Legalized",IF($P404&gt;=Settings!$C$12,"Registered",IF($O404&gt;0,"In Progress","Not Started"))))))</f>
        <v/>
      </c>
      <c r="S404" s="32">
        <f>IF($B404="","",COUNTIF(G404:N404,"Received"))</f>
        <v/>
      </c>
      <c r="T404" s="32">
        <f>IF($B404="","",COUNTIF(G404:N404,"Needs Correction"))</f>
        <v/>
      </c>
      <c r="U404" s="33">
        <f>IF($B404="","",IF($D404&lt;&gt;"Yes","",IF($Q404&gt;=Settings!$C$13,"None",MID(IF(AND(G404&lt;&gt;"Accepted",G404&lt;&gt;"Not Needed",Settings!$C$15="Yes"),", "&amp;G$1,"")&amp;IF(AND(H404&lt;&gt;"Accepted",H404&lt;&gt;"Not Needed",Settings!$D$15="Yes"),", "&amp;H$1,"")&amp;IF(AND(I404&lt;&gt;"Accepted",I404&lt;&gt;"Not Needed",Settings!$E$15="Yes"),", "&amp;I$1,"")&amp;IF(AND(J404&lt;&gt;"Accepted",J404&lt;&gt;"Not Needed",Settings!$F$15="Yes"),", "&amp;J$1,"")&amp;IF(AND(K404&lt;&gt;"Accepted",K404&lt;&gt;"Not Needed",Settings!$G$15="Yes"),", "&amp;K$1,"")&amp;IF(AND(L404&lt;&gt;"Accepted",L404&lt;&gt;"Not Needed",Settings!$H$15="Yes"),", "&amp;L$1,"")&amp;IF(AND(M404&lt;&gt;"Accepted",M404&lt;&gt;"Not Needed",Settings!$I$15="Yes"),", "&amp;M$1,"")&amp;IF(AND(N404&lt;&gt;"Accepted",N404&lt;&gt;"Not Needed",Settings!$J$15="Yes"),", "&amp;N$1,""),3,400))))</f>
        <v/>
      </c>
    </row>
    <row r="405" ht="15" customHeight="1" s="21">
      <c r="A405" s="31" t="n"/>
      <c r="B405" s="31" t="n"/>
      <c r="C405" s="31" t="n"/>
      <c r="D405" s="31" t="n"/>
      <c r="E405" s="31" t="n"/>
      <c r="F405" s="31" t="n"/>
      <c r="G405" s="31" t="n"/>
      <c r="H405" s="31" t="n"/>
      <c r="I405" s="31" t="n"/>
      <c r="J405" s="31" t="n"/>
      <c r="K405" s="31" t="n"/>
      <c r="L405" s="31" t="n"/>
      <c r="M405" s="31" t="n"/>
      <c r="N405" s="31" t="n"/>
      <c r="O405" s="32">
        <f>IF($B405="","",COUNTIF(G405:N405,"Accepted")+COUNTIF(G405:N405,"Received")+COUNTIF(G405:N405,"Needs Correction"))</f>
        <v/>
      </c>
      <c r="P405" s="32">
        <f>IF($B405="","",SUMPRODUCT(((G405:N405="Accepted")+(G405:N405="Not Needed"))*(Settings!$C$11:$J$11="Yes")))</f>
        <v/>
      </c>
      <c r="Q405" s="32">
        <f>IF($B405="","",SUMPRODUCT(((G405:N405="Accepted")+(G405:N405="Not Needed"))*(Settings!$C$15:$J$15="Yes")))</f>
        <v/>
      </c>
      <c r="R405" s="33">
        <f>IF($B405="","",IF($D405="No","No PTO/PTA",IF($D405&lt;&gt;"Yes","Not Yet Confirmed",IF($Q405&gt;=Settings!$C$13,"Legalized",IF($P405&gt;=Settings!$C$12,"Registered",IF($O405&gt;0,"In Progress","Not Started"))))))</f>
        <v/>
      </c>
      <c r="S405" s="32">
        <f>IF($B405="","",COUNTIF(G405:N405,"Received"))</f>
        <v/>
      </c>
      <c r="T405" s="32">
        <f>IF($B405="","",COUNTIF(G405:N405,"Needs Correction"))</f>
        <v/>
      </c>
      <c r="U405" s="33">
        <f>IF($B405="","",IF($D405&lt;&gt;"Yes","",IF($Q405&gt;=Settings!$C$13,"None",MID(IF(AND(G405&lt;&gt;"Accepted",G405&lt;&gt;"Not Needed",Settings!$C$15="Yes"),", "&amp;G$1,"")&amp;IF(AND(H405&lt;&gt;"Accepted",H405&lt;&gt;"Not Needed",Settings!$D$15="Yes"),", "&amp;H$1,"")&amp;IF(AND(I405&lt;&gt;"Accepted",I405&lt;&gt;"Not Needed",Settings!$E$15="Yes"),", "&amp;I$1,"")&amp;IF(AND(J405&lt;&gt;"Accepted",J405&lt;&gt;"Not Needed",Settings!$F$15="Yes"),", "&amp;J$1,"")&amp;IF(AND(K405&lt;&gt;"Accepted",K405&lt;&gt;"Not Needed",Settings!$G$15="Yes"),", "&amp;K$1,"")&amp;IF(AND(L405&lt;&gt;"Accepted",L405&lt;&gt;"Not Needed",Settings!$H$15="Yes"),", "&amp;L$1,"")&amp;IF(AND(M405&lt;&gt;"Accepted",M405&lt;&gt;"Not Needed",Settings!$I$15="Yes"),", "&amp;M$1,"")&amp;IF(AND(N405&lt;&gt;"Accepted",N405&lt;&gt;"Not Needed",Settings!$J$15="Yes"),", "&amp;N$1,""),3,400))))</f>
        <v/>
      </c>
    </row>
    <row r="406" ht="15" customHeight="1" s="21">
      <c r="A406" s="31" t="n"/>
      <c r="B406" s="31" t="n"/>
      <c r="C406" s="31" t="n"/>
      <c r="D406" s="31" t="n"/>
      <c r="E406" s="31" t="n"/>
      <c r="F406" s="31" t="n"/>
      <c r="G406" s="31" t="n"/>
      <c r="H406" s="31" t="n"/>
      <c r="I406" s="31" t="n"/>
      <c r="J406" s="31" t="n"/>
      <c r="K406" s="31" t="n"/>
      <c r="L406" s="31" t="n"/>
      <c r="M406" s="31" t="n"/>
      <c r="N406" s="31" t="n"/>
      <c r="O406" s="32">
        <f>IF($B406="","",COUNTIF(G406:N406,"Accepted")+COUNTIF(G406:N406,"Received")+COUNTIF(G406:N406,"Needs Correction"))</f>
        <v/>
      </c>
      <c r="P406" s="32">
        <f>IF($B406="","",SUMPRODUCT(((G406:N406="Accepted")+(G406:N406="Not Needed"))*(Settings!$C$11:$J$11="Yes")))</f>
        <v/>
      </c>
      <c r="Q406" s="32">
        <f>IF($B406="","",SUMPRODUCT(((G406:N406="Accepted")+(G406:N406="Not Needed"))*(Settings!$C$15:$J$15="Yes")))</f>
        <v/>
      </c>
      <c r="R406" s="33">
        <f>IF($B406="","",IF($D406="No","No PTO/PTA",IF($D406&lt;&gt;"Yes","Not Yet Confirmed",IF($Q406&gt;=Settings!$C$13,"Legalized",IF($P406&gt;=Settings!$C$12,"Registered",IF($O406&gt;0,"In Progress","Not Started"))))))</f>
        <v/>
      </c>
      <c r="S406" s="32">
        <f>IF($B406="","",COUNTIF(G406:N406,"Received"))</f>
        <v/>
      </c>
      <c r="T406" s="32">
        <f>IF($B406="","",COUNTIF(G406:N406,"Needs Correction"))</f>
        <v/>
      </c>
      <c r="U406" s="33">
        <f>IF($B406="","",IF($D406&lt;&gt;"Yes","",IF($Q406&gt;=Settings!$C$13,"None",MID(IF(AND(G406&lt;&gt;"Accepted",G406&lt;&gt;"Not Needed",Settings!$C$15="Yes"),", "&amp;G$1,"")&amp;IF(AND(H406&lt;&gt;"Accepted",H406&lt;&gt;"Not Needed",Settings!$D$15="Yes"),", "&amp;H$1,"")&amp;IF(AND(I406&lt;&gt;"Accepted",I406&lt;&gt;"Not Needed",Settings!$E$15="Yes"),", "&amp;I$1,"")&amp;IF(AND(J406&lt;&gt;"Accepted",J406&lt;&gt;"Not Needed",Settings!$F$15="Yes"),", "&amp;J$1,"")&amp;IF(AND(K406&lt;&gt;"Accepted",K406&lt;&gt;"Not Needed",Settings!$G$15="Yes"),", "&amp;K$1,"")&amp;IF(AND(L406&lt;&gt;"Accepted",L406&lt;&gt;"Not Needed",Settings!$H$15="Yes"),", "&amp;L$1,"")&amp;IF(AND(M406&lt;&gt;"Accepted",M406&lt;&gt;"Not Needed",Settings!$I$15="Yes"),", "&amp;M$1,"")&amp;IF(AND(N406&lt;&gt;"Accepted",N406&lt;&gt;"Not Needed",Settings!$J$15="Yes"),", "&amp;N$1,""),3,400))))</f>
        <v/>
      </c>
    </row>
    <row r="407" ht="15" customHeight="1" s="21">
      <c r="A407" s="31" t="n"/>
      <c r="B407" s="31" t="n"/>
      <c r="C407" s="31" t="n"/>
      <c r="D407" s="31" t="n"/>
      <c r="E407" s="31" t="n"/>
      <c r="F407" s="31" t="n"/>
      <c r="G407" s="31" t="n"/>
      <c r="H407" s="31" t="n"/>
      <c r="I407" s="31" t="n"/>
      <c r="J407" s="31" t="n"/>
      <c r="K407" s="31" t="n"/>
      <c r="L407" s="31" t="n"/>
      <c r="M407" s="31" t="n"/>
      <c r="N407" s="31" t="n"/>
      <c r="O407" s="32">
        <f>IF($B407="","",COUNTIF(G407:N407,"Accepted")+COUNTIF(G407:N407,"Received")+COUNTIF(G407:N407,"Needs Correction"))</f>
        <v/>
      </c>
      <c r="P407" s="32">
        <f>IF($B407="","",SUMPRODUCT(((G407:N407="Accepted")+(G407:N407="Not Needed"))*(Settings!$C$11:$J$11="Yes")))</f>
        <v/>
      </c>
      <c r="Q407" s="32">
        <f>IF($B407="","",SUMPRODUCT(((G407:N407="Accepted")+(G407:N407="Not Needed"))*(Settings!$C$15:$J$15="Yes")))</f>
        <v/>
      </c>
      <c r="R407" s="33">
        <f>IF($B407="","",IF($D407="No","No PTO/PTA",IF($D407&lt;&gt;"Yes","Not Yet Confirmed",IF($Q407&gt;=Settings!$C$13,"Legalized",IF($P407&gt;=Settings!$C$12,"Registered",IF($O407&gt;0,"In Progress","Not Started"))))))</f>
        <v/>
      </c>
      <c r="S407" s="32">
        <f>IF($B407="","",COUNTIF(G407:N407,"Received"))</f>
        <v/>
      </c>
      <c r="T407" s="32">
        <f>IF($B407="","",COUNTIF(G407:N407,"Needs Correction"))</f>
        <v/>
      </c>
      <c r="U407" s="33">
        <f>IF($B407="","",IF($D407&lt;&gt;"Yes","",IF($Q407&gt;=Settings!$C$13,"None",MID(IF(AND(G407&lt;&gt;"Accepted",G407&lt;&gt;"Not Needed",Settings!$C$15="Yes"),", "&amp;G$1,"")&amp;IF(AND(H407&lt;&gt;"Accepted",H407&lt;&gt;"Not Needed",Settings!$D$15="Yes"),", "&amp;H$1,"")&amp;IF(AND(I407&lt;&gt;"Accepted",I407&lt;&gt;"Not Needed",Settings!$E$15="Yes"),", "&amp;I$1,"")&amp;IF(AND(J407&lt;&gt;"Accepted",J407&lt;&gt;"Not Needed",Settings!$F$15="Yes"),", "&amp;J$1,"")&amp;IF(AND(K407&lt;&gt;"Accepted",K407&lt;&gt;"Not Needed",Settings!$G$15="Yes"),", "&amp;K$1,"")&amp;IF(AND(L407&lt;&gt;"Accepted",L407&lt;&gt;"Not Needed",Settings!$H$15="Yes"),", "&amp;L$1,"")&amp;IF(AND(M407&lt;&gt;"Accepted",M407&lt;&gt;"Not Needed",Settings!$I$15="Yes"),", "&amp;M$1,"")&amp;IF(AND(N407&lt;&gt;"Accepted",N407&lt;&gt;"Not Needed",Settings!$J$15="Yes"),", "&amp;N$1,""),3,400))))</f>
        <v/>
      </c>
    </row>
    <row r="408" ht="15" customHeight="1" s="21">
      <c r="A408" s="31" t="n"/>
      <c r="B408" s="31" t="n"/>
      <c r="C408" s="31" t="n"/>
      <c r="D408" s="31" t="n"/>
      <c r="E408" s="31" t="n"/>
      <c r="F408" s="31" t="n"/>
      <c r="G408" s="31" t="n"/>
      <c r="H408" s="31" t="n"/>
      <c r="I408" s="31" t="n"/>
      <c r="J408" s="31" t="n"/>
      <c r="K408" s="31" t="n"/>
      <c r="L408" s="31" t="n"/>
      <c r="M408" s="31" t="n"/>
      <c r="N408" s="31" t="n"/>
      <c r="O408" s="32">
        <f>IF($B408="","",COUNTIF(G408:N408,"Accepted")+COUNTIF(G408:N408,"Received")+COUNTIF(G408:N408,"Needs Correction"))</f>
        <v/>
      </c>
      <c r="P408" s="32">
        <f>IF($B408="","",SUMPRODUCT(((G408:N408="Accepted")+(G408:N408="Not Needed"))*(Settings!$C$11:$J$11="Yes")))</f>
        <v/>
      </c>
      <c r="Q408" s="32">
        <f>IF($B408="","",SUMPRODUCT(((G408:N408="Accepted")+(G408:N408="Not Needed"))*(Settings!$C$15:$J$15="Yes")))</f>
        <v/>
      </c>
      <c r="R408" s="33">
        <f>IF($B408="","",IF($D408="No","No PTO/PTA",IF($D408&lt;&gt;"Yes","Not Yet Confirmed",IF($Q408&gt;=Settings!$C$13,"Legalized",IF($P408&gt;=Settings!$C$12,"Registered",IF($O408&gt;0,"In Progress","Not Started"))))))</f>
        <v/>
      </c>
      <c r="S408" s="32">
        <f>IF($B408="","",COUNTIF(G408:N408,"Received"))</f>
        <v/>
      </c>
      <c r="T408" s="32">
        <f>IF($B408="","",COUNTIF(G408:N408,"Needs Correction"))</f>
        <v/>
      </c>
      <c r="U408" s="33">
        <f>IF($B408="","",IF($D408&lt;&gt;"Yes","",IF($Q408&gt;=Settings!$C$13,"None",MID(IF(AND(G408&lt;&gt;"Accepted",G408&lt;&gt;"Not Needed",Settings!$C$15="Yes"),", "&amp;G$1,"")&amp;IF(AND(H408&lt;&gt;"Accepted",H408&lt;&gt;"Not Needed",Settings!$D$15="Yes"),", "&amp;H$1,"")&amp;IF(AND(I408&lt;&gt;"Accepted",I408&lt;&gt;"Not Needed",Settings!$E$15="Yes"),", "&amp;I$1,"")&amp;IF(AND(J408&lt;&gt;"Accepted",J408&lt;&gt;"Not Needed",Settings!$F$15="Yes"),", "&amp;J$1,"")&amp;IF(AND(K408&lt;&gt;"Accepted",K408&lt;&gt;"Not Needed",Settings!$G$15="Yes"),", "&amp;K$1,"")&amp;IF(AND(L408&lt;&gt;"Accepted",L408&lt;&gt;"Not Needed",Settings!$H$15="Yes"),", "&amp;L$1,"")&amp;IF(AND(M408&lt;&gt;"Accepted",M408&lt;&gt;"Not Needed",Settings!$I$15="Yes"),", "&amp;M$1,"")&amp;IF(AND(N408&lt;&gt;"Accepted",N408&lt;&gt;"Not Needed",Settings!$J$15="Yes"),", "&amp;N$1,""),3,400))))</f>
        <v/>
      </c>
    </row>
    <row r="409" ht="15" customHeight="1" s="21">
      <c r="A409" s="31" t="n"/>
      <c r="B409" s="31" t="n"/>
      <c r="C409" s="31" t="n"/>
      <c r="D409" s="31" t="n"/>
      <c r="E409" s="31" t="n"/>
      <c r="F409" s="31" t="n"/>
      <c r="G409" s="31" t="n"/>
      <c r="H409" s="31" t="n"/>
      <c r="I409" s="31" t="n"/>
      <c r="J409" s="31" t="n"/>
      <c r="K409" s="31" t="n"/>
      <c r="L409" s="31" t="n"/>
      <c r="M409" s="31" t="n"/>
      <c r="N409" s="31" t="n"/>
      <c r="O409" s="32">
        <f>IF($B409="","",COUNTIF(G409:N409,"Accepted")+COUNTIF(G409:N409,"Received")+COUNTIF(G409:N409,"Needs Correction"))</f>
        <v/>
      </c>
      <c r="P409" s="32">
        <f>IF($B409="","",SUMPRODUCT(((G409:N409="Accepted")+(G409:N409="Not Needed"))*(Settings!$C$11:$J$11="Yes")))</f>
        <v/>
      </c>
      <c r="Q409" s="32">
        <f>IF($B409="","",SUMPRODUCT(((G409:N409="Accepted")+(G409:N409="Not Needed"))*(Settings!$C$15:$J$15="Yes")))</f>
        <v/>
      </c>
      <c r="R409" s="33">
        <f>IF($B409="","",IF($D409="No","No PTO/PTA",IF($D409&lt;&gt;"Yes","Not Yet Confirmed",IF($Q409&gt;=Settings!$C$13,"Legalized",IF($P409&gt;=Settings!$C$12,"Registered",IF($O409&gt;0,"In Progress","Not Started"))))))</f>
        <v/>
      </c>
      <c r="S409" s="32">
        <f>IF($B409="","",COUNTIF(G409:N409,"Received"))</f>
        <v/>
      </c>
      <c r="T409" s="32">
        <f>IF($B409="","",COUNTIF(G409:N409,"Needs Correction"))</f>
        <v/>
      </c>
      <c r="U409" s="33">
        <f>IF($B409="","",IF($D409&lt;&gt;"Yes","",IF($Q409&gt;=Settings!$C$13,"None",MID(IF(AND(G409&lt;&gt;"Accepted",G409&lt;&gt;"Not Needed",Settings!$C$15="Yes"),", "&amp;G$1,"")&amp;IF(AND(H409&lt;&gt;"Accepted",H409&lt;&gt;"Not Needed",Settings!$D$15="Yes"),", "&amp;H$1,"")&amp;IF(AND(I409&lt;&gt;"Accepted",I409&lt;&gt;"Not Needed",Settings!$E$15="Yes"),", "&amp;I$1,"")&amp;IF(AND(J409&lt;&gt;"Accepted",J409&lt;&gt;"Not Needed",Settings!$F$15="Yes"),", "&amp;J$1,"")&amp;IF(AND(K409&lt;&gt;"Accepted",K409&lt;&gt;"Not Needed",Settings!$G$15="Yes"),", "&amp;K$1,"")&amp;IF(AND(L409&lt;&gt;"Accepted",L409&lt;&gt;"Not Needed",Settings!$H$15="Yes"),", "&amp;L$1,"")&amp;IF(AND(M409&lt;&gt;"Accepted",M409&lt;&gt;"Not Needed",Settings!$I$15="Yes"),", "&amp;M$1,"")&amp;IF(AND(N409&lt;&gt;"Accepted",N409&lt;&gt;"Not Needed",Settings!$J$15="Yes"),", "&amp;N$1,""),3,400))))</f>
        <v/>
      </c>
    </row>
    <row r="410" ht="15" customHeight="1" s="21">
      <c r="A410" s="31" t="n"/>
      <c r="B410" s="31" t="n"/>
      <c r="C410" s="31" t="n"/>
      <c r="D410" s="31" t="n"/>
      <c r="E410" s="31" t="n"/>
      <c r="F410" s="31" t="n"/>
      <c r="G410" s="31" t="n"/>
      <c r="H410" s="31" t="n"/>
      <c r="I410" s="31" t="n"/>
      <c r="J410" s="31" t="n"/>
      <c r="K410" s="31" t="n"/>
      <c r="L410" s="31" t="n"/>
      <c r="M410" s="31" t="n"/>
      <c r="N410" s="31" t="n"/>
      <c r="O410" s="32">
        <f>IF($B410="","",COUNTIF(G410:N410,"Accepted")+COUNTIF(G410:N410,"Received")+COUNTIF(G410:N410,"Needs Correction"))</f>
        <v/>
      </c>
      <c r="P410" s="32">
        <f>IF($B410="","",SUMPRODUCT(((G410:N410="Accepted")+(G410:N410="Not Needed"))*(Settings!$C$11:$J$11="Yes")))</f>
        <v/>
      </c>
      <c r="Q410" s="32">
        <f>IF($B410="","",SUMPRODUCT(((G410:N410="Accepted")+(G410:N410="Not Needed"))*(Settings!$C$15:$J$15="Yes")))</f>
        <v/>
      </c>
      <c r="R410" s="33">
        <f>IF($B410="","",IF($D410="No","No PTO/PTA",IF($D410&lt;&gt;"Yes","Not Yet Confirmed",IF($Q410&gt;=Settings!$C$13,"Legalized",IF($P410&gt;=Settings!$C$12,"Registered",IF($O410&gt;0,"In Progress","Not Started"))))))</f>
        <v/>
      </c>
      <c r="S410" s="32">
        <f>IF($B410="","",COUNTIF(G410:N410,"Received"))</f>
        <v/>
      </c>
      <c r="T410" s="32">
        <f>IF($B410="","",COUNTIF(G410:N410,"Needs Correction"))</f>
        <v/>
      </c>
      <c r="U410" s="33">
        <f>IF($B410="","",IF($D410&lt;&gt;"Yes","",IF($Q410&gt;=Settings!$C$13,"None",MID(IF(AND(G410&lt;&gt;"Accepted",G410&lt;&gt;"Not Needed",Settings!$C$15="Yes"),", "&amp;G$1,"")&amp;IF(AND(H410&lt;&gt;"Accepted",H410&lt;&gt;"Not Needed",Settings!$D$15="Yes"),", "&amp;H$1,"")&amp;IF(AND(I410&lt;&gt;"Accepted",I410&lt;&gt;"Not Needed",Settings!$E$15="Yes"),", "&amp;I$1,"")&amp;IF(AND(J410&lt;&gt;"Accepted",J410&lt;&gt;"Not Needed",Settings!$F$15="Yes"),", "&amp;J$1,"")&amp;IF(AND(K410&lt;&gt;"Accepted",K410&lt;&gt;"Not Needed",Settings!$G$15="Yes"),", "&amp;K$1,"")&amp;IF(AND(L410&lt;&gt;"Accepted",L410&lt;&gt;"Not Needed",Settings!$H$15="Yes"),", "&amp;L$1,"")&amp;IF(AND(M410&lt;&gt;"Accepted",M410&lt;&gt;"Not Needed",Settings!$I$15="Yes"),", "&amp;M$1,"")&amp;IF(AND(N410&lt;&gt;"Accepted",N410&lt;&gt;"Not Needed",Settings!$J$15="Yes"),", "&amp;N$1,""),3,400))))</f>
        <v/>
      </c>
    </row>
    <row r="411" ht="15" customHeight="1" s="21">
      <c r="A411" s="31" t="n"/>
      <c r="B411" s="31" t="n"/>
      <c r="C411" s="31" t="n"/>
      <c r="D411" s="31" t="n"/>
      <c r="E411" s="31" t="n"/>
      <c r="F411" s="31" t="n"/>
      <c r="G411" s="31" t="n"/>
      <c r="H411" s="31" t="n"/>
      <c r="I411" s="31" t="n"/>
      <c r="J411" s="31" t="n"/>
      <c r="K411" s="31" t="n"/>
      <c r="L411" s="31" t="n"/>
      <c r="M411" s="31" t="n"/>
      <c r="N411" s="31" t="n"/>
      <c r="O411" s="32">
        <f>IF($B411="","",COUNTIF(G411:N411,"Accepted")+COUNTIF(G411:N411,"Received")+COUNTIF(G411:N411,"Needs Correction"))</f>
        <v/>
      </c>
      <c r="P411" s="32">
        <f>IF($B411="","",SUMPRODUCT(((G411:N411="Accepted")+(G411:N411="Not Needed"))*(Settings!$C$11:$J$11="Yes")))</f>
        <v/>
      </c>
      <c r="Q411" s="32">
        <f>IF($B411="","",SUMPRODUCT(((G411:N411="Accepted")+(G411:N411="Not Needed"))*(Settings!$C$15:$J$15="Yes")))</f>
        <v/>
      </c>
      <c r="R411" s="33">
        <f>IF($B411="","",IF($D411="No","No PTO/PTA",IF($D411&lt;&gt;"Yes","Not Yet Confirmed",IF($Q411&gt;=Settings!$C$13,"Legalized",IF($P411&gt;=Settings!$C$12,"Registered",IF($O411&gt;0,"In Progress","Not Started"))))))</f>
        <v/>
      </c>
      <c r="S411" s="32">
        <f>IF($B411="","",COUNTIF(G411:N411,"Received"))</f>
        <v/>
      </c>
      <c r="T411" s="32">
        <f>IF($B411="","",COUNTIF(G411:N411,"Needs Correction"))</f>
        <v/>
      </c>
      <c r="U411" s="33">
        <f>IF($B411="","",IF($D411&lt;&gt;"Yes","",IF($Q411&gt;=Settings!$C$13,"None",MID(IF(AND(G411&lt;&gt;"Accepted",G411&lt;&gt;"Not Needed",Settings!$C$15="Yes"),", "&amp;G$1,"")&amp;IF(AND(H411&lt;&gt;"Accepted",H411&lt;&gt;"Not Needed",Settings!$D$15="Yes"),", "&amp;H$1,"")&amp;IF(AND(I411&lt;&gt;"Accepted",I411&lt;&gt;"Not Needed",Settings!$E$15="Yes"),", "&amp;I$1,"")&amp;IF(AND(J411&lt;&gt;"Accepted",J411&lt;&gt;"Not Needed",Settings!$F$15="Yes"),", "&amp;J$1,"")&amp;IF(AND(K411&lt;&gt;"Accepted",K411&lt;&gt;"Not Needed",Settings!$G$15="Yes"),", "&amp;K$1,"")&amp;IF(AND(L411&lt;&gt;"Accepted",L411&lt;&gt;"Not Needed",Settings!$H$15="Yes"),", "&amp;L$1,"")&amp;IF(AND(M411&lt;&gt;"Accepted",M411&lt;&gt;"Not Needed",Settings!$I$15="Yes"),", "&amp;M$1,"")&amp;IF(AND(N411&lt;&gt;"Accepted",N411&lt;&gt;"Not Needed",Settings!$J$15="Yes"),", "&amp;N$1,""),3,400))))</f>
        <v/>
      </c>
    </row>
    <row r="412" ht="15" customHeight="1" s="21">
      <c r="A412" s="31" t="n"/>
      <c r="B412" s="31" t="n"/>
      <c r="C412" s="31" t="n"/>
      <c r="D412" s="31" t="n"/>
      <c r="E412" s="31" t="n"/>
      <c r="F412" s="31" t="n"/>
      <c r="G412" s="31" t="n"/>
      <c r="H412" s="31" t="n"/>
      <c r="I412" s="31" t="n"/>
      <c r="J412" s="31" t="n"/>
      <c r="K412" s="31" t="n"/>
      <c r="L412" s="31" t="n"/>
      <c r="M412" s="31" t="n"/>
      <c r="N412" s="31" t="n"/>
      <c r="O412" s="32">
        <f>IF($B412="","",COUNTIF(G412:N412,"Accepted")+COUNTIF(G412:N412,"Received")+COUNTIF(G412:N412,"Needs Correction"))</f>
        <v/>
      </c>
      <c r="P412" s="32">
        <f>IF($B412="","",SUMPRODUCT(((G412:N412="Accepted")+(G412:N412="Not Needed"))*(Settings!$C$11:$J$11="Yes")))</f>
        <v/>
      </c>
      <c r="Q412" s="32">
        <f>IF($B412="","",SUMPRODUCT(((G412:N412="Accepted")+(G412:N412="Not Needed"))*(Settings!$C$15:$J$15="Yes")))</f>
        <v/>
      </c>
      <c r="R412" s="33">
        <f>IF($B412="","",IF($D412="No","No PTO/PTA",IF($D412&lt;&gt;"Yes","Not Yet Confirmed",IF($Q412&gt;=Settings!$C$13,"Legalized",IF($P412&gt;=Settings!$C$12,"Registered",IF($O412&gt;0,"In Progress","Not Started"))))))</f>
        <v/>
      </c>
      <c r="S412" s="32">
        <f>IF($B412="","",COUNTIF(G412:N412,"Received"))</f>
        <v/>
      </c>
      <c r="T412" s="32">
        <f>IF($B412="","",COUNTIF(G412:N412,"Needs Correction"))</f>
        <v/>
      </c>
      <c r="U412" s="33">
        <f>IF($B412="","",IF($D412&lt;&gt;"Yes","",IF($Q412&gt;=Settings!$C$13,"None",MID(IF(AND(G412&lt;&gt;"Accepted",G412&lt;&gt;"Not Needed",Settings!$C$15="Yes"),", "&amp;G$1,"")&amp;IF(AND(H412&lt;&gt;"Accepted",H412&lt;&gt;"Not Needed",Settings!$D$15="Yes"),", "&amp;H$1,"")&amp;IF(AND(I412&lt;&gt;"Accepted",I412&lt;&gt;"Not Needed",Settings!$E$15="Yes"),", "&amp;I$1,"")&amp;IF(AND(J412&lt;&gt;"Accepted",J412&lt;&gt;"Not Needed",Settings!$F$15="Yes"),", "&amp;J$1,"")&amp;IF(AND(K412&lt;&gt;"Accepted",K412&lt;&gt;"Not Needed",Settings!$G$15="Yes"),", "&amp;K$1,"")&amp;IF(AND(L412&lt;&gt;"Accepted",L412&lt;&gt;"Not Needed",Settings!$H$15="Yes"),", "&amp;L$1,"")&amp;IF(AND(M412&lt;&gt;"Accepted",M412&lt;&gt;"Not Needed",Settings!$I$15="Yes"),", "&amp;M$1,"")&amp;IF(AND(N412&lt;&gt;"Accepted",N412&lt;&gt;"Not Needed",Settings!$J$15="Yes"),", "&amp;N$1,""),3,400))))</f>
        <v/>
      </c>
    </row>
    <row r="413" ht="15" customHeight="1" s="21">
      <c r="A413" s="31" t="n"/>
      <c r="B413" s="31" t="n"/>
      <c r="C413" s="31" t="n"/>
      <c r="D413" s="31" t="n"/>
      <c r="E413" s="31" t="n"/>
      <c r="F413" s="31" t="n"/>
      <c r="G413" s="31" t="n"/>
      <c r="H413" s="31" t="n"/>
      <c r="I413" s="31" t="n"/>
      <c r="J413" s="31" t="n"/>
      <c r="K413" s="31" t="n"/>
      <c r="L413" s="31" t="n"/>
      <c r="M413" s="31" t="n"/>
      <c r="N413" s="31" t="n"/>
      <c r="O413" s="32">
        <f>IF($B413="","",COUNTIF(G413:N413,"Accepted")+COUNTIF(G413:N413,"Received")+COUNTIF(G413:N413,"Needs Correction"))</f>
        <v/>
      </c>
      <c r="P413" s="32">
        <f>IF($B413="","",SUMPRODUCT(((G413:N413="Accepted")+(G413:N413="Not Needed"))*(Settings!$C$11:$J$11="Yes")))</f>
        <v/>
      </c>
      <c r="Q413" s="32">
        <f>IF($B413="","",SUMPRODUCT(((G413:N413="Accepted")+(G413:N413="Not Needed"))*(Settings!$C$15:$J$15="Yes")))</f>
        <v/>
      </c>
      <c r="R413" s="33">
        <f>IF($B413="","",IF($D413="No","No PTO/PTA",IF($D413&lt;&gt;"Yes","Not Yet Confirmed",IF($Q413&gt;=Settings!$C$13,"Legalized",IF($P413&gt;=Settings!$C$12,"Registered",IF($O413&gt;0,"In Progress","Not Started"))))))</f>
        <v/>
      </c>
      <c r="S413" s="32">
        <f>IF($B413="","",COUNTIF(G413:N413,"Received"))</f>
        <v/>
      </c>
      <c r="T413" s="32">
        <f>IF($B413="","",COUNTIF(G413:N413,"Needs Correction"))</f>
        <v/>
      </c>
      <c r="U413" s="33">
        <f>IF($B413="","",IF($D413&lt;&gt;"Yes","",IF($Q413&gt;=Settings!$C$13,"None",MID(IF(AND(G413&lt;&gt;"Accepted",G413&lt;&gt;"Not Needed",Settings!$C$15="Yes"),", "&amp;G$1,"")&amp;IF(AND(H413&lt;&gt;"Accepted",H413&lt;&gt;"Not Needed",Settings!$D$15="Yes"),", "&amp;H$1,"")&amp;IF(AND(I413&lt;&gt;"Accepted",I413&lt;&gt;"Not Needed",Settings!$E$15="Yes"),", "&amp;I$1,"")&amp;IF(AND(J413&lt;&gt;"Accepted",J413&lt;&gt;"Not Needed",Settings!$F$15="Yes"),", "&amp;J$1,"")&amp;IF(AND(K413&lt;&gt;"Accepted",K413&lt;&gt;"Not Needed",Settings!$G$15="Yes"),", "&amp;K$1,"")&amp;IF(AND(L413&lt;&gt;"Accepted",L413&lt;&gt;"Not Needed",Settings!$H$15="Yes"),", "&amp;L$1,"")&amp;IF(AND(M413&lt;&gt;"Accepted",M413&lt;&gt;"Not Needed",Settings!$I$15="Yes"),", "&amp;M$1,"")&amp;IF(AND(N413&lt;&gt;"Accepted",N413&lt;&gt;"Not Needed",Settings!$J$15="Yes"),", "&amp;N$1,""),3,400))))</f>
        <v/>
      </c>
    </row>
    <row r="414" ht="15" customHeight="1" s="21">
      <c r="A414" s="31" t="n"/>
      <c r="B414" s="31" t="n"/>
      <c r="C414" s="31" t="n"/>
      <c r="D414" s="31" t="n"/>
      <c r="E414" s="31" t="n"/>
      <c r="F414" s="31" t="n"/>
      <c r="G414" s="31" t="n"/>
      <c r="H414" s="31" t="n"/>
      <c r="I414" s="31" t="n"/>
      <c r="J414" s="31" t="n"/>
      <c r="K414" s="31" t="n"/>
      <c r="L414" s="31" t="n"/>
      <c r="M414" s="31" t="n"/>
      <c r="N414" s="31" t="n"/>
      <c r="O414" s="32">
        <f>IF($B414="","",COUNTIF(G414:N414,"Accepted")+COUNTIF(G414:N414,"Received")+COUNTIF(G414:N414,"Needs Correction"))</f>
        <v/>
      </c>
      <c r="P414" s="32">
        <f>IF($B414="","",SUMPRODUCT(((G414:N414="Accepted")+(G414:N414="Not Needed"))*(Settings!$C$11:$J$11="Yes")))</f>
        <v/>
      </c>
      <c r="Q414" s="32">
        <f>IF($B414="","",SUMPRODUCT(((G414:N414="Accepted")+(G414:N414="Not Needed"))*(Settings!$C$15:$J$15="Yes")))</f>
        <v/>
      </c>
      <c r="R414" s="33">
        <f>IF($B414="","",IF($D414="No","No PTO/PTA",IF($D414&lt;&gt;"Yes","Not Yet Confirmed",IF($Q414&gt;=Settings!$C$13,"Legalized",IF($P414&gt;=Settings!$C$12,"Registered",IF($O414&gt;0,"In Progress","Not Started"))))))</f>
        <v/>
      </c>
      <c r="S414" s="32">
        <f>IF($B414="","",COUNTIF(G414:N414,"Received"))</f>
        <v/>
      </c>
      <c r="T414" s="32">
        <f>IF($B414="","",COUNTIF(G414:N414,"Needs Correction"))</f>
        <v/>
      </c>
      <c r="U414" s="33">
        <f>IF($B414="","",IF($D414&lt;&gt;"Yes","",IF($Q414&gt;=Settings!$C$13,"None",MID(IF(AND(G414&lt;&gt;"Accepted",G414&lt;&gt;"Not Needed",Settings!$C$15="Yes"),", "&amp;G$1,"")&amp;IF(AND(H414&lt;&gt;"Accepted",H414&lt;&gt;"Not Needed",Settings!$D$15="Yes"),", "&amp;H$1,"")&amp;IF(AND(I414&lt;&gt;"Accepted",I414&lt;&gt;"Not Needed",Settings!$E$15="Yes"),", "&amp;I$1,"")&amp;IF(AND(J414&lt;&gt;"Accepted",J414&lt;&gt;"Not Needed",Settings!$F$15="Yes"),", "&amp;J$1,"")&amp;IF(AND(K414&lt;&gt;"Accepted",K414&lt;&gt;"Not Needed",Settings!$G$15="Yes"),", "&amp;K$1,"")&amp;IF(AND(L414&lt;&gt;"Accepted",L414&lt;&gt;"Not Needed",Settings!$H$15="Yes"),", "&amp;L$1,"")&amp;IF(AND(M414&lt;&gt;"Accepted",M414&lt;&gt;"Not Needed",Settings!$I$15="Yes"),", "&amp;M$1,"")&amp;IF(AND(N414&lt;&gt;"Accepted",N414&lt;&gt;"Not Needed",Settings!$J$15="Yes"),", "&amp;N$1,""),3,400))))</f>
        <v/>
      </c>
    </row>
    <row r="415" ht="15" customHeight="1" s="21">
      <c r="A415" s="31" t="n"/>
      <c r="B415" s="31" t="n"/>
      <c r="C415" s="31" t="n"/>
      <c r="D415" s="31" t="n"/>
      <c r="E415" s="31" t="n"/>
      <c r="F415" s="31" t="n"/>
      <c r="G415" s="31" t="n"/>
      <c r="H415" s="31" t="n"/>
      <c r="I415" s="31" t="n"/>
      <c r="J415" s="31" t="n"/>
      <c r="K415" s="31" t="n"/>
      <c r="L415" s="31" t="n"/>
      <c r="M415" s="31" t="n"/>
      <c r="N415" s="31" t="n"/>
      <c r="O415" s="32">
        <f>IF($B415="","",COUNTIF(G415:N415,"Accepted")+COUNTIF(G415:N415,"Received")+COUNTIF(G415:N415,"Needs Correction"))</f>
        <v/>
      </c>
      <c r="P415" s="32">
        <f>IF($B415="","",SUMPRODUCT(((G415:N415="Accepted")+(G415:N415="Not Needed"))*(Settings!$C$11:$J$11="Yes")))</f>
        <v/>
      </c>
      <c r="Q415" s="32">
        <f>IF($B415="","",SUMPRODUCT(((G415:N415="Accepted")+(G415:N415="Not Needed"))*(Settings!$C$15:$J$15="Yes")))</f>
        <v/>
      </c>
      <c r="R415" s="33">
        <f>IF($B415="","",IF($D415="No","No PTO/PTA",IF($D415&lt;&gt;"Yes","Not Yet Confirmed",IF($Q415&gt;=Settings!$C$13,"Legalized",IF($P415&gt;=Settings!$C$12,"Registered",IF($O415&gt;0,"In Progress","Not Started"))))))</f>
        <v/>
      </c>
      <c r="S415" s="32">
        <f>IF($B415="","",COUNTIF(G415:N415,"Received"))</f>
        <v/>
      </c>
      <c r="T415" s="32">
        <f>IF($B415="","",COUNTIF(G415:N415,"Needs Correction"))</f>
        <v/>
      </c>
      <c r="U415" s="33">
        <f>IF($B415="","",IF($D415&lt;&gt;"Yes","",IF($Q415&gt;=Settings!$C$13,"None",MID(IF(AND(G415&lt;&gt;"Accepted",G415&lt;&gt;"Not Needed",Settings!$C$15="Yes"),", "&amp;G$1,"")&amp;IF(AND(H415&lt;&gt;"Accepted",H415&lt;&gt;"Not Needed",Settings!$D$15="Yes"),", "&amp;H$1,"")&amp;IF(AND(I415&lt;&gt;"Accepted",I415&lt;&gt;"Not Needed",Settings!$E$15="Yes"),", "&amp;I$1,"")&amp;IF(AND(J415&lt;&gt;"Accepted",J415&lt;&gt;"Not Needed",Settings!$F$15="Yes"),", "&amp;J$1,"")&amp;IF(AND(K415&lt;&gt;"Accepted",K415&lt;&gt;"Not Needed",Settings!$G$15="Yes"),", "&amp;K$1,"")&amp;IF(AND(L415&lt;&gt;"Accepted",L415&lt;&gt;"Not Needed",Settings!$H$15="Yes"),", "&amp;L$1,"")&amp;IF(AND(M415&lt;&gt;"Accepted",M415&lt;&gt;"Not Needed",Settings!$I$15="Yes"),", "&amp;M$1,"")&amp;IF(AND(N415&lt;&gt;"Accepted",N415&lt;&gt;"Not Needed",Settings!$J$15="Yes"),", "&amp;N$1,""),3,400))))</f>
        <v/>
      </c>
    </row>
    <row r="416" ht="15" customHeight="1" s="21">
      <c r="A416" s="31" t="n"/>
      <c r="B416" s="31" t="n"/>
      <c r="C416" s="31" t="n"/>
      <c r="D416" s="31" t="n"/>
      <c r="E416" s="31" t="n"/>
      <c r="F416" s="31" t="n"/>
      <c r="G416" s="31" t="n"/>
      <c r="H416" s="31" t="n"/>
      <c r="I416" s="31" t="n"/>
      <c r="J416" s="31" t="n"/>
      <c r="K416" s="31" t="n"/>
      <c r="L416" s="31" t="n"/>
      <c r="M416" s="31" t="n"/>
      <c r="N416" s="31" t="n"/>
      <c r="O416" s="32">
        <f>IF($B416="","",COUNTIF(G416:N416,"Accepted")+COUNTIF(G416:N416,"Received")+COUNTIF(G416:N416,"Needs Correction"))</f>
        <v/>
      </c>
      <c r="P416" s="32">
        <f>IF($B416="","",SUMPRODUCT(((G416:N416="Accepted")+(G416:N416="Not Needed"))*(Settings!$C$11:$J$11="Yes")))</f>
        <v/>
      </c>
      <c r="Q416" s="32">
        <f>IF($B416="","",SUMPRODUCT(((G416:N416="Accepted")+(G416:N416="Not Needed"))*(Settings!$C$15:$J$15="Yes")))</f>
        <v/>
      </c>
      <c r="R416" s="33">
        <f>IF($B416="","",IF($D416="No","No PTO/PTA",IF($D416&lt;&gt;"Yes","Not Yet Confirmed",IF($Q416&gt;=Settings!$C$13,"Legalized",IF($P416&gt;=Settings!$C$12,"Registered",IF($O416&gt;0,"In Progress","Not Started"))))))</f>
        <v/>
      </c>
      <c r="S416" s="32">
        <f>IF($B416="","",COUNTIF(G416:N416,"Received"))</f>
        <v/>
      </c>
      <c r="T416" s="32">
        <f>IF($B416="","",COUNTIF(G416:N416,"Needs Correction"))</f>
        <v/>
      </c>
      <c r="U416" s="33">
        <f>IF($B416="","",IF($D416&lt;&gt;"Yes","",IF($Q416&gt;=Settings!$C$13,"None",MID(IF(AND(G416&lt;&gt;"Accepted",G416&lt;&gt;"Not Needed",Settings!$C$15="Yes"),", "&amp;G$1,"")&amp;IF(AND(H416&lt;&gt;"Accepted",H416&lt;&gt;"Not Needed",Settings!$D$15="Yes"),", "&amp;H$1,"")&amp;IF(AND(I416&lt;&gt;"Accepted",I416&lt;&gt;"Not Needed",Settings!$E$15="Yes"),", "&amp;I$1,"")&amp;IF(AND(J416&lt;&gt;"Accepted",J416&lt;&gt;"Not Needed",Settings!$F$15="Yes"),", "&amp;J$1,"")&amp;IF(AND(K416&lt;&gt;"Accepted",K416&lt;&gt;"Not Needed",Settings!$G$15="Yes"),", "&amp;K$1,"")&amp;IF(AND(L416&lt;&gt;"Accepted",L416&lt;&gt;"Not Needed",Settings!$H$15="Yes"),", "&amp;L$1,"")&amp;IF(AND(M416&lt;&gt;"Accepted",M416&lt;&gt;"Not Needed",Settings!$I$15="Yes"),", "&amp;M$1,"")&amp;IF(AND(N416&lt;&gt;"Accepted",N416&lt;&gt;"Not Needed",Settings!$J$15="Yes"),", "&amp;N$1,""),3,400))))</f>
        <v/>
      </c>
    </row>
    <row r="417" ht="15" customHeight="1" s="21">
      <c r="A417" s="31" t="n"/>
      <c r="B417" s="31" t="n"/>
      <c r="C417" s="31" t="n"/>
      <c r="D417" s="31" t="n"/>
      <c r="E417" s="31" t="n"/>
      <c r="F417" s="31" t="n"/>
      <c r="G417" s="31" t="n"/>
      <c r="H417" s="31" t="n"/>
      <c r="I417" s="31" t="n"/>
      <c r="J417" s="31" t="n"/>
      <c r="K417" s="31" t="n"/>
      <c r="L417" s="31" t="n"/>
      <c r="M417" s="31" t="n"/>
      <c r="N417" s="31" t="n"/>
      <c r="O417" s="32">
        <f>IF($B417="","",COUNTIF(G417:N417,"Accepted")+COUNTIF(G417:N417,"Received")+COUNTIF(G417:N417,"Needs Correction"))</f>
        <v/>
      </c>
      <c r="P417" s="32">
        <f>IF($B417="","",SUMPRODUCT(((G417:N417="Accepted")+(G417:N417="Not Needed"))*(Settings!$C$11:$J$11="Yes")))</f>
        <v/>
      </c>
      <c r="Q417" s="32">
        <f>IF($B417="","",SUMPRODUCT(((G417:N417="Accepted")+(G417:N417="Not Needed"))*(Settings!$C$15:$J$15="Yes")))</f>
        <v/>
      </c>
      <c r="R417" s="33">
        <f>IF($B417="","",IF($D417="No","No PTO/PTA",IF($D417&lt;&gt;"Yes","Not Yet Confirmed",IF($Q417&gt;=Settings!$C$13,"Legalized",IF($P417&gt;=Settings!$C$12,"Registered",IF($O417&gt;0,"In Progress","Not Started"))))))</f>
        <v/>
      </c>
      <c r="S417" s="32">
        <f>IF($B417="","",COUNTIF(G417:N417,"Received"))</f>
        <v/>
      </c>
      <c r="T417" s="32">
        <f>IF($B417="","",COUNTIF(G417:N417,"Needs Correction"))</f>
        <v/>
      </c>
      <c r="U417" s="33">
        <f>IF($B417="","",IF($D417&lt;&gt;"Yes","",IF($Q417&gt;=Settings!$C$13,"None",MID(IF(AND(G417&lt;&gt;"Accepted",G417&lt;&gt;"Not Needed",Settings!$C$15="Yes"),", "&amp;G$1,"")&amp;IF(AND(H417&lt;&gt;"Accepted",H417&lt;&gt;"Not Needed",Settings!$D$15="Yes"),", "&amp;H$1,"")&amp;IF(AND(I417&lt;&gt;"Accepted",I417&lt;&gt;"Not Needed",Settings!$E$15="Yes"),", "&amp;I$1,"")&amp;IF(AND(J417&lt;&gt;"Accepted",J417&lt;&gt;"Not Needed",Settings!$F$15="Yes"),", "&amp;J$1,"")&amp;IF(AND(K417&lt;&gt;"Accepted",K417&lt;&gt;"Not Needed",Settings!$G$15="Yes"),", "&amp;K$1,"")&amp;IF(AND(L417&lt;&gt;"Accepted",L417&lt;&gt;"Not Needed",Settings!$H$15="Yes"),", "&amp;L$1,"")&amp;IF(AND(M417&lt;&gt;"Accepted",M417&lt;&gt;"Not Needed",Settings!$I$15="Yes"),", "&amp;M$1,"")&amp;IF(AND(N417&lt;&gt;"Accepted",N417&lt;&gt;"Not Needed",Settings!$J$15="Yes"),", "&amp;N$1,""),3,400))))</f>
        <v/>
      </c>
    </row>
    <row r="418" ht="15" customHeight="1" s="21">
      <c r="A418" s="31" t="n"/>
      <c r="B418" s="31" t="n"/>
      <c r="C418" s="31" t="n"/>
      <c r="D418" s="31" t="n"/>
      <c r="E418" s="31" t="n"/>
      <c r="F418" s="31" t="n"/>
      <c r="G418" s="31" t="n"/>
      <c r="H418" s="31" t="n"/>
      <c r="I418" s="31" t="n"/>
      <c r="J418" s="31" t="n"/>
      <c r="K418" s="31" t="n"/>
      <c r="L418" s="31" t="n"/>
      <c r="M418" s="31" t="n"/>
      <c r="N418" s="31" t="n"/>
      <c r="O418" s="32">
        <f>IF($B418="","",COUNTIF(G418:N418,"Accepted")+COUNTIF(G418:N418,"Received")+COUNTIF(G418:N418,"Needs Correction"))</f>
        <v/>
      </c>
      <c r="P418" s="32">
        <f>IF($B418="","",SUMPRODUCT(((G418:N418="Accepted")+(G418:N418="Not Needed"))*(Settings!$C$11:$J$11="Yes")))</f>
        <v/>
      </c>
      <c r="Q418" s="32">
        <f>IF($B418="","",SUMPRODUCT(((G418:N418="Accepted")+(G418:N418="Not Needed"))*(Settings!$C$15:$J$15="Yes")))</f>
        <v/>
      </c>
      <c r="R418" s="33">
        <f>IF($B418="","",IF($D418="No","No PTO/PTA",IF($D418&lt;&gt;"Yes","Not Yet Confirmed",IF($Q418&gt;=Settings!$C$13,"Legalized",IF($P418&gt;=Settings!$C$12,"Registered",IF($O418&gt;0,"In Progress","Not Started"))))))</f>
        <v/>
      </c>
      <c r="S418" s="32">
        <f>IF($B418="","",COUNTIF(G418:N418,"Received"))</f>
        <v/>
      </c>
      <c r="T418" s="32">
        <f>IF($B418="","",COUNTIF(G418:N418,"Needs Correction"))</f>
        <v/>
      </c>
      <c r="U418" s="33">
        <f>IF($B418="","",IF($D418&lt;&gt;"Yes","",IF($Q418&gt;=Settings!$C$13,"None",MID(IF(AND(G418&lt;&gt;"Accepted",G418&lt;&gt;"Not Needed",Settings!$C$15="Yes"),", "&amp;G$1,"")&amp;IF(AND(H418&lt;&gt;"Accepted",H418&lt;&gt;"Not Needed",Settings!$D$15="Yes"),", "&amp;H$1,"")&amp;IF(AND(I418&lt;&gt;"Accepted",I418&lt;&gt;"Not Needed",Settings!$E$15="Yes"),", "&amp;I$1,"")&amp;IF(AND(J418&lt;&gt;"Accepted",J418&lt;&gt;"Not Needed",Settings!$F$15="Yes"),", "&amp;J$1,"")&amp;IF(AND(K418&lt;&gt;"Accepted",K418&lt;&gt;"Not Needed",Settings!$G$15="Yes"),", "&amp;K$1,"")&amp;IF(AND(L418&lt;&gt;"Accepted",L418&lt;&gt;"Not Needed",Settings!$H$15="Yes"),", "&amp;L$1,"")&amp;IF(AND(M418&lt;&gt;"Accepted",M418&lt;&gt;"Not Needed",Settings!$I$15="Yes"),", "&amp;M$1,"")&amp;IF(AND(N418&lt;&gt;"Accepted",N418&lt;&gt;"Not Needed",Settings!$J$15="Yes"),", "&amp;N$1,""),3,400))))</f>
        <v/>
      </c>
    </row>
    <row r="419" ht="15" customHeight="1" s="21">
      <c r="A419" s="31" t="n"/>
      <c r="B419" s="31" t="n"/>
      <c r="C419" s="31" t="n"/>
      <c r="D419" s="31" t="n"/>
      <c r="E419" s="31" t="n"/>
      <c r="F419" s="31" t="n"/>
      <c r="G419" s="31" t="n"/>
      <c r="H419" s="31" t="n"/>
      <c r="I419" s="31" t="n"/>
      <c r="J419" s="31" t="n"/>
      <c r="K419" s="31" t="n"/>
      <c r="L419" s="31" t="n"/>
      <c r="M419" s="31" t="n"/>
      <c r="N419" s="31" t="n"/>
      <c r="O419" s="32">
        <f>IF($B419="","",COUNTIF(G419:N419,"Accepted")+COUNTIF(G419:N419,"Received")+COUNTIF(G419:N419,"Needs Correction"))</f>
        <v/>
      </c>
      <c r="P419" s="32">
        <f>IF($B419="","",SUMPRODUCT(((G419:N419="Accepted")+(G419:N419="Not Needed"))*(Settings!$C$11:$J$11="Yes")))</f>
        <v/>
      </c>
      <c r="Q419" s="32">
        <f>IF($B419="","",SUMPRODUCT(((G419:N419="Accepted")+(G419:N419="Not Needed"))*(Settings!$C$15:$J$15="Yes")))</f>
        <v/>
      </c>
      <c r="R419" s="33">
        <f>IF($B419="","",IF($D419="No","No PTO/PTA",IF($D419&lt;&gt;"Yes","Not Yet Confirmed",IF($Q419&gt;=Settings!$C$13,"Legalized",IF($P419&gt;=Settings!$C$12,"Registered",IF($O419&gt;0,"In Progress","Not Started"))))))</f>
        <v/>
      </c>
      <c r="S419" s="32">
        <f>IF($B419="","",COUNTIF(G419:N419,"Received"))</f>
        <v/>
      </c>
      <c r="T419" s="32">
        <f>IF($B419="","",COUNTIF(G419:N419,"Needs Correction"))</f>
        <v/>
      </c>
      <c r="U419" s="33">
        <f>IF($B419="","",IF($D419&lt;&gt;"Yes","",IF($Q419&gt;=Settings!$C$13,"None",MID(IF(AND(G419&lt;&gt;"Accepted",G419&lt;&gt;"Not Needed",Settings!$C$15="Yes"),", "&amp;G$1,"")&amp;IF(AND(H419&lt;&gt;"Accepted",H419&lt;&gt;"Not Needed",Settings!$D$15="Yes"),", "&amp;H$1,"")&amp;IF(AND(I419&lt;&gt;"Accepted",I419&lt;&gt;"Not Needed",Settings!$E$15="Yes"),", "&amp;I$1,"")&amp;IF(AND(J419&lt;&gt;"Accepted",J419&lt;&gt;"Not Needed",Settings!$F$15="Yes"),", "&amp;J$1,"")&amp;IF(AND(K419&lt;&gt;"Accepted",K419&lt;&gt;"Not Needed",Settings!$G$15="Yes"),", "&amp;K$1,"")&amp;IF(AND(L419&lt;&gt;"Accepted",L419&lt;&gt;"Not Needed",Settings!$H$15="Yes"),", "&amp;L$1,"")&amp;IF(AND(M419&lt;&gt;"Accepted",M419&lt;&gt;"Not Needed",Settings!$I$15="Yes"),", "&amp;M$1,"")&amp;IF(AND(N419&lt;&gt;"Accepted",N419&lt;&gt;"Not Needed",Settings!$J$15="Yes"),", "&amp;N$1,""),3,400))))</f>
        <v/>
      </c>
    </row>
    <row r="420" ht="15" customHeight="1" s="21">
      <c r="A420" s="31" t="n"/>
      <c r="B420" s="31" t="n"/>
      <c r="C420" s="31" t="n"/>
      <c r="D420" s="31" t="n"/>
      <c r="E420" s="31" t="n"/>
      <c r="F420" s="31" t="n"/>
      <c r="G420" s="31" t="n"/>
      <c r="H420" s="31" t="n"/>
      <c r="I420" s="31" t="n"/>
      <c r="J420" s="31" t="n"/>
      <c r="K420" s="31" t="n"/>
      <c r="L420" s="31" t="n"/>
      <c r="M420" s="31" t="n"/>
      <c r="N420" s="31" t="n"/>
      <c r="O420" s="32">
        <f>IF($B420="","",COUNTIF(G420:N420,"Accepted")+COUNTIF(G420:N420,"Received")+COUNTIF(G420:N420,"Needs Correction"))</f>
        <v/>
      </c>
      <c r="P420" s="32">
        <f>IF($B420="","",SUMPRODUCT(((G420:N420="Accepted")+(G420:N420="Not Needed"))*(Settings!$C$11:$J$11="Yes")))</f>
        <v/>
      </c>
      <c r="Q420" s="32">
        <f>IF($B420="","",SUMPRODUCT(((G420:N420="Accepted")+(G420:N420="Not Needed"))*(Settings!$C$15:$J$15="Yes")))</f>
        <v/>
      </c>
      <c r="R420" s="33">
        <f>IF($B420="","",IF($D420="No","No PTO/PTA",IF($D420&lt;&gt;"Yes","Not Yet Confirmed",IF($Q420&gt;=Settings!$C$13,"Legalized",IF($P420&gt;=Settings!$C$12,"Registered",IF($O420&gt;0,"In Progress","Not Started"))))))</f>
        <v/>
      </c>
      <c r="S420" s="32">
        <f>IF($B420="","",COUNTIF(G420:N420,"Received"))</f>
        <v/>
      </c>
      <c r="T420" s="32">
        <f>IF($B420="","",COUNTIF(G420:N420,"Needs Correction"))</f>
        <v/>
      </c>
      <c r="U420" s="33">
        <f>IF($B420="","",IF($D420&lt;&gt;"Yes","",IF($Q420&gt;=Settings!$C$13,"None",MID(IF(AND(G420&lt;&gt;"Accepted",G420&lt;&gt;"Not Needed",Settings!$C$15="Yes"),", "&amp;G$1,"")&amp;IF(AND(H420&lt;&gt;"Accepted",H420&lt;&gt;"Not Needed",Settings!$D$15="Yes"),", "&amp;H$1,"")&amp;IF(AND(I420&lt;&gt;"Accepted",I420&lt;&gt;"Not Needed",Settings!$E$15="Yes"),", "&amp;I$1,"")&amp;IF(AND(J420&lt;&gt;"Accepted",J420&lt;&gt;"Not Needed",Settings!$F$15="Yes"),", "&amp;J$1,"")&amp;IF(AND(K420&lt;&gt;"Accepted",K420&lt;&gt;"Not Needed",Settings!$G$15="Yes"),", "&amp;K$1,"")&amp;IF(AND(L420&lt;&gt;"Accepted",L420&lt;&gt;"Not Needed",Settings!$H$15="Yes"),", "&amp;L$1,"")&amp;IF(AND(M420&lt;&gt;"Accepted",M420&lt;&gt;"Not Needed",Settings!$I$15="Yes"),", "&amp;M$1,"")&amp;IF(AND(N420&lt;&gt;"Accepted",N420&lt;&gt;"Not Needed",Settings!$J$15="Yes"),", "&amp;N$1,""),3,400))))</f>
        <v/>
      </c>
    </row>
    <row r="421" ht="15" customHeight="1" s="21">
      <c r="A421" s="31" t="n"/>
      <c r="B421" s="31" t="n"/>
      <c r="C421" s="31" t="n"/>
      <c r="D421" s="31" t="n"/>
      <c r="E421" s="31" t="n"/>
      <c r="F421" s="31" t="n"/>
      <c r="G421" s="31" t="n"/>
      <c r="H421" s="31" t="n"/>
      <c r="I421" s="31" t="n"/>
      <c r="J421" s="31" t="n"/>
      <c r="K421" s="31" t="n"/>
      <c r="L421" s="31" t="n"/>
      <c r="M421" s="31" t="n"/>
      <c r="N421" s="31" t="n"/>
      <c r="O421" s="32">
        <f>IF($B421="","",COUNTIF(G421:N421,"Accepted")+COUNTIF(G421:N421,"Received")+COUNTIF(G421:N421,"Needs Correction"))</f>
        <v/>
      </c>
      <c r="P421" s="32">
        <f>IF($B421="","",SUMPRODUCT(((G421:N421="Accepted")+(G421:N421="Not Needed"))*(Settings!$C$11:$J$11="Yes")))</f>
        <v/>
      </c>
      <c r="Q421" s="32">
        <f>IF($B421="","",SUMPRODUCT(((G421:N421="Accepted")+(G421:N421="Not Needed"))*(Settings!$C$15:$J$15="Yes")))</f>
        <v/>
      </c>
      <c r="R421" s="33">
        <f>IF($B421="","",IF($D421="No","No PTO/PTA",IF($D421&lt;&gt;"Yes","Not Yet Confirmed",IF($Q421&gt;=Settings!$C$13,"Legalized",IF($P421&gt;=Settings!$C$12,"Registered",IF($O421&gt;0,"In Progress","Not Started"))))))</f>
        <v/>
      </c>
      <c r="S421" s="32">
        <f>IF($B421="","",COUNTIF(G421:N421,"Received"))</f>
        <v/>
      </c>
      <c r="T421" s="32">
        <f>IF($B421="","",COUNTIF(G421:N421,"Needs Correction"))</f>
        <v/>
      </c>
      <c r="U421" s="33">
        <f>IF($B421="","",IF($D421&lt;&gt;"Yes","",IF($Q421&gt;=Settings!$C$13,"None",MID(IF(AND(G421&lt;&gt;"Accepted",G421&lt;&gt;"Not Needed",Settings!$C$15="Yes"),", "&amp;G$1,"")&amp;IF(AND(H421&lt;&gt;"Accepted",H421&lt;&gt;"Not Needed",Settings!$D$15="Yes"),", "&amp;H$1,"")&amp;IF(AND(I421&lt;&gt;"Accepted",I421&lt;&gt;"Not Needed",Settings!$E$15="Yes"),", "&amp;I$1,"")&amp;IF(AND(J421&lt;&gt;"Accepted",J421&lt;&gt;"Not Needed",Settings!$F$15="Yes"),", "&amp;J$1,"")&amp;IF(AND(K421&lt;&gt;"Accepted",K421&lt;&gt;"Not Needed",Settings!$G$15="Yes"),", "&amp;K$1,"")&amp;IF(AND(L421&lt;&gt;"Accepted",L421&lt;&gt;"Not Needed",Settings!$H$15="Yes"),", "&amp;L$1,"")&amp;IF(AND(M421&lt;&gt;"Accepted",M421&lt;&gt;"Not Needed",Settings!$I$15="Yes"),", "&amp;M$1,"")&amp;IF(AND(N421&lt;&gt;"Accepted",N421&lt;&gt;"Not Needed",Settings!$J$15="Yes"),", "&amp;N$1,""),3,400))))</f>
        <v/>
      </c>
    </row>
    <row r="422" ht="15" customHeight="1" s="21">
      <c r="A422" s="31" t="n"/>
      <c r="B422" s="31" t="n"/>
      <c r="C422" s="31" t="n"/>
      <c r="D422" s="31" t="n"/>
      <c r="E422" s="31" t="n"/>
      <c r="F422" s="31" t="n"/>
      <c r="G422" s="31" t="n"/>
      <c r="H422" s="31" t="n"/>
      <c r="I422" s="31" t="n"/>
      <c r="J422" s="31" t="n"/>
      <c r="K422" s="31" t="n"/>
      <c r="L422" s="31" t="n"/>
      <c r="M422" s="31" t="n"/>
      <c r="N422" s="31" t="n"/>
      <c r="O422" s="32">
        <f>IF($B422="","",COUNTIF(G422:N422,"Accepted")+COUNTIF(G422:N422,"Received")+COUNTIF(G422:N422,"Needs Correction"))</f>
        <v/>
      </c>
      <c r="P422" s="32">
        <f>IF($B422="","",SUMPRODUCT(((G422:N422="Accepted")+(G422:N422="Not Needed"))*(Settings!$C$11:$J$11="Yes")))</f>
        <v/>
      </c>
      <c r="Q422" s="32">
        <f>IF($B422="","",SUMPRODUCT(((G422:N422="Accepted")+(G422:N422="Not Needed"))*(Settings!$C$15:$J$15="Yes")))</f>
        <v/>
      </c>
      <c r="R422" s="33">
        <f>IF($B422="","",IF($D422="No","No PTO/PTA",IF($D422&lt;&gt;"Yes","Not Yet Confirmed",IF($Q422&gt;=Settings!$C$13,"Legalized",IF($P422&gt;=Settings!$C$12,"Registered",IF($O422&gt;0,"In Progress","Not Started"))))))</f>
        <v/>
      </c>
      <c r="S422" s="32">
        <f>IF($B422="","",COUNTIF(G422:N422,"Received"))</f>
        <v/>
      </c>
      <c r="T422" s="32">
        <f>IF($B422="","",COUNTIF(G422:N422,"Needs Correction"))</f>
        <v/>
      </c>
      <c r="U422" s="33">
        <f>IF($B422="","",IF($D422&lt;&gt;"Yes","",IF($Q422&gt;=Settings!$C$13,"None",MID(IF(AND(G422&lt;&gt;"Accepted",G422&lt;&gt;"Not Needed",Settings!$C$15="Yes"),", "&amp;G$1,"")&amp;IF(AND(H422&lt;&gt;"Accepted",H422&lt;&gt;"Not Needed",Settings!$D$15="Yes"),", "&amp;H$1,"")&amp;IF(AND(I422&lt;&gt;"Accepted",I422&lt;&gt;"Not Needed",Settings!$E$15="Yes"),", "&amp;I$1,"")&amp;IF(AND(J422&lt;&gt;"Accepted",J422&lt;&gt;"Not Needed",Settings!$F$15="Yes"),", "&amp;J$1,"")&amp;IF(AND(K422&lt;&gt;"Accepted",K422&lt;&gt;"Not Needed",Settings!$G$15="Yes"),", "&amp;K$1,"")&amp;IF(AND(L422&lt;&gt;"Accepted",L422&lt;&gt;"Not Needed",Settings!$H$15="Yes"),", "&amp;L$1,"")&amp;IF(AND(M422&lt;&gt;"Accepted",M422&lt;&gt;"Not Needed",Settings!$I$15="Yes"),", "&amp;M$1,"")&amp;IF(AND(N422&lt;&gt;"Accepted",N422&lt;&gt;"Not Needed",Settings!$J$15="Yes"),", "&amp;N$1,""),3,400))))</f>
        <v/>
      </c>
    </row>
    <row r="423" ht="15" customHeight="1" s="21">
      <c r="A423" s="31" t="n"/>
      <c r="B423" s="31" t="n"/>
      <c r="C423" s="31" t="n"/>
      <c r="D423" s="31" t="n"/>
      <c r="E423" s="31" t="n"/>
      <c r="F423" s="31" t="n"/>
      <c r="G423" s="31" t="n"/>
      <c r="H423" s="31" t="n"/>
      <c r="I423" s="31" t="n"/>
      <c r="J423" s="31" t="n"/>
      <c r="K423" s="31" t="n"/>
      <c r="L423" s="31" t="n"/>
      <c r="M423" s="31" t="n"/>
      <c r="N423" s="31" t="n"/>
      <c r="O423" s="32">
        <f>IF($B423="","",COUNTIF(G423:N423,"Accepted")+COUNTIF(G423:N423,"Received")+COUNTIF(G423:N423,"Needs Correction"))</f>
        <v/>
      </c>
      <c r="P423" s="32">
        <f>IF($B423="","",SUMPRODUCT(((G423:N423="Accepted")+(G423:N423="Not Needed"))*(Settings!$C$11:$J$11="Yes")))</f>
        <v/>
      </c>
      <c r="Q423" s="32">
        <f>IF($B423="","",SUMPRODUCT(((G423:N423="Accepted")+(G423:N423="Not Needed"))*(Settings!$C$15:$J$15="Yes")))</f>
        <v/>
      </c>
      <c r="R423" s="33">
        <f>IF($B423="","",IF($D423="No","No PTO/PTA",IF($D423&lt;&gt;"Yes","Not Yet Confirmed",IF($Q423&gt;=Settings!$C$13,"Legalized",IF($P423&gt;=Settings!$C$12,"Registered",IF($O423&gt;0,"In Progress","Not Started"))))))</f>
        <v/>
      </c>
      <c r="S423" s="32">
        <f>IF($B423="","",COUNTIF(G423:N423,"Received"))</f>
        <v/>
      </c>
      <c r="T423" s="32">
        <f>IF($B423="","",COUNTIF(G423:N423,"Needs Correction"))</f>
        <v/>
      </c>
      <c r="U423" s="33">
        <f>IF($B423="","",IF($D423&lt;&gt;"Yes","",IF($Q423&gt;=Settings!$C$13,"None",MID(IF(AND(G423&lt;&gt;"Accepted",G423&lt;&gt;"Not Needed",Settings!$C$15="Yes"),", "&amp;G$1,"")&amp;IF(AND(H423&lt;&gt;"Accepted",H423&lt;&gt;"Not Needed",Settings!$D$15="Yes"),", "&amp;H$1,"")&amp;IF(AND(I423&lt;&gt;"Accepted",I423&lt;&gt;"Not Needed",Settings!$E$15="Yes"),", "&amp;I$1,"")&amp;IF(AND(J423&lt;&gt;"Accepted",J423&lt;&gt;"Not Needed",Settings!$F$15="Yes"),", "&amp;J$1,"")&amp;IF(AND(K423&lt;&gt;"Accepted",K423&lt;&gt;"Not Needed",Settings!$G$15="Yes"),", "&amp;K$1,"")&amp;IF(AND(L423&lt;&gt;"Accepted",L423&lt;&gt;"Not Needed",Settings!$H$15="Yes"),", "&amp;L$1,"")&amp;IF(AND(M423&lt;&gt;"Accepted",M423&lt;&gt;"Not Needed",Settings!$I$15="Yes"),", "&amp;M$1,"")&amp;IF(AND(N423&lt;&gt;"Accepted",N423&lt;&gt;"Not Needed",Settings!$J$15="Yes"),", "&amp;N$1,""),3,400))))</f>
        <v/>
      </c>
    </row>
    <row r="424" ht="15" customHeight="1" s="21">
      <c r="A424" s="31" t="n"/>
      <c r="B424" s="31" t="n"/>
      <c r="C424" s="31" t="n"/>
      <c r="D424" s="31" t="n"/>
      <c r="E424" s="31" t="n"/>
      <c r="F424" s="31" t="n"/>
      <c r="G424" s="31" t="n"/>
      <c r="H424" s="31" t="n"/>
      <c r="I424" s="31" t="n"/>
      <c r="J424" s="31" t="n"/>
      <c r="K424" s="31" t="n"/>
      <c r="L424" s="31" t="n"/>
      <c r="M424" s="31" t="n"/>
      <c r="N424" s="31" t="n"/>
      <c r="O424" s="32">
        <f>IF($B424="","",COUNTIF(G424:N424,"Accepted")+COUNTIF(G424:N424,"Received")+COUNTIF(G424:N424,"Needs Correction"))</f>
        <v/>
      </c>
      <c r="P424" s="32">
        <f>IF($B424="","",SUMPRODUCT(((G424:N424="Accepted")+(G424:N424="Not Needed"))*(Settings!$C$11:$J$11="Yes")))</f>
        <v/>
      </c>
      <c r="Q424" s="32">
        <f>IF($B424="","",SUMPRODUCT(((G424:N424="Accepted")+(G424:N424="Not Needed"))*(Settings!$C$15:$J$15="Yes")))</f>
        <v/>
      </c>
      <c r="R424" s="33">
        <f>IF($B424="","",IF($D424="No","No PTO/PTA",IF($D424&lt;&gt;"Yes","Not Yet Confirmed",IF($Q424&gt;=Settings!$C$13,"Legalized",IF($P424&gt;=Settings!$C$12,"Registered",IF($O424&gt;0,"In Progress","Not Started"))))))</f>
        <v/>
      </c>
      <c r="S424" s="32">
        <f>IF($B424="","",COUNTIF(G424:N424,"Received"))</f>
        <v/>
      </c>
      <c r="T424" s="32">
        <f>IF($B424="","",COUNTIF(G424:N424,"Needs Correction"))</f>
        <v/>
      </c>
      <c r="U424" s="33">
        <f>IF($B424="","",IF($D424&lt;&gt;"Yes","",IF($Q424&gt;=Settings!$C$13,"None",MID(IF(AND(G424&lt;&gt;"Accepted",G424&lt;&gt;"Not Needed",Settings!$C$15="Yes"),", "&amp;G$1,"")&amp;IF(AND(H424&lt;&gt;"Accepted",H424&lt;&gt;"Not Needed",Settings!$D$15="Yes"),", "&amp;H$1,"")&amp;IF(AND(I424&lt;&gt;"Accepted",I424&lt;&gt;"Not Needed",Settings!$E$15="Yes"),", "&amp;I$1,"")&amp;IF(AND(J424&lt;&gt;"Accepted",J424&lt;&gt;"Not Needed",Settings!$F$15="Yes"),", "&amp;J$1,"")&amp;IF(AND(K424&lt;&gt;"Accepted",K424&lt;&gt;"Not Needed",Settings!$G$15="Yes"),", "&amp;K$1,"")&amp;IF(AND(L424&lt;&gt;"Accepted",L424&lt;&gt;"Not Needed",Settings!$H$15="Yes"),", "&amp;L$1,"")&amp;IF(AND(M424&lt;&gt;"Accepted",M424&lt;&gt;"Not Needed",Settings!$I$15="Yes"),", "&amp;M$1,"")&amp;IF(AND(N424&lt;&gt;"Accepted",N424&lt;&gt;"Not Needed",Settings!$J$15="Yes"),", "&amp;N$1,""),3,400))))</f>
        <v/>
      </c>
    </row>
    <row r="425" ht="15" customHeight="1" s="21">
      <c r="A425" s="31" t="n"/>
      <c r="B425" s="31" t="n"/>
      <c r="C425" s="31" t="n"/>
      <c r="D425" s="31" t="n"/>
      <c r="E425" s="31" t="n"/>
      <c r="F425" s="31" t="n"/>
      <c r="G425" s="31" t="n"/>
      <c r="H425" s="31" t="n"/>
      <c r="I425" s="31" t="n"/>
      <c r="J425" s="31" t="n"/>
      <c r="K425" s="31" t="n"/>
      <c r="L425" s="31" t="n"/>
      <c r="M425" s="31" t="n"/>
      <c r="N425" s="31" t="n"/>
      <c r="O425" s="32">
        <f>IF($B425="","",COUNTIF(G425:N425,"Accepted")+COUNTIF(G425:N425,"Received")+COUNTIF(G425:N425,"Needs Correction"))</f>
        <v/>
      </c>
      <c r="P425" s="32">
        <f>IF($B425="","",SUMPRODUCT(((G425:N425="Accepted")+(G425:N425="Not Needed"))*(Settings!$C$11:$J$11="Yes")))</f>
        <v/>
      </c>
      <c r="Q425" s="32">
        <f>IF($B425="","",SUMPRODUCT(((G425:N425="Accepted")+(G425:N425="Not Needed"))*(Settings!$C$15:$J$15="Yes")))</f>
        <v/>
      </c>
      <c r="R425" s="33">
        <f>IF($B425="","",IF($D425="No","No PTO/PTA",IF($D425&lt;&gt;"Yes","Not Yet Confirmed",IF($Q425&gt;=Settings!$C$13,"Legalized",IF($P425&gt;=Settings!$C$12,"Registered",IF($O425&gt;0,"In Progress","Not Started"))))))</f>
        <v/>
      </c>
      <c r="S425" s="32">
        <f>IF($B425="","",COUNTIF(G425:N425,"Received"))</f>
        <v/>
      </c>
      <c r="T425" s="32">
        <f>IF($B425="","",COUNTIF(G425:N425,"Needs Correction"))</f>
        <v/>
      </c>
      <c r="U425" s="33">
        <f>IF($B425="","",IF($D425&lt;&gt;"Yes","",IF($Q425&gt;=Settings!$C$13,"None",MID(IF(AND(G425&lt;&gt;"Accepted",G425&lt;&gt;"Not Needed",Settings!$C$15="Yes"),", "&amp;G$1,"")&amp;IF(AND(H425&lt;&gt;"Accepted",H425&lt;&gt;"Not Needed",Settings!$D$15="Yes"),", "&amp;H$1,"")&amp;IF(AND(I425&lt;&gt;"Accepted",I425&lt;&gt;"Not Needed",Settings!$E$15="Yes"),", "&amp;I$1,"")&amp;IF(AND(J425&lt;&gt;"Accepted",J425&lt;&gt;"Not Needed",Settings!$F$15="Yes"),", "&amp;J$1,"")&amp;IF(AND(K425&lt;&gt;"Accepted",K425&lt;&gt;"Not Needed",Settings!$G$15="Yes"),", "&amp;K$1,"")&amp;IF(AND(L425&lt;&gt;"Accepted",L425&lt;&gt;"Not Needed",Settings!$H$15="Yes"),", "&amp;L$1,"")&amp;IF(AND(M425&lt;&gt;"Accepted",M425&lt;&gt;"Not Needed",Settings!$I$15="Yes"),", "&amp;M$1,"")&amp;IF(AND(N425&lt;&gt;"Accepted",N425&lt;&gt;"Not Needed",Settings!$J$15="Yes"),", "&amp;N$1,""),3,400))))</f>
        <v/>
      </c>
    </row>
    <row r="426" ht="15" customHeight="1" s="21">
      <c r="A426" s="31" t="n"/>
      <c r="B426" s="31" t="n"/>
      <c r="C426" s="31" t="n"/>
      <c r="D426" s="31" t="n"/>
      <c r="E426" s="31" t="n"/>
      <c r="F426" s="31" t="n"/>
      <c r="G426" s="31" t="n"/>
      <c r="H426" s="31" t="n"/>
      <c r="I426" s="31" t="n"/>
      <c r="J426" s="31" t="n"/>
      <c r="K426" s="31" t="n"/>
      <c r="L426" s="31" t="n"/>
      <c r="M426" s="31" t="n"/>
      <c r="N426" s="31" t="n"/>
      <c r="O426" s="32">
        <f>IF($B426="","",COUNTIF(G426:N426,"Accepted")+COUNTIF(G426:N426,"Received")+COUNTIF(G426:N426,"Needs Correction"))</f>
        <v/>
      </c>
      <c r="P426" s="32">
        <f>IF($B426="","",SUMPRODUCT(((G426:N426="Accepted")+(G426:N426="Not Needed"))*(Settings!$C$11:$J$11="Yes")))</f>
        <v/>
      </c>
      <c r="Q426" s="32">
        <f>IF($B426="","",SUMPRODUCT(((G426:N426="Accepted")+(G426:N426="Not Needed"))*(Settings!$C$15:$J$15="Yes")))</f>
        <v/>
      </c>
      <c r="R426" s="33">
        <f>IF($B426="","",IF($D426="No","No PTO/PTA",IF($D426&lt;&gt;"Yes","Not Yet Confirmed",IF($Q426&gt;=Settings!$C$13,"Legalized",IF($P426&gt;=Settings!$C$12,"Registered",IF($O426&gt;0,"In Progress","Not Started"))))))</f>
        <v/>
      </c>
      <c r="S426" s="32">
        <f>IF($B426="","",COUNTIF(G426:N426,"Received"))</f>
        <v/>
      </c>
      <c r="T426" s="32">
        <f>IF($B426="","",COUNTIF(G426:N426,"Needs Correction"))</f>
        <v/>
      </c>
      <c r="U426" s="33">
        <f>IF($B426="","",IF($D426&lt;&gt;"Yes","",IF($Q426&gt;=Settings!$C$13,"None",MID(IF(AND(G426&lt;&gt;"Accepted",G426&lt;&gt;"Not Needed",Settings!$C$15="Yes"),", "&amp;G$1,"")&amp;IF(AND(H426&lt;&gt;"Accepted",H426&lt;&gt;"Not Needed",Settings!$D$15="Yes"),", "&amp;H$1,"")&amp;IF(AND(I426&lt;&gt;"Accepted",I426&lt;&gt;"Not Needed",Settings!$E$15="Yes"),", "&amp;I$1,"")&amp;IF(AND(J426&lt;&gt;"Accepted",J426&lt;&gt;"Not Needed",Settings!$F$15="Yes"),", "&amp;J$1,"")&amp;IF(AND(K426&lt;&gt;"Accepted",K426&lt;&gt;"Not Needed",Settings!$G$15="Yes"),", "&amp;K$1,"")&amp;IF(AND(L426&lt;&gt;"Accepted",L426&lt;&gt;"Not Needed",Settings!$H$15="Yes"),", "&amp;L$1,"")&amp;IF(AND(M426&lt;&gt;"Accepted",M426&lt;&gt;"Not Needed",Settings!$I$15="Yes"),", "&amp;M$1,"")&amp;IF(AND(N426&lt;&gt;"Accepted",N426&lt;&gt;"Not Needed",Settings!$J$15="Yes"),", "&amp;N$1,""),3,400))))</f>
        <v/>
      </c>
    </row>
    <row r="427" ht="15" customHeight="1" s="21">
      <c r="A427" s="31" t="n"/>
      <c r="B427" s="31" t="n"/>
      <c r="C427" s="31" t="n"/>
      <c r="D427" s="31" t="n"/>
      <c r="E427" s="31" t="n"/>
      <c r="F427" s="31" t="n"/>
      <c r="G427" s="31" t="n"/>
      <c r="H427" s="31" t="n"/>
      <c r="I427" s="31" t="n"/>
      <c r="J427" s="31" t="n"/>
      <c r="K427" s="31" t="n"/>
      <c r="L427" s="31" t="n"/>
      <c r="M427" s="31" t="n"/>
      <c r="N427" s="31" t="n"/>
      <c r="O427" s="32">
        <f>IF($B427="","",COUNTIF(G427:N427,"Accepted")+COUNTIF(G427:N427,"Received")+COUNTIF(G427:N427,"Needs Correction"))</f>
        <v/>
      </c>
      <c r="P427" s="32">
        <f>IF($B427="","",SUMPRODUCT(((G427:N427="Accepted")+(G427:N427="Not Needed"))*(Settings!$C$11:$J$11="Yes")))</f>
        <v/>
      </c>
      <c r="Q427" s="32">
        <f>IF($B427="","",SUMPRODUCT(((G427:N427="Accepted")+(G427:N427="Not Needed"))*(Settings!$C$15:$J$15="Yes")))</f>
        <v/>
      </c>
      <c r="R427" s="33">
        <f>IF($B427="","",IF($D427="No","No PTO/PTA",IF($D427&lt;&gt;"Yes","Not Yet Confirmed",IF($Q427&gt;=Settings!$C$13,"Legalized",IF($P427&gt;=Settings!$C$12,"Registered",IF($O427&gt;0,"In Progress","Not Started"))))))</f>
        <v/>
      </c>
      <c r="S427" s="32">
        <f>IF($B427="","",COUNTIF(G427:N427,"Received"))</f>
        <v/>
      </c>
      <c r="T427" s="32">
        <f>IF($B427="","",COUNTIF(G427:N427,"Needs Correction"))</f>
        <v/>
      </c>
      <c r="U427" s="33">
        <f>IF($B427="","",IF($D427&lt;&gt;"Yes","",IF($Q427&gt;=Settings!$C$13,"None",MID(IF(AND(G427&lt;&gt;"Accepted",G427&lt;&gt;"Not Needed",Settings!$C$15="Yes"),", "&amp;G$1,"")&amp;IF(AND(H427&lt;&gt;"Accepted",H427&lt;&gt;"Not Needed",Settings!$D$15="Yes"),", "&amp;H$1,"")&amp;IF(AND(I427&lt;&gt;"Accepted",I427&lt;&gt;"Not Needed",Settings!$E$15="Yes"),", "&amp;I$1,"")&amp;IF(AND(J427&lt;&gt;"Accepted",J427&lt;&gt;"Not Needed",Settings!$F$15="Yes"),", "&amp;J$1,"")&amp;IF(AND(K427&lt;&gt;"Accepted",K427&lt;&gt;"Not Needed",Settings!$G$15="Yes"),", "&amp;K$1,"")&amp;IF(AND(L427&lt;&gt;"Accepted",L427&lt;&gt;"Not Needed",Settings!$H$15="Yes"),", "&amp;L$1,"")&amp;IF(AND(M427&lt;&gt;"Accepted",M427&lt;&gt;"Not Needed",Settings!$I$15="Yes"),", "&amp;M$1,"")&amp;IF(AND(N427&lt;&gt;"Accepted",N427&lt;&gt;"Not Needed",Settings!$J$15="Yes"),", "&amp;N$1,""),3,400))))</f>
        <v/>
      </c>
    </row>
    <row r="428" ht="15" customHeight="1" s="21">
      <c r="A428" s="31" t="n"/>
      <c r="B428" s="31" t="n"/>
      <c r="C428" s="31" t="n"/>
      <c r="D428" s="31" t="n"/>
      <c r="E428" s="31" t="n"/>
      <c r="F428" s="31" t="n"/>
      <c r="G428" s="31" t="n"/>
      <c r="H428" s="31" t="n"/>
      <c r="I428" s="31" t="n"/>
      <c r="J428" s="31" t="n"/>
      <c r="K428" s="31" t="n"/>
      <c r="L428" s="31" t="n"/>
      <c r="M428" s="31" t="n"/>
      <c r="N428" s="31" t="n"/>
      <c r="O428" s="32">
        <f>IF($B428="","",COUNTIF(G428:N428,"Accepted")+COUNTIF(G428:N428,"Received")+COUNTIF(G428:N428,"Needs Correction"))</f>
        <v/>
      </c>
      <c r="P428" s="32">
        <f>IF($B428="","",SUMPRODUCT(((G428:N428="Accepted")+(G428:N428="Not Needed"))*(Settings!$C$11:$J$11="Yes")))</f>
        <v/>
      </c>
      <c r="Q428" s="32">
        <f>IF($B428="","",SUMPRODUCT(((G428:N428="Accepted")+(G428:N428="Not Needed"))*(Settings!$C$15:$J$15="Yes")))</f>
        <v/>
      </c>
      <c r="R428" s="33">
        <f>IF($B428="","",IF($D428="No","No PTO/PTA",IF($D428&lt;&gt;"Yes","Not Yet Confirmed",IF($Q428&gt;=Settings!$C$13,"Legalized",IF($P428&gt;=Settings!$C$12,"Registered",IF($O428&gt;0,"In Progress","Not Started"))))))</f>
        <v/>
      </c>
      <c r="S428" s="32">
        <f>IF($B428="","",COUNTIF(G428:N428,"Received"))</f>
        <v/>
      </c>
      <c r="T428" s="32">
        <f>IF($B428="","",COUNTIF(G428:N428,"Needs Correction"))</f>
        <v/>
      </c>
      <c r="U428" s="33">
        <f>IF($B428="","",IF($D428&lt;&gt;"Yes","",IF($Q428&gt;=Settings!$C$13,"None",MID(IF(AND(G428&lt;&gt;"Accepted",G428&lt;&gt;"Not Needed",Settings!$C$15="Yes"),", "&amp;G$1,"")&amp;IF(AND(H428&lt;&gt;"Accepted",H428&lt;&gt;"Not Needed",Settings!$D$15="Yes"),", "&amp;H$1,"")&amp;IF(AND(I428&lt;&gt;"Accepted",I428&lt;&gt;"Not Needed",Settings!$E$15="Yes"),", "&amp;I$1,"")&amp;IF(AND(J428&lt;&gt;"Accepted",J428&lt;&gt;"Not Needed",Settings!$F$15="Yes"),", "&amp;J$1,"")&amp;IF(AND(K428&lt;&gt;"Accepted",K428&lt;&gt;"Not Needed",Settings!$G$15="Yes"),", "&amp;K$1,"")&amp;IF(AND(L428&lt;&gt;"Accepted",L428&lt;&gt;"Not Needed",Settings!$H$15="Yes"),", "&amp;L$1,"")&amp;IF(AND(M428&lt;&gt;"Accepted",M428&lt;&gt;"Not Needed",Settings!$I$15="Yes"),", "&amp;M$1,"")&amp;IF(AND(N428&lt;&gt;"Accepted",N428&lt;&gt;"Not Needed",Settings!$J$15="Yes"),", "&amp;N$1,""),3,400))))</f>
        <v/>
      </c>
    </row>
    <row r="429" ht="15" customHeight="1" s="21">
      <c r="A429" s="31" t="n"/>
      <c r="B429" s="31" t="n"/>
      <c r="C429" s="31" t="n"/>
      <c r="D429" s="31" t="n"/>
      <c r="E429" s="31" t="n"/>
      <c r="F429" s="31" t="n"/>
      <c r="G429" s="31" t="n"/>
      <c r="H429" s="31" t="n"/>
      <c r="I429" s="31" t="n"/>
      <c r="J429" s="31" t="n"/>
      <c r="K429" s="31" t="n"/>
      <c r="L429" s="31" t="n"/>
      <c r="M429" s="31" t="n"/>
      <c r="N429" s="31" t="n"/>
      <c r="O429" s="32">
        <f>IF($B429="","",COUNTIF(G429:N429,"Accepted")+COUNTIF(G429:N429,"Received")+COUNTIF(G429:N429,"Needs Correction"))</f>
        <v/>
      </c>
      <c r="P429" s="32">
        <f>IF($B429="","",SUMPRODUCT(((G429:N429="Accepted")+(G429:N429="Not Needed"))*(Settings!$C$11:$J$11="Yes")))</f>
        <v/>
      </c>
      <c r="Q429" s="32">
        <f>IF($B429="","",SUMPRODUCT(((G429:N429="Accepted")+(G429:N429="Not Needed"))*(Settings!$C$15:$J$15="Yes")))</f>
        <v/>
      </c>
      <c r="R429" s="33">
        <f>IF($B429="","",IF($D429="No","No PTO/PTA",IF($D429&lt;&gt;"Yes","Not Yet Confirmed",IF($Q429&gt;=Settings!$C$13,"Legalized",IF($P429&gt;=Settings!$C$12,"Registered",IF($O429&gt;0,"In Progress","Not Started"))))))</f>
        <v/>
      </c>
      <c r="S429" s="32">
        <f>IF($B429="","",COUNTIF(G429:N429,"Received"))</f>
        <v/>
      </c>
      <c r="T429" s="32">
        <f>IF($B429="","",COUNTIF(G429:N429,"Needs Correction"))</f>
        <v/>
      </c>
      <c r="U429" s="33">
        <f>IF($B429="","",IF($D429&lt;&gt;"Yes","",IF($Q429&gt;=Settings!$C$13,"None",MID(IF(AND(G429&lt;&gt;"Accepted",G429&lt;&gt;"Not Needed",Settings!$C$15="Yes"),", "&amp;G$1,"")&amp;IF(AND(H429&lt;&gt;"Accepted",H429&lt;&gt;"Not Needed",Settings!$D$15="Yes"),", "&amp;H$1,"")&amp;IF(AND(I429&lt;&gt;"Accepted",I429&lt;&gt;"Not Needed",Settings!$E$15="Yes"),", "&amp;I$1,"")&amp;IF(AND(J429&lt;&gt;"Accepted",J429&lt;&gt;"Not Needed",Settings!$F$15="Yes"),", "&amp;J$1,"")&amp;IF(AND(K429&lt;&gt;"Accepted",K429&lt;&gt;"Not Needed",Settings!$G$15="Yes"),", "&amp;K$1,"")&amp;IF(AND(L429&lt;&gt;"Accepted",L429&lt;&gt;"Not Needed",Settings!$H$15="Yes"),", "&amp;L$1,"")&amp;IF(AND(M429&lt;&gt;"Accepted",M429&lt;&gt;"Not Needed",Settings!$I$15="Yes"),", "&amp;M$1,"")&amp;IF(AND(N429&lt;&gt;"Accepted",N429&lt;&gt;"Not Needed",Settings!$J$15="Yes"),", "&amp;N$1,""),3,400))))</f>
        <v/>
      </c>
    </row>
    <row r="430" ht="15" customHeight="1" s="21">
      <c r="A430" s="31" t="n"/>
      <c r="B430" s="31" t="n"/>
      <c r="C430" s="31" t="n"/>
      <c r="D430" s="31" t="n"/>
      <c r="E430" s="31" t="n"/>
      <c r="F430" s="31" t="n"/>
      <c r="G430" s="31" t="n"/>
      <c r="H430" s="31" t="n"/>
      <c r="I430" s="31" t="n"/>
      <c r="J430" s="31" t="n"/>
      <c r="K430" s="31" t="n"/>
      <c r="L430" s="31" t="n"/>
      <c r="M430" s="31" t="n"/>
      <c r="N430" s="31" t="n"/>
      <c r="O430" s="32">
        <f>IF($B430="","",COUNTIF(G430:N430,"Accepted")+COUNTIF(G430:N430,"Received")+COUNTIF(G430:N430,"Needs Correction"))</f>
        <v/>
      </c>
      <c r="P430" s="32">
        <f>IF($B430="","",SUMPRODUCT(((G430:N430="Accepted")+(G430:N430="Not Needed"))*(Settings!$C$11:$J$11="Yes")))</f>
        <v/>
      </c>
      <c r="Q430" s="32">
        <f>IF($B430="","",SUMPRODUCT(((G430:N430="Accepted")+(G430:N430="Not Needed"))*(Settings!$C$15:$J$15="Yes")))</f>
        <v/>
      </c>
      <c r="R430" s="33">
        <f>IF($B430="","",IF($D430="No","No PTO/PTA",IF($D430&lt;&gt;"Yes","Not Yet Confirmed",IF($Q430&gt;=Settings!$C$13,"Legalized",IF($P430&gt;=Settings!$C$12,"Registered",IF($O430&gt;0,"In Progress","Not Started"))))))</f>
        <v/>
      </c>
      <c r="S430" s="32">
        <f>IF($B430="","",COUNTIF(G430:N430,"Received"))</f>
        <v/>
      </c>
      <c r="T430" s="32">
        <f>IF($B430="","",COUNTIF(G430:N430,"Needs Correction"))</f>
        <v/>
      </c>
      <c r="U430" s="33">
        <f>IF($B430="","",IF($D430&lt;&gt;"Yes","",IF($Q430&gt;=Settings!$C$13,"None",MID(IF(AND(G430&lt;&gt;"Accepted",G430&lt;&gt;"Not Needed",Settings!$C$15="Yes"),", "&amp;G$1,"")&amp;IF(AND(H430&lt;&gt;"Accepted",H430&lt;&gt;"Not Needed",Settings!$D$15="Yes"),", "&amp;H$1,"")&amp;IF(AND(I430&lt;&gt;"Accepted",I430&lt;&gt;"Not Needed",Settings!$E$15="Yes"),", "&amp;I$1,"")&amp;IF(AND(J430&lt;&gt;"Accepted",J430&lt;&gt;"Not Needed",Settings!$F$15="Yes"),", "&amp;J$1,"")&amp;IF(AND(K430&lt;&gt;"Accepted",K430&lt;&gt;"Not Needed",Settings!$G$15="Yes"),", "&amp;K$1,"")&amp;IF(AND(L430&lt;&gt;"Accepted",L430&lt;&gt;"Not Needed",Settings!$H$15="Yes"),", "&amp;L$1,"")&amp;IF(AND(M430&lt;&gt;"Accepted",M430&lt;&gt;"Not Needed",Settings!$I$15="Yes"),", "&amp;M$1,"")&amp;IF(AND(N430&lt;&gt;"Accepted",N430&lt;&gt;"Not Needed",Settings!$J$15="Yes"),", "&amp;N$1,""),3,400))))</f>
        <v/>
      </c>
    </row>
    <row r="431" ht="15" customHeight="1" s="21">
      <c r="A431" s="31" t="n"/>
      <c r="B431" s="31" t="n"/>
      <c r="C431" s="31" t="n"/>
      <c r="D431" s="31" t="n"/>
      <c r="E431" s="31" t="n"/>
      <c r="F431" s="31" t="n"/>
      <c r="G431" s="31" t="n"/>
      <c r="H431" s="31" t="n"/>
      <c r="I431" s="31" t="n"/>
      <c r="J431" s="31" t="n"/>
      <c r="K431" s="31" t="n"/>
      <c r="L431" s="31" t="n"/>
      <c r="M431" s="31" t="n"/>
      <c r="N431" s="31" t="n"/>
      <c r="O431" s="32">
        <f>IF($B431="","",COUNTIF(G431:N431,"Accepted")+COUNTIF(G431:N431,"Received")+COUNTIF(G431:N431,"Needs Correction"))</f>
        <v/>
      </c>
      <c r="P431" s="32">
        <f>IF($B431="","",SUMPRODUCT(((G431:N431="Accepted")+(G431:N431="Not Needed"))*(Settings!$C$11:$J$11="Yes")))</f>
        <v/>
      </c>
      <c r="Q431" s="32">
        <f>IF($B431="","",SUMPRODUCT(((G431:N431="Accepted")+(G431:N431="Not Needed"))*(Settings!$C$15:$J$15="Yes")))</f>
        <v/>
      </c>
      <c r="R431" s="33">
        <f>IF($B431="","",IF($D431="No","No PTO/PTA",IF($D431&lt;&gt;"Yes","Not Yet Confirmed",IF($Q431&gt;=Settings!$C$13,"Legalized",IF($P431&gt;=Settings!$C$12,"Registered",IF($O431&gt;0,"In Progress","Not Started"))))))</f>
        <v/>
      </c>
      <c r="S431" s="32">
        <f>IF($B431="","",COUNTIF(G431:N431,"Received"))</f>
        <v/>
      </c>
      <c r="T431" s="32">
        <f>IF($B431="","",COUNTIF(G431:N431,"Needs Correction"))</f>
        <v/>
      </c>
      <c r="U431" s="33">
        <f>IF($B431="","",IF($D431&lt;&gt;"Yes","",IF($Q431&gt;=Settings!$C$13,"None",MID(IF(AND(G431&lt;&gt;"Accepted",G431&lt;&gt;"Not Needed",Settings!$C$15="Yes"),", "&amp;G$1,"")&amp;IF(AND(H431&lt;&gt;"Accepted",H431&lt;&gt;"Not Needed",Settings!$D$15="Yes"),", "&amp;H$1,"")&amp;IF(AND(I431&lt;&gt;"Accepted",I431&lt;&gt;"Not Needed",Settings!$E$15="Yes"),", "&amp;I$1,"")&amp;IF(AND(J431&lt;&gt;"Accepted",J431&lt;&gt;"Not Needed",Settings!$F$15="Yes"),", "&amp;J$1,"")&amp;IF(AND(K431&lt;&gt;"Accepted",K431&lt;&gt;"Not Needed",Settings!$G$15="Yes"),", "&amp;K$1,"")&amp;IF(AND(L431&lt;&gt;"Accepted",L431&lt;&gt;"Not Needed",Settings!$H$15="Yes"),", "&amp;L$1,"")&amp;IF(AND(M431&lt;&gt;"Accepted",M431&lt;&gt;"Not Needed",Settings!$I$15="Yes"),", "&amp;M$1,"")&amp;IF(AND(N431&lt;&gt;"Accepted",N431&lt;&gt;"Not Needed",Settings!$J$15="Yes"),", "&amp;N$1,""),3,400))))</f>
        <v/>
      </c>
    </row>
    <row r="432" ht="15" customHeight="1" s="21">
      <c r="A432" s="31" t="n"/>
      <c r="B432" s="31" t="n"/>
      <c r="C432" s="31" t="n"/>
      <c r="D432" s="31" t="n"/>
      <c r="E432" s="31" t="n"/>
      <c r="F432" s="31" t="n"/>
      <c r="G432" s="31" t="n"/>
      <c r="H432" s="31" t="n"/>
      <c r="I432" s="31" t="n"/>
      <c r="J432" s="31" t="n"/>
      <c r="K432" s="31" t="n"/>
      <c r="L432" s="31" t="n"/>
      <c r="M432" s="31" t="n"/>
      <c r="N432" s="31" t="n"/>
      <c r="O432" s="32">
        <f>IF($B432="","",COUNTIF(G432:N432,"Accepted")+COUNTIF(G432:N432,"Received")+COUNTIF(G432:N432,"Needs Correction"))</f>
        <v/>
      </c>
      <c r="P432" s="32">
        <f>IF($B432="","",SUMPRODUCT(((G432:N432="Accepted")+(G432:N432="Not Needed"))*(Settings!$C$11:$J$11="Yes")))</f>
        <v/>
      </c>
      <c r="Q432" s="32">
        <f>IF($B432="","",SUMPRODUCT(((G432:N432="Accepted")+(G432:N432="Not Needed"))*(Settings!$C$15:$J$15="Yes")))</f>
        <v/>
      </c>
      <c r="R432" s="33">
        <f>IF($B432="","",IF($D432="No","No PTO/PTA",IF($D432&lt;&gt;"Yes","Not Yet Confirmed",IF($Q432&gt;=Settings!$C$13,"Legalized",IF($P432&gt;=Settings!$C$12,"Registered",IF($O432&gt;0,"In Progress","Not Started"))))))</f>
        <v/>
      </c>
      <c r="S432" s="32">
        <f>IF($B432="","",COUNTIF(G432:N432,"Received"))</f>
        <v/>
      </c>
      <c r="T432" s="32">
        <f>IF($B432="","",COUNTIF(G432:N432,"Needs Correction"))</f>
        <v/>
      </c>
      <c r="U432" s="33">
        <f>IF($B432="","",IF($D432&lt;&gt;"Yes","",IF($Q432&gt;=Settings!$C$13,"None",MID(IF(AND(G432&lt;&gt;"Accepted",G432&lt;&gt;"Not Needed",Settings!$C$15="Yes"),", "&amp;G$1,"")&amp;IF(AND(H432&lt;&gt;"Accepted",H432&lt;&gt;"Not Needed",Settings!$D$15="Yes"),", "&amp;H$1,"")&amp;IF(AND(I432&lt;&gt;"Accepted",I432&lt;&gt;"Not Needed",Settings!$E$15="Yes"),", "&amp;I$1,"")&amp;IF(AND(J432&lt;&gt;"Accepted",J432&lt;&gt;"Not Needed",Settings!$F$15="Yes"),", "&amp;J$1,"")&amp;IF(AND(K432&lt;&gt;"Accepted",K432&lt;&gt;"Not Needed",Settings!$G$15="Yes"),", "&amp;K$1,"")&amp;IF(AND(L432&lt;&gt;"Accepted",L432&lt;&gt;"Not Needed",Settings!$H$15="Yes"),", "&amp;L$1,"")&amp;IF(AND(M432&lt;&gt;"Accepted",M432&lt;&gt;"Not Needed",Settings!$I$15="Yes"),", "&amp;M$1,"")&amp;IF(AND(N432&lt;&gt;"Accepted",N432&lt;&gt;"Not Needed",Settings!$J$15="Yes"),", "&amp;N$1,""),3,400))))</f>
        <v/>
      </c>
    </row>
    <row r="433" ht="15" customHeight="1" s="21">
      <c r="A433" s="31" t="n"/>
      <c r="B433" s="31" t="n"/>
      <c r="C433" s="31" t="n"/>
      <c r="D433" s="31" t="n"/>
      <c r="E433" s="31" t="n"/>
      <c r="F433" s="31" t="n"/>
      <c r="G433" s="31" t="n"/>
      <c r="H433" s="31" t="n"/>
      <c r="I433" s="31" t="n"/>
      <c r="J433" s="31" t="n"/>
      <c r="K433" s="31" t="n"/>
      <c r="L433" s="31" t="n"/>
      <c r="M433" s="31" t="n"/>
      <c r="N433" s="31" t="n"/>
      <c r="O433" s="32">
        <f>IF($B433="","",COUNTIF(G433:N433,"Accepted")+COUNTIF(G433:N433,"Received")+COUNTIF(G433:N433,"Needs Correction"))</f>
        <v/>
      </c>
      <c r="P433" s="32">
        <f>IF($B433="","",SUMPRODUCT(((G433:N433="Accepted")+(G433:N433="Not Needed"))*(Settings!$C$11:$J$11="Yes")))</f>
        <v/>
      </c>
      <c r="Q433" s="32">
        <f>IF($B433="","",SUMPRODUCT(((G433:N433="Accepted")+(G433:N433="Not Needed"))*(Settings!$C$15:$J$15="Yes")))</f>
        <v/>
      </c>
      <c r="R433" s="33">
        <f>IF($B433="","",IF($D433="No","No PTO/PTA",IF($D433&lt;&gt;"Yes","Not Yet Confirmed",IF($Q433&gt;=Settings!$C$13,"Legalized",IF($P433&gt;=Settings!$C$12,"Registered",IF($O433&gt;0,"In Progress","Not Started"))))))</f>
        <v/>
      </c>
      <c r="S433" s="32">
        <f>IF($B433="","",COUNTIF(G433:N433,"Received"))</f>
        <v/>
      </c>
      <c r="T433" s="32">
        <f>IF($B433="","",COUNTIF(G433:N433,"Needs Correction"))</f>
        <v/>
      </c>
      <c r="U433" s="33">
        <f>IF($B433="","",IF($D433&lt;&gt;"Yes","",IF($Q433&gt;=Settings!$C$13,"None",MID(IF(AND(G433&lt;&gt;"Accepted",G433&lt;&gt;"Not Needed",Settings!$C$15="Yes"),", "&amp;G$1,"")&amp;IF(AND(H433&lt;&gt;"Accepted",H433&lt;&gt;"Not Needed",Settings!$D$15="Yes"),", "&amp;H$1,"")&amp;IF(AND(I433&lt;&gt;"Accepted",I433&lt;&gt;"Not Needed",Settings!$E$15="Yes"),", "&amp;I$1,"")&amp;IF(AND(J433&lt;&gt;"Accepted",J433&lt;&gt;"Not Needed",Settings!$F$15="Yes"),", "&amp;J$1,"")&amp;IF(AND(K433&lt;&gt;"Accepted",K433&lt;&gt;"Not Needed",Settings!$G$15="Yes"),", "&amp;K$1,"")&amp;IF(AND(L433&lt;&gt;"Accepted",L433&lt;&gt;"Not Needed",Settings!$H$15="Yes"),", "&amp;L$1,"")&amp;IF(AND(M433&lt;&gt;"Accepted",M433&lt;&gt;"Not Needed",Settings!$I$15="Yes"),", "&amp;M$1,"")&amp;IF(AND(N433&lt;&gt;"Accepted",N433&lt;&gt;"Not Needed",Settings!$J$15="Yes"),", "&amp;N$1,""),3,400))))</f>
        <v/>
      </c>
    </row>
    <row r="434" ht="15" customHeight="1" s="21">
      <c r="A434" s="31" t="n"/>
      <c r="B434" s="31" t="n"/>
      <c r="C434" s="31" t="n"/>
      <c r="D434" s="31" t="n"/>
      <c r="E434" s="31" t="n"/>
      <c r="F434" s="31" t="n"/>
      <c r="G434" s="31" t="n"/>
      <c r="H434" s="31" t="n"/>
      <c r="I434" s="31" t="n"/>
      <c r="J434" s="31" t="n"/>
      <c r="K434" s="31" t="n"/>
      <c r="L434" s="31" t="n"/>
      <c r="M434" s="31" t="n"/>
      <c r="N434" s="31" t="n"/>
      <c r="O434" s="32">
        <f>IF($B434="","",COUNTIF(G434:N434,"Accepted")+COUNTIF(G434:N434,"Received")+COUNTIF(G434:N434,"Needs Correction"))</f>
        <v/>
      </c>
      <c r="P434" s="32">
        <f>IF($B434="","",SUMPRODUCT(((G434:N434="Accepted")+(G434:N434="Not Needed"))*(Settings!$C$11:$J$11="Yes")))</f>
        <v/>
      </c>
      <c r="Q434" s="32">
        <f>IF($B434="","",SUMPRODUCT(((G434:N434="Accepted")+(G434:N434="Not Needed"))*(Settings!$C$15:$J$15="Yes")))</f>
        <v/>
      </c>
      <c r="R434" s="33">
        <f>IF($B434="","",IF($D434="No","No PTO/PTA",IF($D434&lt;&gt;"Yes","Not Yet Confirmed",IF($Q434&gt;=Settings!$C$13,"Legalized",IF($P434&gt;=Settings!$C$12,"Registered",IF($O434&gt;0,"In Progress","Not Started"))))))</f>
        <v/>
      </c>
      <c r="S434" s="32">
        <f>IF($B434="","",COUNTIF(G434:N434,"Received"))</f>
        <v/>
      </c>
      <c r="T434" s="32">
        <f>IF($B434="","",COUNTIF(G434:N434,"Needs Correction"))</f>
        <v/>
      </c>
      <c r="U434" s="33">
        <f>IF($B434="","",IF($D434&lt;&gt;"Yes","",IF($Q434&gt;=Settings!$C$13,"None",MID(IF(AND(G434&lt;&gt;"Accepted",G434&lt;&gt;"Not Needed",Settings!$C$15="Yes"),", "&amp;G$1,"")&amp;IF(AND(H434&lt;&gt;"Accepted",H434&lt;&gt;"Not Needed",Settings!$D$15="Yes"),", "&amp;H$1,"")&amp;IF(AND(I434&lt;&gt;"Accepted",I434&lt;&gt;"Not Needed",Settings!$E$15="Yes"),", "&amp;I$1,"")&amp;IF(AND(J434&lt;&gt;"Accepted",J434&lt;&gt;"Not Needed",Settings!$F$15="Yes"),", "&amp;J$1,"")&amp;IF(AND(K434&lt;&gt;"Accepted",K434&lt;&gt;"Not Needed",Settings!$G$15="Yes"),", "&amp;K$1,"")&amp;IF(AND(L434&lt;&gt;"Accepted",L434&lt;&gt;"Not Needed",Settings!$H$15="Yes"),", "&amp;L$1,"")&amp;IF(AND(M434&lt;&gt;"Accepted",M434&lt;&gt;"Not Needed",Settings!$I$15="Yes"),", "&amp;M$1,"")&amp;IF(AND(N434&lt;&gt;"Accepted",N434&lt;&gt;"Not Needed",Settings!$J$15="Yes"),", "&amp;N$1,""),3,400))))</f>
        <v/>
      </c>
    </row>
    <row r="435" ht="15" customHeight="1" s="21">
      <c r="A435" s="31" t="n"/>
      <c r="B435" s="31" t="n"/>
      <c r="C435" s="31" t="n"/>
      <c r="D435" s="31" t="n"/>
      <c r="E435" s="31" t="n"/>
      <c r="F435" s="31" t="n"/>
      <c r="G435" s="31" t="n"/>
      <c r="H435" s="31" t="n"/>
      <c r="I435" s="31" t="n"/>
      <c r="J435" s="31" t="n"/>
      <c r="K435" s="31" t="n"/>
      <c r="L435" s="31" t="n"/>
      <c r="M435" s="31" t="n"/>
      <c r="N435" s="31" t="n"/>
      <c r="O435" s="32">
        <f>IF($B435="","",COUNTIF(G435:N435,"Accepted")+COUNTIF(G435:N435,"Received")+COUNTIF(G435:N435,"Needs Correction"))</f>
        <v/>
      </c>
      <c r="P435" s="32">
        <f>IF($B435="","",SUMPRODUCT(((G435:N435="Accepted")+(G435:N435="Not Needed"))*(Settings!$C$11:$J$11="Yes")))</f>
        <v/>
      </c>
      <c r="Q435" s="32">
        <f>IF($B435="","",SUMPRODUCT(((G435:N435="Accepted")+(G435:N435="Not Needed"))*(Settings!$C$15:$J$15="Yes")))</f>
        <v/>
      </c>
      <c r="R435" s="33">
        <f>IF($B435="","",IF($D435="No","No PTO/PTA",IF($D435&lt;&gt;"Yes","Not Yet Confirmed",IF($Q435&gt;=Settings!$C$13,"Legalized",IF($P435&gt;=Settings!$C$12,"Registered",IF($O435&gt;0,"In Progress","Not Started"))))))</f>
        <v/>
      </c>
      <c r="S435" s="32">
        <f>IF($B435="","",COUNTIF(G435:N435,"Received"))</f>
        <v/>
      </c>
      <c r="T435" s="32">
        <f>IF($B435="","",COUNTIF(G435:N435,"Needs Correction"))</f>
        <v/>
      </c>
      <c r="U435" s="33">
        <f>IF($B435="","",IF($D435&lt;&gt;"Yes","",IF($Q435&gt;=Settings!$C$13,"None",MID(IF(AND(G435&lt;&gt;"Accepted",G435&lt;&gt;"Not Needed",Settings!$C$15="Yes"),", "&amp;G$1,"")&amp;IF(AND(H435&lt;&gt;"Accepted",H435&lt;&gt;"Not Needed",Settings!$D$15="Yes"),", "&amp;H$1,"")&amp;IF(AND(I435&lt;&gt;"Accepted",I435&lt;&gt;"Not Needed",Settings!$E$15="Yes"),", "&amp;I$1,"")&amp;IF(AND(J435&lt;&gt;"Accepted",J435&lt;&gt;"Not Needed",Settings!$F$15="Yes"),", "&amp;J$1,"")&amp;IF(AND(K435&lt;&gt;"Accepted",K435&lt;&gt;"Not Needed",Settings!$G$15="Yes"),", "&amp;K$1,"")&amp;IF(AND(L435&lt;&gt;"Accepted",L435&lt;&gt;"Not Needed",Settings!$H$15="Yes"),", "&amp;L$1,"")&amp;IF(AND(M435&lt;&gt;"Accepted",M435&lt;&gt;"Not Needed",Settings!$I$15="Yes"),", "&amp;M$1,"")&amp;IF(AND(N435&lt;&gt;"Accepted",N435&lt;&gt;"Not Needed",Settings!$J$15="Yes"),", "&amp;N$1,""),3,400))))</f>
        <v/>
      </c>
    </row>
    <row r="436" ht="15" customHeight="1" s="21">
      <c r="A436" s="31" t="n"/>
      <c r="B436" s="31" t="n"/>
      <c r="C436" s="31" t="n"/>
      <c r="D436" s="31" t="n"/>
      <c r="E436" s="31" t="n"/>
      <c r="F436" s="31" t="n"/>
      <c r="G436" s="31" t="n"/>
      <c r="H436" s="31" t="n"/>
      <c r="I436" s="31" t="n"/>
      <c r="J436" s="31" t="n"/>
      <c r="K436" s="31" t="n"/>
      <c r="L436" s="31" t="n"/>
      <c r="M436" s="31" t="n"/>
      <c r="N436" s="31" t="n"/>
      <c r="O436" s="32">
        <f>IF($B436="","",COUNTIF(G436:N436,"Accepted")+COUNTIF(G436:N436,"Received")+COUNTIF(G436:N436,"Needs Correction"))</f>
        <v/>
      </c>
      <c r="P436" s="32">
        <f>IF($B436="","",SUMPRODUCT(((G436:N436="Accepted")+(G436:N436="Not Needed"))*(Settings!$C$11:$J$11="Yes")))</f>
        <v/>
      </c>
      <c r="Q436" s="32">
        <f>IF($B436="","",SUMPRODUCT(((G436:N436="Accepted")+(G436:N436="Not Needed"))*(Settings!$C$15:$J$15="Yes")))</f>
        <v/>
      </c>
      <c r="R436" s="33">
        <f>IF($B436="","",IF($D436="No","No PTO/PTA",IF($D436&lt;&gt;"Yes","Not Yet Confirmed",IF($Q436&gt;=Settings!$C$13,"Legalized",IF($P436&gt;=Settings!$C$12,"Registered",IF($O436&gt;0,"In Progress","Not Started"))))))</f>
        <v/>
      </c>
      <c r="S436" s="32">
        <f>IF($B436="","",COUNTIF(G436:N436,"Received"))</f>
        <v/>
      </c>
      <c r="T436" s="32">
        <f>IF($B436="","",COUNTIF(G436:N436,"Needs Correction"))</f>
        <v/>
      </c>
      <c r="U436" s="33">
        <f>IF($B436="","",IF($D436&lt;&gt;"Yes","",IF($Q436&gt;=Settings!$C$13,"None",MID(IF(AND(G436&lt;&gt;"Accepted",G436&lt;&gt;"Not Needed",Settings!$C$15="Yes"),", "&amp;G$1,"")&amp;IF(AND(H436&lt;&gt;"Accepted",H436&lt;&gt;"Not Needed",Settings!$D$15="Yes"),", "&amp;H$1,"")&amp;IF(AND(I436&lt;&gt;"Accepted",I436&lt;&gt;"Not Needed",Settings!$E$15="Yes"),", "&amp;I$1,"")&amp;IF(AND(J436&lt;&gt;"Accepted",J436&lt;&gt;"Not Needed",Settings!$F$15="Yes"),", "&amp;J$1,"")&amp;IF(AND(K436&lt;&gt;"Accepted",K436&lt;&gt;"Not Needed",Settings!$G$15="Yes"),", "&amp;K$1,"")&amp;IF(AND(L436&lt;&gt;"Accepted",L436&lt;&gt;"Not Needed",Settings!$H$15="Yes"),", "&amp;L$1,"")&amp;IF(AND(M436&lt;&gt;"Accepted",M436&lt;&gt;"Not Needed",Settings!$I$15="Yes"),", "&amp;M$1,"")&amp;IF(AND(N436&lt;&gt;"Accepted",N436&lt;&gt;"Not Needed",Settings!$J$15="Yes"),", "&amp;N$1,""),3,400))))</f>
        <v/>
      </c>
    </row>
    <row r="437" ht="15" customHeight="1" s="21">
      <c r="A437" s="31" t="n"/>
      <c r="B437" s="31" t="n"/>
      <c r="C437" s="31" t="n"/>
      <c r="D437" s="31" t="n"/>
      <c r="E437" s="31" t="n"/>
      <c r="F437" s="31" t="n"/>
      <c r="G437" s="31" t="n"/>
      <c r="H437" s="31" t="n"/>
      <c r="I437" s="31" t="n"/>
      <c r="J437" s="31" t="n"/>
      <c r="K437" s="31" t="n"/>
      <c r="L437" s="31" t="n"/>
      <c r="M437" s="31" t="n"/>
      <c r="N437" s="31" t="n"/>
      <c r="O437" s="32">
        <f>IF($B437="","",COUNTIF(G437:N437,"Accepted")+COUNTIF(G437:N437,"Received")+COUNTIF(G437:N437,"Needs Correction"))</f>
        <v/>
      </c>
      <c r="P437" s="32">
        <f>IF($B437="","",SUMPRODUCT(((G437:N437="Accepted")+(G437:N437="Not Needed"))*(Settings!$C$11:$J$11="Yes")))</f>
        <v/>
      </c>
      <c r="Q437" s="32">
        <f>IF($B437="","",SUMPRODUCT(((G437:N437="Accepted")+(G437:N437="Not Needed"))*(Settings!$C$15:$J$15="Yes")))</f>
        <v/>
      </c>
      <c r="R437" s="33">
        <f>IF($B437="","",IF($D437="No","No PTO/PTA",IF($D437&lt;&gt;"Yes","Not Yet Confirmed",IF($Q437&gt;=Settings!$C$13,"Legalized",IF($P437&gt;=Settings!$C$12,"Registered",IF($O437&gt;0,"In Progress","Not Started"))))))</f>
        <v/>
      </c>
      <c r="S437" s="32">
        <f>IF($B437="","",COUNTIF(G437:N437,"Received"))</f>
        <v/>
      </c>
      <c r="T437" s="32">
        <f>IF($B437="","",COUNTIF(G437:N437,"Needs Correction"))</f>
        <v/>
      </c>
      <c r="U437" s="33">
        <f>IF($B437="","",IF($D437&lt;&gt;"Yes","",IF($Q437&gt;=Settings!$C$13,"None",MID(IF(AND(G437&lt;&gt;"Accepted",G437&lt;&gt;"Not Needed",Settings!$C$15="Yes"),", "&amp;G$1,"")&amp;IF(AND(H437&lt;&gt;"Accepted",H437&lt;&gt;"Not Needed",Settings!$D$15="Yes"),", "&amp;H$1,"")&amp;IF(AND(I437&lt;&gt;"Accepted",I437&lt;&gt;"Not Needed",Settings!$E$15="Yes"),", "&amp;I$1,"")&amp;IF(AND(J437&lt;&gt;"Accepted",J437&lt;&gt;"Not Needed",Settings!$F$15="Yes"),", "&amp;J$1,"")&amp;IF(AND(K437&lt;&gt;"Accepted",K437&lt;&gt;"Not Needed",Settings!$G$15="Yes"),", "&amp;K$1,"")&amp;IF(AND(L437&lt;&gt;"Accepted",L437&lt;&gt;"Not Needed",Settings!$H$15="Yes"),", "&amp;L$1,"")&amp;IF(AND(M437&lt;&gt;"Accepted",M437&lt;&gt;"Not Needed",Settings!$I$15="Yes"),", "&amp;M$1,"")&amp;IF(AND(N437&lt;&gt;"Accepted",N437&lt;&gt;"Not Needed",Settings!$J$15="Yes"),", "&amp;N$1,""),3,400))))</f>
        <v/>
      </c>
    </row>
    <row r="438" ht="15" customHeight="1" s="21">
      <c r="A438" s="31" t="n"/>
      <c r="B438" s="31" t="n"/>
      <c r="C438" s="31" t="n"/>
      <c r="D438" s="31" t="n"/>
      <c r="E438" s="31" t="n"/>
      <c r="F438" s="31" t="n"/>
      <c r="G438" s="31" t="n"/>
      <c r="H438" s="31" t="n"/>
      <c r="I438" s="31" t="n"/>
      <c r="J438" s="31" t="n"/>
      <c r="K438" s="31" t="n"/>
      <c r="L438" s="31" t="n"/>
      <c r="M438" s="31" t="n"/>
      <c r="N438" s="31" t="n"/>
      <c r="O438" s="32">
        <f>IF($B438="","",COUNTIF(G438:N438,"Accepted")+COUNTIF(G438:N438,"Received")+COUNTIF(G438:N438,"Needs Correction"))</f>
        <v/>
      </c>
      <c r="P438" s="32">
        <f>IF($B438="","",SUMPRODUCT(((G438:N438="Accepted")+(G438:N438="Not Needed"))*(Settings!$C$11:$J$11="Yes")))</f>
        <v/>
      </c>
      <c r="Q438" s="32">
        <f>IF($B438="","",SUMPRODUCT(((G438:N438="Accepted")+(G438:N438="Not Needed"))*(Settings!$C$15:$J$15="Yes")))</f>
        <v/>
      </c>
      <c r="R438" s="33">
        <f>IF($B438="","",IF($D438="No","No PTO/PTA",IF($D438&lt;&gt;"Yes","Not Yet Confirmed",IF($Q438&gt;=Settings!$C$13,"Legalized",IF($P438&gt;=Settings!$C$12,"Registered",IF($O438&gt;0,"In Progress","Not Started"))))))</f>
        <v/>
      </c>
      <c r="S438" s="32">
        <f>IF($B438="","",COUNTIF(G438:N438,"Received"))</f>
        <v/>
      </c>
      <c r="T438" s="32">
        <f>IF($B438="","",COUNTIF(G438:N438,"Needs Correction"))</f>
        <v/>
      </c>
      <c r="U438" s="33">
        <f>IF($B438="","",IF($D438&lt;&gt;"Yes","",IF($Q438&gt;=Settings!$C$13,"None",MID(IF(AND(G438&lt;&gt;"Accepted",G438&lt;&gt;"Not Needed",Settings!$C$15="Yes"),", "&amp;G$1,"")&amp;IF(AND(H438&lt;&gt;"Accepted",H438&lt;&gt;"Not Needed",Settings!$D$15="Yes"),", "&amp;H$1,"")&amp;IF(AND(I438&lt;&gt;"Accepted",I438&lt;&gt;"Not Needed",Settings!$E$15="Yes"),", "&amp;I$1,"")&amp;IF(AND(J438&lt;&gt;"Accepted",J438&lt;&gt;"Not Needed",Settings!$F$15="Yes"),", "&amp;J$1,"")&amp;IF(AND(K438&lt;&gt;"Accepted",K438&lt;&gt;"Not Needed",Settings!$G$15="Yes"),", "&amp;K$1,"")&amp;IF(AND(L438&lt;&gt;"Accepted",L438&lt;&gt;"Not Needed",Settings!$H$15="Yes"),", "&amp;L$1,"")&amp;IF(AND(M438&lt;&gt;"Accepted",M438&lt;&gt;"Not Needed",Settings!$I$15="Yes"),", "&amp;M$1,"")&amp;IF(AND(N438&lt;&gt;"Accepted",N438&lt;&gt;"Not Needed",Settings!$J$15="Yes"),", "&amp;N$1,""),3,400))))</f>
        <v/>
      </c>
    </row>
    <row r="439" ht="15" customHeight="1" s="21">
      <c r="A439" s="31" t="n"/>
      <c r="B439" s="31" t="n"/>
      <c r="C439" s="31" t="n"/>
      <c r="D439" s="31" t="n"/>
      <c r="E439" s="31" t="n"/>
      <c r="F439" s="31" t="n"/>
      <c r="G439" s="31" t="n"/>
      <c r="H439" s="31" t="n"/>
      <c r="I439" s="31" t="n"/>
      <c r="J439" s="31" t="n"/>
      <c r="K439" s="31" t="n"/>
      <c r="L439" s="31" t="n"/>
      <c r="M439" s="31" t="n"/>
      <c r="N439" s="31" t="n"/>
      <c r="O439" s="32">
        <f>IF($B439="","",COUNTIF(G439:N439,"Accepted")+COUNTIF(G439:N439,"Received")+COUNTIF(G439:N439,"Needs Correction"))</f>
        <v/>
      </c>
      <c r="P439" s="32">
        <f>IF($B439="","",SUMPRODUCT(((G439:N439="Accepted")+(G439:N439="Not Needed"))*(Settings!$C$11:$J$11="Yes")))</f>
        <v/>
      </c>
      <c r="Q439" s="32">
        <f>IF($B439="","",SUMPRODUCT(((G439:N439="Accepted")+(G439:N439="Not Needed"))*(Settings!$C$15:$J$15="Yes")))</f>
        <v/>
      </c>
      <c r="R439" s="33">
        <f>IF($B439="","",IF($D439="No","No PTO/PTA",IF($D439&lt;&gt;"Yes","Not Yet Confirmed",IF($Q439&gt;=Settings!$C$13,"Legalized",IF($P439&gt;=Settings!$C$12,"Registered",IF($O439&gt;0,"In Progress","Not Started"))))))</f>
        <v/>
      </c>
      <c r="S439" s="32">
        <f>IF($B439="","",COUNTIF(G439:N439,"Received"))</f>
        <v/>
      </c>
      <c r="T439" s="32">
        <f>IF($B439="","",COUNTIF(G439:N439,"Needs Correction"))</f>
        <v/>
      </c>
      <c r="U439" s="33">
        <f>IF($B439="","",IF($D439&lt;&gt;"Yes","",IF($Q439&gt;=Settings!$C$13,"None",MID(IF(AND(G439&lt;&gt;"Accepted",G439&lt;&gt;"Not Needed",Settings!$C$15="Yes"),", "&amp;G$1,"")&amp;IF(AND(H439&lt;&gt;"Accepted",H439&lt;&gt;"Not Needed",Settings!$D$15="Yes"),", "&amp;H$1,"")&amp;IF(AND(I439&lt;&gt;"Accepted",I439&lt;&gt;"Not Needed",Settings!$E$15="Yes"),", "&amp;I$1,"")&amp;IF(AND(J439&lt;&gt;"Accepted",J439&lt;&gt;"Not Needed",Settings!$F$15="Yes"),", "&amp;J$1,"")&amp;IF(AND(K439&lt;&gt;"Accepted",K439&lt;&gt;"Not Needed",Settings!$G$15="Yes"),", "&amp;K$1,"")&amp;IF(AND(L439&lt;&gt;"Accepted",L439&lt;&gt;"Not Needed",Settings!$H$15="Yes"),", "&amp;L$1,"")&amp;IF(AND(M439&lt;&gt;"Accepted",M439&lt;&gt;"Not Needed",Settings!$I$15="Yes"),", "&amp;M$1,"")&amp;IF(AND(N439&lt;&gt;"Accepted",N439&lt;&gt;"Not Needed",Settings!$J$15="Yes"),", "&amp;N$1,""),3,400))))</f>
        <v/>
      </c>
    </row>
    <row r="440" ht="15" customHeight="1" s="21">
      <c r="A440" s="31" t="n"/>
      <c r="B440" s="31" t="n"/>
      <c r="C440" s="31" t="n"/>
      <c r="D440" s="31" t="n"/>
      <c r="E440" s="31" t="n"/>
      <c r="F440" s="31" t="n"/>
      <c r="G440" s="31" t="n"/>
      <c r="H440" s="31" t="n"/>
      <c r="I440" s="31" t="n"/>
      <c r="J440" s="31" t="n"/>
      <c r="K440" s="31" t="n"/>
      <c r="L440" s="31" t="n"/>
      <c r="M440" s="31" t="n"/>
      <c r="N440" s="31" t="n"/>
      <c r="O440" s="32">
        <f>IF($B440="","",COUNTIF(G440:N440,"Accepted")+COUNTIF(G440:N440,"Received")+COUNTIF(G440:N440,"Needs Correction"))</f>
        <v/>
      </c>
      <c r="P440" s="32">
        <f>IF($B440="","",SUMPRODUCT(((G440:N440="Accepted")+(G440:N440="Not Needed"))*(Settings!$C$11:$J$11="Yes")))</f>
        <v/>
      </c>
      <c r="Q440" s="32">
        <f>IF($B440="","",SUMPRODUCT(((G440:N440="Accepted")+(G440:N440="Not Needed"))*(Settings!$C$15:$J$15="Yes")))</f>
        <v/>
      </c>
      <c r="R440" s="33">
        <f>IF($B440="","",IF($D440="No","No PTO/PTA",IF($D440&lt;&gt;"Yes","Not Yet Confirmed",IF($Q440&gt;=Settings!$C$13,"Legalized",IF($P440&gt;=Settings!$C$12,"Registered",IF($O440&gt;0,"In Progress","Not Started"))))))</f>
        <v/>
      </c>
      <c r="S440" s="32">
        <f>IF($B440="","",COUNTIF(G440:N440,"Received"))</f>
        <v/>
      </c>
      <c r="T440" s="32">
        <f>IF($B440="","",COUNTIF(G440:N440,"Needs Correction"))</f>
        <v/>
      </c>
      <c r="U440" s="33">
        <f>IF($B440="","",IF($D440&lt;&gt;"Yes","",IF($Q440&gt;=Settings!$C$13,"None",MID(IF(AND(G440&lt;&gt;"Accepted",G440&lt;&gt;"Not Needed",Settings!$C$15="Yes"),", "&amp;G$1,"")&amp;IF(AND(H440&lt;&gt;"Accepted",H440&lt;&gt;"Not Needed",Settings!$D$15="Yes"),", "&amp;H$1,"")&amp;IF(AND(I440&lt;&gt;"Accepted",I440&lt;&gt;"Not Needed",Settings!$E$15="Yes"),", "&amp;I$1,"")&amp;IF(AND(J440&lt;&gt;"Accepted",J440&lt;&gt;"Not Needed",Settings!$F$15="Yes"),", "&amp;J$1,"")&amp;IF(AND(K440&lt;&gt;"Accepted",K440&lt;&gt;"Not Needed",Settings!$G$15="Yes"),", "&amp;K$1,"")&amp;IF(AND(L440&lt;&gt;"Accepted",L440&lt;&gt;"Not Needed",Settings!$H$15="Yes"),", "&amp;L$1,"")&amp;IF(AND(M440&lt;&gt;"Accepted",M440&lt;&gt;"Not Needed",Settings!$I$15="Yes"),", "&amp;M$1,"")&amp;IF(AND(N440&lt;&gt;"Accepted",N440&lt;&gt;"Not Needed",Settings!$J$15="Yes"),", "&amp;N$1,""),3,400))))</f>
        <v/>
      </c>
    </row>
    <row r="441" ht="15" customHeight="1" s="21">
      <c r="A441" s="31" t="n"/>
      <c r="B441" s="31" t="n"/>
      <c r="C441" s="31" t="n"/>
      <c r="D441" s="31" t="n"/>
      <c r="E441" s="31" t="n"/>
      <c r="F441" s="31" t="n"/>
      <c r="G441" s="31" t="n"/>
      <c r="H441" s="31" t="n"/>
      <c r="I441" s="31" t="n"/>
      <c r="J441" s="31" t="n"/>
      <c r="K441" s="31" t="n"/>
      <c r="L441" s="31" t="n"/>
      <c r="M441" s="31" t="n"/>
      <c r="N441" s="31" t="n"/>
      <c r="O441" s="32">
        <f>IF($B441="","",COUNTIF(G441:N441,"Accepted")+COUNTIF(G441:N441,"Received")+COUNTIF(G441:N441,"Needs Correction"))</f>
        <v/>
      </c>
      <c r="P441" s="32">
        <f>IF($B441="","",SUMPRODUCT(((G441:N441="Accepted")+(G441:N441="Not Needed"))*(Settings!$C$11:$J$11="Yes")))</f>
        <v/>
      </c>
      <c r="Q441" s="32">
        <f>IF($B441="","",SUMPRODUCT(((G441:N441="Accepted")+(G441:N441="Not Needed"))*(Settings!$C$15:$J$15="Yes")))</f>
        <v/>
      </c>
      <c r="R441" s="33">
        <f>IF($B441="","",IF($D441="No","No PTO/PTA",IF($D441&lt;&gt;"Yes","Not Yet Confirmed",IF($Q441&gt;=Settings!$C$13,"Legalized",IF($P441&gt;=Settings!$C$12,"Registered",IF($O441&gt;0,"In Progress","Not Started"))))))</f>
        <v/>
      </c>
      <c r="S441" s="32">
        <f>IF($B441="","",COUNTIF(G441:N441,"Received"))</f>
        <v/>
      </c>
      <c r="T441" s="32">
        <f>IF($B441="","",COUNTIF(G441:N441,"Needs Correction"))</f>
        <v/>
      </c>
      <c r="U441" s="33">
        <f>IF($B441="","",IF($D441&lt;&gt;"Yes","",IF($Q441&gt;=Settings!$C$13,"None",MID(IF(AND(G441&lt;&gt;"Accepted",G441&lt;&gt;"Not Needed",Settings!$C$15="Yes"),", "&amp;G$1,"")&amp;IF(AND(H441&lt;&gt;"Accepted",H441&lt;&gt;"Not Needed",Settings!$D$15="Yes"),", "&amp;H$1,"")&amp;IF(AND(I441&lt;&gt;"Accepted",I441&lt;&gt;"Not Needed",Settings!$E$15="Yes"),", "&amp;I$1,"")&amp;IF(AND(J441&lt;&gt;"Accepted",J441&lt;&gt;"Not Needed",Settings!$F$15="Yes"),", "&amp;J$1,"")&amp;IF(AND(K441&lt;&gt;"Accepted",K441&lt;&gt;"Not Needed",Settings!$G$15="Yes"),", "&amp;K$1,"")&amp;IF(AND(L441&lt;&gt;"Accepted",L441&lt;&gt;"Not Needed",Settings!$H$15="Yes"),", "&amp;L$1,"")&amp;IF(AND(M441&lt;&gt;"Accepted",M441&lt;&gt;"Not Needed",Settings!$I$15="Yes"),", "&amp;M$1,"")&amp;IF(AND(N441&lt;&gt;"Accepted",N441&lt;&gt;"Not Needed",Settings!$J$15="Yes"),", "&amp;N$1,""),3,400))))</f>
        <v/>
      </c>
    </row>
    <row r="442" ht="15" customHeight="1" s="21">
      <c r="A442" s="31" t="n"/>
      <c r="B442" s="31" t="n"/>
      <c r="C442" s="31" t="n"/>
      <c r="D442" s="31" t="n"/>
      <c r="E442" s="31" t="n"/>
      <c r="F442" s="31" t="n"/>
      <c r="G442" s="31" t="n"/>
      <c r="H442" s="31" t="n"/>
      <c r="I442" s="31" t="n"/>
      <c r="J442" s="31" t="n"/>
      <c r="K442" s="31" t="n"/>
      <c r="L442" s="31" t="n"/>
      <c r="M442" s="31" t="n"/>
      <c r="N442" s="31" t="n"/>
      <c r="O442" s="32">
        <f>IF($B442="","",COUNTIF(G442:N442,"Accepted")+COUNTIF(G442:N442,"Received")+COUNTIF(G442:N442,"Needs Correction"))</f>
        <v/>
      </c>
      <c r="P442" s="32">
        <f>IF($B442="","",SUMPRODUCT(((G442:N442="Accepted")+(G442:N442="Not Needed"))*(Settings!$C$11:$J$11="Yes")))</f>
        <v/>
      </c>
      <c r="Q442" s="32">
        <f>IF($B442="","",SUMPRODUCT(((G442:N442="Accepted")+(G442:N442="Not Needed"))*(Settings!$C$15:$J$15="Yes")))</f>
        <v/>
      </c>
      <c r="R442" s="33">
        <f>IF($B442="","",IF($D442="No","No PTO/PTA",IF($D442&lt;&gt;"Yes","Not Yet Confirmed",IF($Q442&gt;=Settings!$C$13,"Legalized",IF($P442&gt;=Settings!$C$12,"Registered",IF($O442&gt;0,"In Progress","Not Started"))))))</f>
        <v/>
      </c>
      <c r="S442" s="32">
        <f>IF($B442="","",COUNTIF(G442:N442,"Received"))</f>
        <v/>
      </c>
      <c r="T442" s="32">
        <f>IF($B442="","",COUNTIF(G442:N442,"Needs Correction"))</f>
        <v/>
      </c>
      <c r="U442" s="33">
        <f>IF($B442="","",IF($D442&lt;&gt;"Yes","",IF($Q442&gt;=Settings!$C$13,"None",MID(IF(AND(G442&lt;&gt;"Accepted",G442&lt;&gt;"Not Needed",Settings!$C$15="Yes"),", "&amp;G$1,"")&amp;IF(AND(H442&lt;&gt;"Accepted",H442&lt;&gt;"Not Needed",Settings!$D$15="Yes"),", "&amp;H$1,"")&amp;IF(AND(I442&lt;&gt;"Accepted",I442&lt;&gt;"Not Needed",Settings!$E$15="Yes"),", "&amp;I$1,"")&amp;IF(AND(J442&lt;&gt;"Accepted",J442&lt;&gt;"Not Needed",Settings!$F$15="Yes"),", "&amp;J$1,"")&amp;IF(AND(K442&lt;&gt;"Accepted",K442&lt;&gt;"Not Needed",Settings!$G$15="Yes"),", "&amp;K$1,"")&amp;IF(AND(L442&lt;&gt;"Accepted",L442&lt;&gt;"Not Needed",Settings!$H$15="Yes"),", "&amp;L$1,"")&amp;IF(AND(M442&lt;&gt;"Accepted",M442&lt;&gt;"Not Needed",Settings!$I$15="Yes"),", "&amp;M$1,"")&amp;IF(AND(N442&lt;&gt;"Accepted",N442&lt;&gt;"Not Needed",Settings!$J$15="Yes"),", "&amp;N$1,""),3,400))))</f>
        <v/>
      </c>
    </row>
    <row r="443" ht="15" customHeight="1" s="21">
      <c r="A443" s="31" t="n"/>
      <c r="B443" s="31" t="n"/>
      <c r="C443" s="31" t="n"/>
      <c r="D443" s="31" t="n"/>
      <c r="E443" s="31" t="n"/>
      <c r="F443" s="31" t="n"/>
      <c r="G443" s="31" t="n"/>
      <c r="H443" s="31" t="n"/>
      <c r="I443" s="31" t="n"/>
      <c r="J443" s="31" t="n"/>
      <c r="K443" s="31" t="n"/>
      <c r="L443" s="31" t="n"/>
      <c r="M443" s="31" t="n"/>
      <c r="N443" s="31" t="n"/>
      <c r="O443" s="32">
        <f>IF($B443="","",COUNTIF(G443:N443,"Accepted")+COUNTIF(G443:N443,"Received")+COUNTIF(G443:N443,"Needs Correction"))</f>
        <v/>
      </c>
      <c r="P443" s="32">
        <f>IF($B443="","",SUMPRODUCT(((G443:N443="Accepted")+(G443:N443="Not Needed"))*(Settings!$C$11:$J$11="Yes")))</f>
        <v/>
      </c>
      <c r="Q443" s="32">
        <f>IF($B443="","",SUMPRODUCT(((G443:N443="Accepted")+(G443:N443="Not Needed"))*(Settings!$C$15:$J$15="Yes")))</f>
        <v/>
      </c>
      <c r="R443" s="33">
        <f>IF($B443="","",IF($D443="No","No PTO/PTA",IF($D443&lt;&gt;"Yes","Not Yet Confirmed",IF($Q443&gt;=Settings!$C$13,"Legalized",IF($P443&gt;=Settings!$C$12,"Registered",IF($O443&gt;0,"In Progress","Not Started"))))))</f>
        <v/>
      </c>
      <c r="S443" s="32">
        <f>IF($B443="","",COUNTIF(G443:N443,"Received"))</f>
        <v/>
      </c>
      <c r="T443" s="32">
        <f>IF($B443="","",COUNTIF(G443:N443,"Needs Correction"))</f>
        <v/>
      </c>
      <c r="U443" s="33">
        <f>IF($B443="","",IF($D443&lt;&gt;"Yes","",IF($Q443&gt;=Settings!$C$13,"None",MID(IF(AND(G443&lt;&gt;"Accepted",G443&lt;&gt;"Not Needed",Settings!$C$15="Yes"),", "&amp;G$1,"")&amp;IF(AND(H443&lt;&gt;"Accepted",H443&lt;&gt;"Not Needed",Settings!$D$15="Yes"),", "&amp;H$1,"")&amp;IF(AND(I443&lt;&gt;"Accepted",I443&lt;&gt;"Not Needed",Settings!$E$15="Yes"),", "&amp;I$1,"")&amp;IF(AND(J443&lt;&gt;"Accepted",J443&lt;&gt;"Not Needed",Settings!$F$15="Yes"),", "&amp;J$1,"")&amp;IF(AND(K443&lt;&gt;"Accepted",K443&lt;&gt;"Not Needed",Settings!$G$15="Yes"),", "&amp;K$1,"")&amp;IF(AND(L443&lt;&gt;"Accepted",L443&lt;&gt;"Not Needed",Settings!$H$15="Yes"),", "&amp;L$1,"")&amp;IF(AND(M443&lt;&gt;"Accepted",M443&lt;&gt;"Not Needed",Settings!$I$15="Yes"),", "&amp;M$1,"")&amp;IF(AND(N443&lt;&gt;"Accepted",N443&lt;&gt;"Not Needed",Settings!$J$15="Yes"),", "&amp;N$1,""),3,400))))</f>
        <v/>
      </c>
    </row>
    <row r="444" ht="15" customHeight="1" s="21">
      <c r="A444" s="31" t="n"/>
      <c r="B444" s="31" t="n"/>
      <c r="C444" s="31" t="n"/>
      <c r="D444" s="31" t="n"/>
      <c r="E444" s="31" t="n"/>
      <c r="F444" s="31" t="n"/>
      <c r="G444" s="31" t="n"/>
      <c r="H444" s="31" t="n"/>
      <c r="I444" s="31" t="n"/>
      <c r="J444" s="31" t="n"/>
      <c r="K444" s="31" t="n"/>
      <c r="L444" s="31" t="n"/>
      <c r="M444" s="31" t="n"/>
      <c r="N444" s="31" t="n"/>
      <c r="O444" s="32">
        <f>IF($B444="","",COUNTIF(G444:N444,"Accepted")+COUNTIF(G444:N444,"Received")+COUNTIF(G444:N444,"Needs Correction"))</f>
        <v/>
      </c>
      <c r="P444" s="32">
        <f>IF($B444="","",SUMPRODUCT(((G444:N444="Accepted")+(G444:N444="Not Needed"))*(Settings!$C$11:$J$11="Yes")))</f>
        <v/>
      </c>
      <c r="Q444" s="32">
        <f>IF($B444="","",SUMPRODUCT(((G444:N444="Accepted")+(G444:N444="Not Needed"))*(Settings!$C$15:$J$15="Yes")))</f>
        <v/>
      </c>
      <c r="R444" s="33">
        <f>IF($B444="","",IF($D444="No","No PTO/PTA",IF($D444&lt;&gt;"Yes","Not Yet Confirmed",IF($Q444&gt;=Settings!$C$13,"Legalized",IF($P444&gt;=Settings!$C$12,"Registered",IF($O444&gt;0,"In Progress","Not Started"))))))</f>
        <v/>
      </c>
      <c r="S444" s="32">
        <f>IF($B444="","",COUNTIF(G444:N444,"Received"))</f>
        <v/>
      </c>
      <c r="T444" s="32">
        <f>IF($B444="","",COUNTIF(G444:N444,"Needs Correction"))</f>
        <v/>
      </c>
      <c r="U444" s="33">
        <f>IF($B444="","",IF($D444&lt;&gt;"Yes","",IF($Q444&gt;=Settings!$C$13,"None",MID(IF(AND(G444&lt;&gt;"Accepted",G444&lt;&gt;"Not Needed",Settings!$C$15="Yes"),", "&amp;G$1,"")&amp;IF(AND(H444&lt;&gt;"Accepted",H444&lt;&gt;"Not Needed",Settings!$D$15="Yes"),", "&amp;H$1,"")&amp;IF(AND(I444&lt;&gt;"Accepted",I444&lt;&gt;"Not Needed",Settings!$E$15="Yes"),", "&amp;I$1,"")&amp;IF(AND(J444&lt;&gt;"Accepted",J444&lt;&gt;"Not Needed",Settings!$F$15="Yes"),", "&amp;J$1,"")&amp;IF(AND(K444&lt;&gt;"Accepted",K444&lt;&gt;"Not Needed",Settings!$G$15="Yes"),", "&amp;K$1,"")&amp;IF(AND(L444&lt;&gt;"Accepted",L444&lt;&gt;"Not Needed",Settings!$H$15="Yes"),", "&amp;L$1,"")&amp;IF(AND(M444&lt;&gt;"Accepted",M444&lt;&gt;"Not Needed",Settings!$I$15="Yes"),", "&amp;M$1,"")&amp;IF(AND(N444&lt;&gt;"Accepted",N444&lt;&gt;"Not Needed",Settings!$J$15="Yes"),", "&amp;N$1,""),3,400))))</f>
        <v/>
      </c>
    </row>
    <row r="445" ht="15" customHeight="1" s="21">
      <c r="A445" s="31" t="n"/>
      <c r="B445" s="31" t="n"/>
      <c r="C445" s="31" t="n"/>
      <c r="D445" s="31" t="n"/>
      <c r="E445" s="31" t="n"/>
      <c r="F445" s="31" t="n"/>
      <c r="G445" s="31" t="n"/>
      <c r="H445" s="31" t="n"/>
      <c r="I445" s="31" t="n"/>
      <c r="J445" s="31" t="n"/>
      <c r="K445" s="31" t="n"/>
      <c r="L445" s="31" t="n"/>
      <c r="M445" s="31" t="n"/>
      <c r="N445" s="31" t="n"/>
      <c r="O445" s="32">
        <f>IF($B445="","",COUNTIF(G445:N445,"Accepted")+COUNTIF(G445:N445,"Received")+COUNTIF(G445:N445,"Needs Correction"))</f>
        <v/>
      </c>
      <c r="P445" s="32">
        <f>IF($B445="","",SUMPRODUCT(((G445:N445="Accepted")+(G445:N445="Not Needed"))*(Settings!$C$11:$J$11="Yes")))</f>
        <v/>
      </c>
      <c r="Q445" s="32">
        <f>IF($B445="","",SUMPRODUCT(((G445:N445="Accepted")+(G445:N445="Not Needed"))*(Settings!$C$15:$J$15="Yes")))</f>
        <v/>
      </c>
      <c r="R445" s="33">
        <f>IF($B445="","",IF($D445="No","No PTO/PTA",IF($D445&lt;&gt;"Yes","Not Yet Confirmed",IF($Q445&gt;=Settings!$C$13,"Legalized",IF($P445&gt;=Settings!$C$12,"Registered",IF($O445&gt;0,"In Progress","Not Started"))))))</f>
        <v/>
      </c>
      <c r="S445" s="32">
        <f>IF($B445="","",COUNTIF(G445:N445,"Received"))</f>
        <v/>
      </c>
      <c r="T445" s="32">
        <f>IF($B445="","",COUNTIF(G445:N445,"Needs Correction"))</f>
        <v/>
      </c>
      <c r="U445" s="33">
        <f>IF($B445="","",IF($D445&lt;&gt;"Yes","",IF($Q445&gt;=Settings!$C$13,"None",MID(IF(AND(G445&lt;&gt;"Accepted",G445&lt;&gt;"Not Needed",Settings!$C$15="Yes"),", "&amp;G$1,"")&amp;IF(AND(H445&lt;&gt;"Accepted",H445&lt;&gt;"Not Needed",Settings!$D$15="Yes"),", "&amp;H$1,"")&amp;IF(AND(I445&lt;&gt;"Accepted",I445&lt;&gt;"Not Needed",Settings!$E$15="Yes"),", "&amp;I$1,"")&amp;IF(AND(J445&lt;&gt;"Accepted",J445&lt;&gt;"Not Needed",Settings!$F$15="Yes"),", "&amp;J$1,"")&amp;IF(AND(K445&lt;&gt;"Accepted",K445&lt;&gt;"Not Needed",Settings!$G$15="Yes"),", "&amp;K$1,"")&amp;IF(AND(L445&lt;&gt;"Accepted",L445&lt;&gt;"Not Needed",Settings!$H$15="Yes"),", "&amp;L$1,"")&amp;IF(AND(M445&lt;&gt;"Accepted",M445&lt;&gt;"Not Needed",Settings!$I$15="Yes"),", "&amp;M$1,"")&amp;IF(AND(N445&lt;&gt;"Accepted",N445&lt;&gt;"Not Needed",Settings!$J$15="Yes"),", "&amp;N$1,""),3,400))))</f>
        <v/>
      </c>
    </row>
    <row r="446" ht="15" customHeight="1" s="21">
      <c r="A446" s="31" t="n"/>
      <c r="B446" s="31" t="n"/>
      <c r="C446" s="31" t="n"/>
      <c r="D446" s="31" t="n"/>
      <c r="E446" s="31" t="n"/>
      <c r="F446" s="31" t="n"/>
      <c r="G446" s="31" t="n"/>
      <c r="H446" s="31" t="n"/>
      <c r="I446" s="31" t="n"/>
      <c r="J446" s="31" t="n"/>
      <c r="K446" s="31" t="n"/>
      <c r="L446" s="31" t="n"/>
      <c r="M446" s="31" t="n"/>
      <c r="N446" s="31" t="n"/>
      <c r="O446" s="32">
        <f>IF($B446="","",COUNTIF(G446:N446,"Accepted")+COUNTIF(G446:N446,"Received")+COUNTIF(G446:N446,"Needs Correction"))</f>
        <v/>
      </c>
      <c r="P446" s="32">
        <f>IF($B446="","",SUMPRODUCT(((G446:N446="Accepted")+(G446:N446="Not Needed"))*(Settings!$C$11:$J$11="Yes")))</f>
        <v/>
      </c>
      <c r="Q446" s="32">
        <f>IF($B446="","",SUMPRODUCT(((G446:N446="Accepted")+(G446:N446="Not Needed"))*(Settings!$C$15:$J$15="Yes")))</f>
        <v/>
      </c>
      <c r="R446" s="33">
        <f>IF($B446="","",IF($D446="No","No PTO/PTA",IF($D446&lt;&gt;"Yes","Not Yet Confirmed",IF($Q446&gt;=Settings!$C$13,"Legalized",IF($P446&gt;=Settings!$C$12,"Registered",IF($O446&gt;0,"In Progress","Not Started"))))))</f>
        <v/>
      </c>
      <c r="S446" s="32">
        <f>IF($B446="","",COUNTIF(G446:N446,"Received"))</f>
        <v/>
      </c>
      <c r="T446" s="32">
        <f>IF($B446="","",COUNTIF(G446:N446,"Needs Correction"))</f>
        <v/>
      </c>
      <c r="U446" s="33">
        <f>IF($B446="","",IF($D446&lt;&gt;"Yes","",IF($Q446&gt;=Settings!$C$13,"None",MID(IF(AND(G446&lt;&gt;"Accepted",G446&lt;&gt;"Not Needed",Settings!$C$15="Yes"),", "&amp;G$1,"")&amp;IF(AND(H446&lt;&gt;"Accepted",H446&lt;&gt;"Not Needed",Settings!$D$15="Yes"),", "&amp;H$1,"")&amp;IF(AND(I446&lt;&gt;"Accepted",I446&lt;&gt;"Not Needed",Settings!$E$15="Yes"),", "&amp;I$1,"")&amp;IF(AND(J446&lt;&gt;"Accepted",J446&lt;&gt;"Not Needed",Settings!$F$15="Yes"),", "&amp;J$1,"")&amp;IF(AND(K446&lt;&gt;"Accepted",K446&lt;&gt;"Not Needed",Settings!$G$15="Yes"),", "&amp;K$1,"")&amp;IF(AND(L446&lt;&gt;"Accepted",L446&lt;&gt;"Not Needed",Settings!$H$15="Yes"),", "&amp;L$1,"")&amp;IF(AND(M446&lt;&gt;"Accepted",M446&lt;&gt;"Not Needed",Settings!$I$15="Yes"),", "&amp;M$1,"")&amp;IF(AND(N446&lt;&gt;"Accepted",N446&lt;&gt;"Not Needed",Settings!$J$15="Yes"),", "&amp;N$1,""),3,400))))</f>
        <v/>
      </c>
    </row>
    <row r="447" ht="15" customHeight="1" s="21">
      <c r="A447" s="31" t="n"/>
      <c r="B447" s="31" t="n"/>
      <c r="C447" s="31" t="n"/>
      <c r="D447" s="31" t="n"/>
      <c r="E447" s="31" t="n"/>
      <c r="F447" s="31" t="n"/>
      <c r="G447" s="31" t="n"/>
      <c r="H447" s="31" t="n"/>
      <c r="I447" s="31" t="n"/>
      <c r="J447" s="31" t="n"/>
      <c r="K447" s="31" t="n"/>
      <c r="L447" s="31" t="n"/>
      <c r="M447" s="31" t="n"/>
      <c r="N447" s="31" t="n"/>
      <c r="O447" s="32">
        <f>IF($B447="","",COUNTIF(G447:N447,"Accepted")+COUNTIF(G447:N447,"Received")+COUNTIF(G447:N447,"Needs Correction"))</f>
        <v/>
      </c>
      <c r="P447" s="32">
        <f>IF($B447="","",SUMPRODUCT(((G447:N447="Accepted")+(G447:N447="Not Needed"))*(Settings!$C$11:$J$11="Yes")))</f>
        <v/>
      </c>
      <c r="Q447" s="32">
        <f>IF($B447="","",SUMPRODUCT(((G447:N447="Accepted")+(G447:N447="Not Needed"))*(Settings!$C$15:$J$15="Yes")))</f>
        <v/>
      </c>
      <c r="R447" s="33">
        <f>IF($B447="","",IF($D447="No","No PTO/PTA",IF($D447&lt;&gt;"Yes","Not Yet Confirmed",IF($Q447&gt;=Settings!$C$13,"Legalized",IF($P447&gt;=Settings!$C$12,"Registered",IF($O447&gt;0,"In Progress","Not Started"))))))</f>
        <v/>
      </c>
      <c r="S447" s="32">
        <f>IF($B447="","",COUNTIF(G447:N447,"Received"))</f>
        <v/>
      </c>
      <c r="T447" s="32">
        <f>IF($B447="","",COUNTIF(G447:N447,"Needs Correction"))</f>
        <v/>
      </c>
      <c r="U447" s="33">
        <f>IF($B447="","",IF($D447&lt;&gt;"Yes","",IF($Q447&gt;=Settings!$C$13,"None",MID(IF(AND(G447&lt;&gt;"Accepted",G447&lt;&gt;"Not Needed",Settings!$C$15="Yes"),", "&amp;G$1,"")&amp;IF(AND(H447&lt;&gt;"Accepted",H447&lt;&gt;"Not Needed",Settings!$D$15="Yes"),", "&amp;H$1,"")&amp;IF(AND(I447&lt;&gt;"Accepted",I447&lt;&gt;"Not Needed",Settings!$E$15="Yes"),", "&amp;I$1,"")&amp;IF(AND(J447&lt;&gt;"Accepted",J447&lt;&gt;"Not Needed",Settings!$F$15="Yes"),", "&amp;J$1,"")&amp;IF(AND(K447&lt;&gt;"Accepted",K447&lt;&gt;"Not Needed",Settings!$G$15="Yes"),", "&amp;K$1,"")&amp;IF(AND(L447&lt;&gt;"Accepted",L447&lt;&gt;"Not Needed",Settings!$H$15="Yes"),", "&amp;L$1,"")&amp;IF(AND(M447&lt;&gt;"Accepted",M447&lt;&gt;"Not Needed",Settings!$I$15="Yes"),", "&amp;M$1,"")&amp;IF(AND(N447&lt;&gt;"Accepted",N447&lt;&gt;"Not Needed",Settings!$J$15="Yes"),", "&amp;N$1,""),3,400))))</f>
        <v/>
      </c>
    </row>
    <row r="448" ht="15" customHeight="1" s="21">
      <c r="A448" s="31" t="n"/>
      <c r="B448" s="31" t="n"/>
      <c r="C448" s="31" t="n"/>
      <c r="D448" s="31" t="n"/>
      <c r="E448" s="31" t="n"/>
      <c r="F448" s="31" t="n"/>
      <c r="G448" s="31" t="n"/>
      <c r="H448" s="31" t="n"/>
      <c r="I448" s="31" t="n"/>
      <c r="J448" s="31" t="n"/>
      <c r="K448" s="31" t="n"/>
      <c r="L448" s="31" t="n"/>
      <c r="M448" s="31" t="n"/>
      <c r="N448" s="31" t="n"/>
      <c r="O448" s="32">
        <f>IF($B448="","",COUNTIF(G448:N448,"Accepted")+COUNTIF(G448:N448,"Received")+COUNTIF(G448:N448,"Needs Correction"))</f>
        <v/>
      </c>
      <c r="P448" s="32">
        <f>IF($B448="","",SUMPRODUCT(((G448:N448="Accepted")+(G448:N448="Not Needed"))*(Settings!$C$11:$J$11="Yes")))</f>
        <v/>
      </c>
      <c r="Q448" s="32">
        <f>IF($B448="","",SUMPRODUCT(((G448:N448="Accepted")+(G448:N448="Not Needed"))*(Settings!$C$15:$J$15="Yes")))</f>
        <v/>
      </c>
      <c r="R448" s="33">
        <f>IF($B448="","",IF($D448="No","No PTO/PTA",IF($D448&lt;&gt;"Yes","Not Yet Confirmed",IF($Q448&gt;=Settings!$C$13,"Legalized",IF($P448&gt;=Settings!$C$12,"Registered",IF($O448&gt;0,"In Progress","Not Started"))))))</f>
        <v/>
      </c>
      <c r="S448" s="32">
        <f>IF($B448="","",COUNTIF(G448:N448,"Received"))</f>
        <v/>
      </c>
      <c r="T448" s="32">
        <f>IF($B448="","",COUNTIF(G448:N448,"Needs Correction"))</f>
        <v/>
      </c>
      <c r="U448" s="33">
        <f>IF($B448="","",IF($D448&lt;&gt;"Yes","",IF($Q448&gt;=Settings!$C$13,"None",MID(IF(AND(G448&lt;&gt;"Accepted",G448&lt;&gt;"Not Needed",Settings!$C$15="Yes"),", "&amp;G$1,"")&amp;IF(AND(H448&lt;&gt;"Accepted",H448&lt;&gt;"Not Needed",Settings!$D$15="Yes"),", "&amp;H$1,"")&amp;IF(AND(I448&lt;&gt;"Accepted",I448&lt;&gt;"Not Needed",Settings!$E$15="Yes"),", "&amp;I$1,"")&amp;IF(AND(J448&lt;&gt;"Accepted",J448&lt;&gt;"Not Needed",Settings!$F$15="Yes"),", "&amp;J$1,"")&amp;IF(AND(K448&lt;&gt;"Accepted",K448&lt;&gt;"Not Needed",Settings!$G$15="Yes"),", "&amp;K$1,"")&amp;IF(AND(L448&lt;&gt;"Accepted",L448&lt;&gt;"Not Needed",Settings!$H$15="Yes"),", "&amp;L$1,"")&amp;IF(AND(M448&lt;&gt;"Accepted",M448&lt;&gt;"Not Needed",Settings!$I$15="Yes"),", "&amp;M$1,"")&amp;IF(AND(N448&lt;&gt;"Accepted",N448&lt;&gt;"Not Needed",Settings!$J$15="Yes"),", "&amp;N$1,""),3,400))))</f>
        <v/>
      </c>
    </row>
    <row r="449" ht="15" customHeight="1" s="21">
      <c r="A449" s="31" t="n"/>
      <c r="B449" s="31" t="n"/>
      <c r="C449" s="31" t="n"/>
      <c r="D449" s="31" t="n"/>
      <c r="E449" s="31" t="n"/>
      <c r="F449" s="31" t="n"/>
      <c r="G449" s="31" t="n"/>
      <c r="H449" s="31" t="n"/>
      <c r="I449" s="31" t="n"/>
      <c r="J449" s="31" t="n"/>
      <c r="K449" s="31" t="n"/>
      <c r="L449" s="31" t="n"/>
      <c r="M449" s="31" t="n"/>
      <c r="N449" s="31" t="n"/>
      <c r="O449" s="32">
        <f>IF($B449="","",COUNTIF(G449:N449,"Accepted")+COUNTIF(G449:N449,"Received")+COUNTIF(G449:N449,"Needs Correction"))</f>
        <v/>
      </c>
      <c r="P449" s="32">
        <f>IF($B449="","",SUMPRODUCT(((G449:N449="Accepted")+(G449:N449="Not Needed"))*(Settings!$C$11:$J$11="Yes")))</f>
        <v/>
      </c>
      <c r="Q449" s="32">
        <f>IF($B449="","",SUMPRODUCT(((G449:N449="Accepted")+(G449:N449="Not Needed"))*(Settings!$C$15:$J$15="Yes")))</f>
        <v/>
      </c>
      <c r="R449" s="33">
        <f>IF($B449="","",IF($D449="No","No PTO/PTA",IF($D449&lt;&gt;"Yes","Not Yet Confirmed",IF($Q449&gt;=Settings!$C$13,"Legalized",IF($P449&gt;=Settings!$C$12,"Registered",IF($O449&gt;0,"In Progress","Not Started"))))))</f>
        <v/>
      </c>
      <c r="S449" s="32">
        <f>IF($B449="","",COUNTIF(G449:N449,"Received"))</f>
        <v/>
      </c>
      <c r="T449" s="32">
        <f>IF($B449="","",COUNTIF(G449:N449,"Needs Correction"))</f>
        <v/>
      </c>
      <c r="U449" s="33">
        <f>IF($B449="","",IF($D449&lt;&gt;"Yes","",IF($Q449&gt;=Settings!$C$13,"None",MID(IF(AND(G449&lt;&gt;"Accepted",G449&lt;&gt;"Not Needed",Settings!$C$15="Yes"),", "&amp;G$1,"")&amp;IF(AND(H449&lt;&gt;"Accepted",H449&lt;&gt;"Not Needed",Settings!$D$15="Yes"),", "&amp;H$1,"")&amp;IF(AND(I449&lt;&gt;"Accepted",I449&lt;&gt;"Not Needed",Settings!$E$15="Yes"),", "&amp;I$1,"")&amp;IF(AND(J449&lt;&gt;"Accepted",J449&lt;&gt;"Not Needed",Settings!$F$15="Yes"),", "&amp;J$1,"")&amp;IF(AND(K449&lt;&gt;"Accepted",K449&lt;&gt;"Not Needed",Settings!$G$15="Yes"),", "&amp;K$1,"")&amp;IF(AND(L449&lt;&gt;"Accepted",L449&lt;&gt;"Not Needed",Settings!$H$15="Yes"),", "&amp;L$1,"")&amp;IF(AND(M449&lt;&gt;"Accepted",M449&lt;&gt;"Not Needed",Settings!$I$15="Yes"),", "&amp;M$1,"")&amp;IF(AND(N449&lt;&gt;"Accepted",N449&lt;&gt;"Not Needed",Settings!$J$15="Yes"),", "&amp;N$1,""),3,400))))</f>
        <v/>
      </c>
    </row>
    <row r="450" ht="15" customHeight="1" s="21">
      <c r="A450" s="31" t="n"/>
      <c r="B450" s="31" t="n"/>
      <c r="C450" s="31" t="n"/>
      <c r="D450" s="31" t="n"/>
      <c r="E450" s="31" t="n"/>
      <c r="F450" s="31" t="n"/>
      <c r="G450" s="31" t="n"/>
      <c r="H450" s="31" t="n"/>
      <c r="I450" s="31" t="n"/>
      <c r="J450" s="31" t="n"/>
      <c r="K450" s="31" t="n"/>
      <c r="L450" s="31" t="n"/>
      <c r="M450" s="31" t="n"/>
      <c r="N450" s="31" t="n"/>
      <c r="O450" s="32">
        <f>IF($B450="","",COUNTIF(G450:N450,"Accepted")+COUNTIF(G450:N450,"Received")+COUNTIF(G450:N450,"Needs Correction"))</f>
        <v/>
      </c>
      <c r="P450" s="32">
        <f>IF($B450="","",SUMPRODUCT(((G450:N450="Accepted")+(G450:N450="Not Needed"))*(Settings!$C$11:$J$11="Yes")))</f>
        <v/>
      </c>
      <c r="Q450" s="32">
        <f>IF($B450="","",SUMPRODUCT(((G450:N450="Accepted")+(G450:N450="Not Needed"))*(Settings!$C$15:$J$15="Yes")))</f>
        <v/>
      </c>
      <c r="R450" s="33">
        <f>IF($B450="","",IF($D450="No","No PTO/PTA",IF($D450&lt;&gt;"Yes","Not Yet Confirmed",IF($Q450&gt;=Settings!$C$13,"Legalized",IF($P450&gt;=Settings!$C$12,"Registered",IF($O450&gt;0,"In Progress","Not Started"))))))</f>
        <v/>
      </c>
      <c r="S450" s="32">
        <f>IF($B450="","",COUNTIF(G450:N450,"Received"))</f>
        <v/>
      </c>
      <c r="T450" s="32">
        <f>IF($B450="","",COUNTIF(G450:N450,"Needs Correction"))</f>
        <v/>
      </c>
      <c r="U450" s="33">
        <f>IF($B450="","",IF($D450&lt;&gt;"Yes","",IF($Q450&gt;=Settings!$C$13,"None",MID(IF(AND(G450&lt;&gt;"Accepted",G450&lt;&gt;"Not Needed",Settings!$C$15="Yes"),", "&amp;G$1,"")&amp;IF(AND(H450&lt;&gt;"Accepted",H450&lt;&gt;"Not Needed",Settings!$D$15="Yes"),", "&amp;H$1,"")&amp;IF(AND(I450&lt;&gt;"Accepted",I450&lt;&gt;"Not Needed",Settings!$E$15="Yes"),", "&amp;I$1,"")&amp;IF(AND(J450&lt;&gt;"Accepted",J450&lt;&gt;"Not Needed",Settings!$F$15="Yes"),", "&amp;J$1,"")&amp;IF(AND(K450&lt;&gt;"Accepted",K450&lt;&gt;"Not Needed",Settings!$G$15="Yes"),", "&amp;K$1,"")&amp;IF(AND(L450&lt;&gt;"Accepted",L450&lt;&gt;"Not Needed",Settings!$H$15="Yes"),", "&amp;L$1,"")&amp;IF(AND(M450&lt;&gt;"Accepted",M450&lt;&gt;"Not Needed",Settings!$I$15="Yes"),", "&amp;M$1,"")&amp;IF(AND(N450&lt;&gt;"Accepted",N450&lt;&gt;"Not Needed",Settings!$J$15="Yes"),", "&amp;N$1,""),3,400))))</f>
        <v/>
      </c>
    </row>
    <row r="451" ht="15" customHeight="1" s="21">
      <c r="A451" s="31" t="n"/>
      <c r="B451" s="31" t="n"/>
      <c r="C451" s="31" t="n"/>
      <c r="D451" s="31" t="n"/>
      <c r="E451" s="31" t="n"/>
      <c r="F451" s="31" t="n"/>
      <c r="G451" s="31" t="n"/>
      <c r="H451" s="31" t="n"/>
      <c r="I451" s="31" t="n"/>
      <c r="J451" s="31" t="n"/>
      <c r="K451" s="31" t="n"/>
      <c r="L451" s="31" t="n"/>
      <c r="M451" s="31" t="n"/>
      <c r="N451" s="31" t="n"/>
      <c r="O451" s="32">
        <f>IF($B451="","",COUNTIF(G451:N451,"Accepted")+COUNTIF(G451:N451,"Received")+COUNTIF(G451:N451,"Needs Correction"))</f>
        <v/>
      </c>
      <c r="P451" s="32">
        <f>IF($B451="","",SUMPRODUCT(((G451:N451="Accepted")+(G451:N451="Not Needed"))*(Settings!$C$11:$J$11="Yes")))</f>
        <v/>
      </c>
      <c r="Q451" s="32">
        <f>IF($B451="","",SUMPRODUCT(((G451:N451="Accepted")+(G451:N451="Not Needed"))*(Settings!$C$15:$J$15="Yes")))</f>
        <v/>
      </c>
      <c r="R451" s="33">
        <f>IF($B451="","",IF($D451="No","No PTO/PTA",IF($D451&lt;&gt;"Yes","Not Yet Confirmed",IF($Q451&gt;=Settings!$C$13,"Legalized",IF($P451&gt;=Settings!$C$12,"Registered",IF($O451&gt;0,"In Progress","Not Started"))))))</f>
        <v/>
      </c>
      <c r="S451" s="32">
        <f>IF($B451="","",COUNTIF(G451:N451,"Received"))</f>
        <v/>
      </c>
      <c r="T451" s="32">
        <f>IF($B451="","",COUNTIF(G451:N451,"Needs Correction"))</f>
        <v/>
      </c>
      <c r="U451" s="33">
        <f>IF($B451="","",IF($D451&lt;&gt;"Yes","",IF($Q451&gt;=Settings!$C$13,"None",MID(IF(AND(G451&lt;&gt;"Accepted",G451&lt;&gt;"Not Needed",Settings!$C$15="Yes"),", "&amp;G$1,"")&amp;IF(AND(H451&lt;&gt;"Accepted",H451&lt;&gt;"Not Needed",Settings!$D$15="Yes"),", "&amp;H$1,"")&amp;IF(AND(I451&lt;&gt;"Accepted",I451&lt;&gt;"Not Needed",Settings!$E$15="Yes"),", "&amp;I$1,"")&amp;IF(AND(J451&lt;&gt;"Accepted",J451&lt;&gt;"Not Needed",Settings!$F$15="Yes"),", "&amp;J$1,"")&amp;IF(AND(K451&lt;&gt;"Accepted",K451&lt;&gt;"Not Needed",Settings!$G$15="Yes"),", "&amp;K$1,"")&amp;IF(AND(L451&lt;&gt;"Accepted",L451&lt;&gt;"Not Needed",Settings!$H$15="Yes"),", "&amp;L$1,"")&amp;IF(AND(M451&lt;&gt;"Accepted",M451&lt;&gt;"Not Needed",Settings!$I$15="Yes"),", "&amp;M$1,"")&amp;IF(AND(N451&lt;&gt;"Accepted",N451&lt;&gt;"Not Needed",Settings!$J$15="Yes"),", "&amp;N$1,""),3,400))))</f>
        <v/>
      </c>
    </row>
    <row r="452" ht="15" customHeight="1" s="21">
      <c r="A452" s="31" t="n"/>
      <c r="B452" s="31" t="n"/>
      <c r="C452" s="31" t="n"/>
      <c r="D452" s="31" t="n"/>
      <c r="E452" s="31" t="n"/>
      <c r="F452" s="31" t="n"/>
      <c r="G452" s="31" t="n"/>
      <c r="H452" s="31" t="n"/>
      <c r="I452" s="31" t="n"/>
      <c r="J452" s="31" t="n"/>
      <c r="K452" s="31" t="n"/>
      <c r="L452" s="31" t="n"/>
      <c r="M452" s="31" t="n"/>
      <c r="N452" s="31" t="n"/>
      <c r="O452" s="32">
        <f>IF($B452="","",COUNTIF(G452:N452,"Accepted")+COUNTIF(G452:N452,"Received")+COUNTIF(G452:N452,"Needs Correction"))</f>
        <v/>
      </c>
      <c r="P452" s="32">
        <f>IF($B452="","",SUMPRODUCT(((G452:N452="Accepted")+(G452:N452="Not Needed"))*(Settings!$C$11:$J$11="Yes")))</f>
        <v/>
      </c>
      <c r="Q452" s="32">
        <f>IF($B452="","",SUMPRODUCT(((G452:N452="Accepted")+(G452:N452="Not Needed"))*(Settings!$C$15:$J$15="Yes")))</f>
        <v/>
      </c>
      <c r="R452" s="33">
        <f>IF($B452="","",IF($D452="No","No PTO/PTA",IF($D452&lt;&gt;"Yes","Not Yet Confirmed",IF($Q452&gt;=Settings!$C$13,"Legalized",IF($P452&gt;=Settings!$C$12,"Registered",IF($O452&gt;0,"In Progress","Not Started"))))))</f>
        <v/>
      </c>
      <c r="S452" s="32">
        <f>IF($B452="","",COUNTIF(G452:N452,"Received"))</f>
        <v/>
      </c>
      <c r="T452" s="32">
        <f>IF($B452="","",COUNTIF(G452:N452,"Needs Correction"))</f>
        <v/>
      </c>
      <c r="U452" s="33">
        <f>IF($B452="","",IF($D452&lt;&gt;"Yes","",IF($Q452&gt;=Settings!$C$13,"None",MID(IF(AND(G452&lt;&gt;"Accepted",G452&lt;&gt;"Not Needed",Settings!$C$15="Yes"),", "&amp;G$1,"")&amp;IF(AND(H452&lt;&gt;"Accepted",H452&lt;&gt;"Not Needed",Settings!$D$15="Yes"),", "&amp;H$1,"")&amp;IF(AND(I452&lt;&gt;"Accepted",I452&lt;&gt;"Not Needed",Settings!$E$15="Yes"),", "&amp;I$1,"")&amp;IF(AND(J452&lt;&gt;"Accepted",J452&lt;&gt;"Not Needed",Settings!$F$15="Yes"),", "&amp;J$1,"")&amp;IF(AND(K452&lt;&gt;"Accepted",K452&lt;&gt;"Not Needed",Settings!$G$15="Yes"),", "&amp;K$1,"")&amp;IF(AND(L452&lt;&gt;"Accepted",L452&lt;&gt;"Not Needed",Settings!$H$15="Yes"),", "&amp;L$1,"")&amp;IF(AND(M452&lt;&gt;"Accepted",M452&lt;&gt;"Not Needed",Settings!$I$15="Yes"),", "&amp;M$1,"")&amp;IF(AND(N452&lt;&gt;"Accepted",N452&lt;&gt;"Not Needed",Settings!$J$15="Yes"),", "&amp;N$1,""),3,400))))</f>
        <v/>
      </c>
    </row>
    <row r="453" ht="15" customHeight="1" s="21">
      <c r="A453" s="31" t="n"/>
      <c r="B453" s="31" t="n"/>
      <c r="C453" s="31" t="n"/>
      <c r="D453" s="31" t="n"/>
      <c r="E453" s="31" t="n"/>
      <c r="F453" s="31" t="n"/>
      <c r="G453" s="31" t="n"/>
      <c r="H453" s="31" t="n"/>
      <c r="I453" s="31" t="n"/>
      <c r="J453" s="31" t="n"/>
      <c r="K453" s="31" t="n"/>
      <c r="L453" s="31" t="n"/>
      <c r="M453" s="31" t="n"/>
      <c r="N453" s="31" t="n"/>
      <c r="O453" s="32">
        <f>IF($B453="","",COUNTIF(G453:N453,"Accepted")+COUNTIF(G453:N453,"Received")+COUNTIF(G453:N453,"Needs Correction"))</f>
        <v/>
      </c>
      <c r="P453" s="32">
        <f>IF($B453="","",SUMPRODUCT(((G453:N453="Accepted")+(G453:N453="Not Needed"))*(Settings!$C$11:$J$11="Yes")))</f>
        <v/>
      </c>
      <c r="Q453" s="32">
        <f>IF($B453="","",SUMPRODUCT(((G453:N453="Accepted")+(G453:N453="Not Needed"))*(Settings!$C$15:$J$15="Yes")))</f>
        <v/>
      </c>
      <c r="R453" s="33">
        <f>IF($B453="","",IF($D453="No","No PTO/PTA",IF($D453&lt;&gt;"Yes","Not Yet Confirmed",IF($Q453&gt;=Settings!$C$13,"Legalized",IF($P453&gt;=Settings!$C$12,"Registered",IF($O453&gt;0,"In Progress","Not Started"))))))</f>
        <v/>
      </c>
      <c r="S453" s="32">
        <f>IF($B453="","",COUNTIF(G453:N453,"Received"))</f>
        <v/>
      </c>
      <c r="T453" s="32">
        <f>IF($B453="","",COUNTIF(G453:N453,"Needs Correction"))</f>
        <v/>
      </c>
      <c r="U453" s="33">
        <f>IF($B453="","",IF($D453&lt;&gt;"Yes","",IF($Q453&gt;=Settings!$C$13,"None",MID(IF(AND(G453&lt;&gt;"Accepted",G453&lt;&gt;"Not Needed",Settings!$C$15="Yes"),", "&amp;G$1,"")&amp;IF(AND(H453&lt;&gt;"Accepted",H453&lt;&gt;"Not Needed",Settings!$D$15="Yes"),", "&amp;H$1,"")&amp;IF(AND(I453&lt;&gt;"Accepted",I453&lt;&gt;"Not Needed",Settings!$E$15="Yes"),", "&amp;I$1,"")&amp;IF(AND(J453&lt;&gt;"Accepted",J453&lt;&gt;"Not Needed",Settings!$F$15="Yes"),", "&amp;J$1,"")&amp;IF(AND(K453&lt;&gt;"Accepted",K453&lt;&gt;"Not Needed",Settings!$G$15="Yes"),", "&amp;K$1,"")&amp;IF(AND(L453&lt;&gt;"Accepted",L453&lt;&gt;"Not Needed",Settings!$H$15="Yes"),", "&amp;L$1,"")&amp;IF(AND(M453&lt;&gt;"Accepted",M453&lt;&gt;"Not Needed",Settings!$I$15="Yes"),", "&amp;M$1,"")&amp;IF(AND(N453&lt;&gt;"Accepted",N453&lt;&gt;"Not Needed",Settings!$J$15="Yes"),", "&amp;N$1,""),3,400))))</f>
        <v/>
      </c>
    </row>
    <row r="454" ht="15" customHeight="1" s="21">
      <c r="A454" s="31" t="n"/>
      <c r="B454" s="31" t="n"/>
      <c r="C454" s="31" t="n"/>
      <c r="D454" s="31" t="n"/>
      <c r="E454" s="31" t="n"/>
      <c r="F454" s="31" t="n"/>
      <c r="G454" s="31" t="n"/>
      <c r="H454" s="31" t="n"/>
      <c r="I454" s="31" t="n"/>
      <c r="J454" s="31" t="n"/>
      <c r="K454" s="31" t="n"/>
      <c r="L454" s="31" t="n"/>
      <c r="M454" s="31" t="n"/>
      <c r="N454" s="31" t="n"/>
      <c r="O454" s="32">
        <f>IF($B454="","",COUNTIF(G454:N454,"Accepted")+COUNTIF(G454:N454,"Received")+COUNTIF(G454:N454,"Needs Correction"))</f>
        <v/>
      </c>
      <c r="P454" s="32">
        <f>IF($B454="","",SUMPRODUCT(((G454:N454="Accepted")+(G454:N454="Not Needed"))*(Settings!$C$11:$J$11="Yes")))</f>
        <v/>
      </c>
      <c r="Q454" s="32">
        <f>IF($B454="","",SUMPRODUCT(((G454:N454="Accepted")+(G454:N454="Not Needed"))*(Settings!$C$15:$J$15="Yes")))</f>
        <v/>
      </c>
      <c r="R454" s="33">
        <f>IF($B454="","",IF($D454="No","No PTO/PTA",IF($D454&lt;&gt;"Yes","Not Yet Confirmed",IF($Q454&gt;=Settings!$C$13,"Legalized",IF($P454&gt;=Settings!$C$12,"Registered",IF($O454&gt;0,"In Progress","Not Started"))))))</f>
        <v/>
      </c>
      <c r="S454" s="32">
        <f>IF($B454="","",COUNTIF(G454:N454,"Received"))</f>
        <v/>
      </c>
      <c r="T454" s="32">
        <f>IF($B454="","",COUNTIF(G454:N454,"Needs Correction"))</f>
        <v/>
      </c>
      <c r="U454" s="33">
        <f>IF($B454="","",IF($D454&lt;&gt;"Yes","",IF($Q454&gt;=Settings!$C$13,"None",MID(IF(AND(G454&lt;&gt;"Accepted",G454&lt;&gt;"Not Needed",Settings!$C$15="Yes"),", "&amp;G$1,"")&amp;IF(AND(H454&lt;&gt;"Accepted",H454&lt;&gt;"Not Needed",Settings!$D$15="Yes"),", "&amp;H$1,"")&amp;IF(AND(I454&lt;&gt;"Accepted",I454&lt;&gt;"Not Needed",Settings!$E$15="Yes"),", "&amp;I$1,"")&amp;IF(AND(J454&lt;&gt;"Accepted",J454&lt;&gt;"Not Needed",Settings!$F$15="Yes"),", "&amp;J$1,"")&amp;IF(AND(K454&lt;&gt;"Accepted",K454&lt;&gt;"Not Needed",Settings!$G$15="Yes"),", "&amp;K$1,"")&amp;IF(AND(L454&lt;&gt;"Accepted",L454&lt;&gt;"Not Needed",Settings!$H$15="Yes"),", "&amp;L$1,"")&amp;IF(AND(M454&lt;&gt;"Accepted",M454&lt;&gt;"Not Needed",Settings!$I$15="Yes"),", "&amp;M$1,"")&amp;IF(AND(N454&lt;&gt;"Accepted",N454&lt;&gt;"Not Needed",Settings!$J$15="Yes"),", "&amp;N$1,""),3,400))))</f>
        <v/>
      </c>
    </row>
    <row r="455" ht="15" customHeight="1" s="21">
      <c r="A455" s="31" t="n"/>
      <c r="B455" s="31" t="n"/>
      <c r="C455" s="31" t="n"/>
      <c r="D455" s="31" t="n"/>
      <c r="E455" s="31" t="n"/>
      <c r="F455" s="31" t="n"/>
      <c r="G455" s="31" t="n"/>
      <c r="H455" s="31" t="n"/>
      <c r="I455" s="31" t="n"/>
      <c r="J455" s="31" t="n"/>
      <c r="K455" s="31" t="n"/>
      <c r="L455" s="31" t="n"/>
      <c r="M455" s="31" t="n"/>
      <c r="N455" s="31" t="n"/>
      <c r="O455" s="32">
        <f>IF($B455="","",COUNTIF(G455:N455,"Accepted")+COUNTIF(G455:N455,"Received")+COUNTIF(G455:N455,"Needs Correction"))</f>
        <v/>
      </c>
      <c r="P455" s="32">
        <f>IF($B455="","",SUMPRODUCT(((G455:N455="Accepted")+(G455:N455="Not Needed"))*(Settings!$C$11:$J$11="Yes")))</f>
        <v/>
      </c>
      <c r="Q455" s="32">
        <f>IF($B455="","",SUMPRODUCT(((G455:N455="Accepted")+(G455:N455="Not Needed"))*(Settings!$C$15:$J$15="Yes")))</f>
        <v/>
      </c>
      <c r="R455" s="33">
        <f>IF($B455="","",IF($D455="No","No PTO/PTA",IF($D455&lt;&gt;"Yes","Not Yet Confirmed",IF($Q455&gt;=Settings!$C$13,"Legalized",IF($P455&gt;=Settings!$C$12,"Registered",IF($O455&gt;0,"In Progress","Not Started"))))))</f>
        <v/>
      </c>
      <c r="S455" s="32">
        <f>IF($B455="","",COUNTIF(G455:N455,"Received"))</f>
        <v/>
      </c>
      <c r="T455" s="32">
        <f>IF($B455="","",COUNTIF(G455:N455,"Needs Correction"))</f>
        <v/>
      </c>
      <c r="U455" s="33">
        <f>IF($B455="","",IF($D455&lt;&gt;"Yes","",IF($Q455&gt;=Settings!$C$13,"None",MID(IF(AND(G455&lt;&gt;"Accepted",G455&lt;&gt;"Not Needed",Settings!$C$15="Yes"),", "&amp;G$1,"")&amp;IF(AND(H455&lt;&gt;"Accepted",H455&lt;&gt;"Not Needed",Settings!$D$15="Yes"),", "&amp;H$1,"")&amp;IF(AND(I455&lt;&gt;"Accepted",I455&lt;&gt;"Not Needed",Settings!$E$15="Yes"),", "&amp;I$1,"")&amp;IF(AND(J455&lt;&gt;"Accepted",J455&lt;&gt;"Not Needed",Settings!$F$15="Yes"),", "&amp;J$1,"")&amp;IF(AND(K455&lt;&gt;"Accepted",K455&lt;&gt;"Not Needed",Settings!$G$15="Yes"),", "&amp;K$1,"")&amp;IF(AND(L455&lt;&gt;"Accepted",L455&lt;&gt;"Not Needed",Settings!$H$15="Yes"),", "&amp;L$1,"")&amp;IF(AND(M455&lt;&gt;"Accepted",M455&lt;&gt;"Not Needed",Settings!$I$15="Yes"),", "&amp;M$1,"")&amp;IF(AND(N455&lt;&gt;"Accepted",N455&lt;&gt;"Not Needed",Settings!$J$15="Yes"),", "&amp;N$1,""),3,400))))</f>
        <v/>
      </c>
    </row>
    <row r="456" ht="15" customHeight="1" s="21">
      <c r="A456" s="31" t="n"/>
      <c r="B456" s="31" t="n"/>
      <c r="C456" s="31" t="n"/>
      <c r="D456" s="31" t="n"/>
      <c r="E456" s="31" t="n"/>
      <c r="F456" s="31" t="n"/>
      <c r="G456" s="31" t="n"/>
      <c r="H456" s="31" t="n"/>
      <c r="I456" s="31" t="n"/>
      <c r="J456" s="31" t="n"/>
      <c r="K456" s="31" t="n"/>
      <c r="L456" s="31" t="n"/>
      <c r="M456" s="31" t="n"/>
      <c r="N456" s="31" t="n"/>
      <c r="O456" s="32">
        <f>IF($B456="","",COUNTIF(G456:N456,"Accepted")+COUNTIF(G456:N456,"Received")+COUNTIF(G456:N456,"Needs Correction"))</f>
        <v/>
      </c>
      <c r="P456" s="32">
        <f>IF($B456="","",SUMPRODUCT(((G456:N456="Accepted")+(G456:N456="Not Needed"))*(Settings!$C$11:$J$11="Yes")))</f>
        <v/>
      </c>
      <c r="Q456" s="32">
        <f>IF($B456="","",SUMPRODUCT(((G456:N456="Accepted")+(G456:N456="Not Needed"))*(Settings!$C$15:$J$15="Yes")))</f>
        <v/>
      </c>
      <c r="R456" s="33">
        <f>IF($B456="","",IF($D456="No","No PTO/PTA",IF($D456&lt;&gt;"Yes","Not Yet Confirmed",IF($Q456&gt;=Settings!$C$13,"Legalized",IF($P456&gt;=Settings!$C$12,"Registered",IF($O456&gt;0,"In Progress","Not Started"))))))</f>
        <v/>
      </c>
      <c r="S456" s="32">
        <f>IF($B456="","",COUNTIF(G456:N456,"Received"))</f>
        <v/>
      </c>
      <c r="T456" s="32">
        <f>IF($B456="","",COUNTIF(G456:N456,"Needs Correction"))</f>
        <v/>
      </c>
      <c r="U456" s="33">
        <f>IF($B456="","",IF($D456&lt;&gt;"Yes","",IF($Q456&gt;=Settings!$C$13,"None",MID(IF(AND(G456&lt;&gt;"Accepted",G456&lt;&gt;"Not Needed",Settings!$C$15="Yes"),", "&amp;G$1,"")&amp;IF(AND(H456&lt;&gt;"Accepted",H456&lt;&gt;"Not Needed",Settings!$D$15="Yes"),", "&amp;H$1,"")&amp;IF(AND(I456&lt;&gt;"Accepted",I456&lt;&gt;"Not Needed",Settings!$E$15="Yes"),", "&amp;I$1,"")&amp;IF(AND(J456&lt;&gt;"Accepted",J456&lt;&gt;"Not Needed",Settings!$F$15="Yes"),", "&amp;J$1,"")&amp;IF(AND(K456&lt;&gt;"Accepted",K456&lt;&gt;"Not Needed",Settings!$G$15="Yes"),", "&amp;K$1,"")&amp;IF(AND(L456&lt;&gt;"Accepted",L456&lt;&gt;"Not Needed",Settings!$H$15="Yes"),", "&amp;L$1,"")&amp;IF(AND(M456&lt;&gt;"Accepted",M456&lt;&gt;"Not Needed",Settings!$I$15="Yes"),", "&amp;M$1,"")&amp;IF(AND(N456&lt;&gt;"Accepted",N456&lt;&gt;"Not Needed",Settings!$J$15="Yes"),", "&amp;N$1,""),3,400))))</f>
        <v/>
      </c>
    </row>
    <row r="457" ht="15" customHeight="1" s="21">
      <c r="A457" s="31" t="n"/>
      <c r="B457" s="31" t="n"/>
      <c r="C457" s="31" t="n"/>
      <c r="D457" s="31" t="n"/>
      <c r="E457" s="31" t="n"/>
      <c r="F457" s="31" t="n"/>
      <c r="G457" s="31" t="n"/>
      <c r="H457" s="31" t="n"/>
      <c r="I457" s="31" t="n"/>
      <c r="J457" s="31" t="n"/>
      <c r="K457" s="31" t="n"/>
      <c r="L457" s="31" t="n"/>
      <c r="M457" s="31" t="n"/>
      <c r="N457" s="31" t="n"/>
      <c r="O457" s="32">
        <f>IF($B457="","",COUNTIF(G457:N457,"Accepted")+COUNTIF(G457:N457,"Received")+COUNTIF(G457:N457,"Needs Correction"))</f>
        <v/>
      </c>
      <c r="P457" s="32">
        <f>IF($B457="","",SUMPRODUCT(((G457:N457="Accepted")+(G457:N457="Not Needed"))*(Settings!$C$11:$J$11="Yes")))</f>
        <v/>
      </c>
      <c r="Q457" s="32">
        <f>IF($B457="","",SUMPRODUCT(((G457:N457="Accepted")+(G457:N457="Not Needed"))*(Settings!$C$15:$J$15="Yes")))</f>
        <v/>
      </c>
      <c r="R457" s="33">
        <f>IF($B457="","",IF($D457="No","No PTO/PTA",IF($D457&lt;&gt;"Yes","Not Yet Confirmed",IF($Q457&gt;=Settings!$C$13,"Legalized",IF($P457&gt;=Settings!$C$12,"Registered",IF($O457&gt;0,"In Progress","Not Started"))))))</f>
        <v/>
      </c>
      <c r="S457" s="32">
        <f>IF($B457="","",COUNTIF(G457:N457,"Received"))</f>
        <v/>
      </c>
      <c r="T457" s="32">
        <f>IF($B457="","",COUNTIF(G457:N457,"Needs Correction"))</f>
        <v/>
      </c>
      <c r="U457" s="33">
        <f>IF($B457="","",IF($D457&lt;&gt;"Yes","",IF($Q457&gt;=Settings!$C$13,"None",MID(IF(AND(G457&lt;&gt;"Accepted",G457&lt;&gt;"Not Needed",Settings!$C$15="Yes"),", "&amp;G$1,"")&amp;IF(AND(H457&lt;&gt;"Accepted",H457&lt;&gt;"Not Needed",Settings!$D$15="Yes"),", "&amp;H$1,"")&amp;IF(AND(I457&lt;&gt;"Accepted",I457&lt;&gt;"Not Needed",Settings!$E$15="Yes"),", "&amp;I$1,"")&amp;IF(AND(J457&lt;&gt;"Accepted",J457&lt;&gt;"Not Needed",Settings!$F$15="Yes"),", "&amp;J$1,"")&amp;IF(AND(K457&lt;&gt;"Accepted",K457&lt;&gt;"Not Needed",Settings!$G$15="Yes"),", "&amp;K$1,"")&amp;IF(AND(L457&lt;&gt;"Accepted",L457&lt;&gt;"Not Needed",Settings!$H$15="Yes"),", "&amp;L$1,"")&amp;IF(AND(M457&lt;&gt;"Accepted",M457&lt;&gt;"Not Needed",Settings!$I$15="Yes"),", "&amp;M$1,"")&amp;IF(AND(N457&lt;&gt;"Accepted",N457&lt;&gt;"Not Needed",Settings!$J$15="Yes"),", "&amp;N$1,""),3,400))))</f>
        <v/>
      </c>
    </row>
    <row r="458" ht="15" customHeight="1" s="21">
      <c r="A458" s="31" t="n"/>
      <c r="B458" s="31" t="n"/>
      <c r="C458" s="31" t="n"/>
      <c r="D458" s="31" t="n"/>
      <c r="E458" s="31" t="n"/>
      <c r="F458" s="31" t="n"/>
      <c r="G458" s="31" t="n"/>
      <c r="H458" s="31" t="n"/>
      <c r="I458" s="31" t="n"/>
      <c r="J458" s="31" t="n"/>
      <c r="K458" s="31" t="n"/>
      <c r="L458" s="31" t="n"/>
      <c r="M458" s="31" t="n"/>
      <c r="N458" s="31" t="n"/>
      <c r="O458" s="32">
        <f>IF($B458="","",COUNTIF(G458:N458,"Accepted")+COUNTIF(G458:N458,"Received")+COUNTIF(G458:N458,"Needs Correction"))</f>
        <v/>
      </c>
      <c r="P458" s="32">
        <f>IF($B458="","",SUMPRODUCT(((G458:N458="Accepted")+(G458:N458="Not Needed"))*(Settings!$C$11:$J$11="Yes")))</f>
        <v/>
      </c>
      <c r="Q458" s="32">
        <f>IF($B458="","",SUMPRODUCT(((G458:N458="Accepted")+(G458:N458="Not Needed"))*(Settings!$C$15:$J$15="Yes")))</f>
        <v/>
      </c>
      <c r="R458" s="33">
        <f>IF($B458="","",IF($D458="No","No PTO/PTA",IF($D458&lt;&gt;"Yes","Not Yet Confirmed",IF($Q458&gt;=Settings!$C$13,"Legalized",IF($P458&gt;=Settings!$C$12,"Registered",IF($O458&gt;0,"In Progress","Not Started"))))))</f>
        <v/>
      </c>
      <c r="S458" s="32">
        <f>IF($B458="","",COUNTIF(G458:N458,"Received"))</f>
        <v/>
      </c>
      <c r="T458" s="32">
        <f>IF($B458="","",COUNTIF(G458:N458,"Needs Correction"))</f>
        <v/>
      </c>
      <c r="U458" s="33">
        <f>IF($B458="","",IF($D458&lt;&gt;"Yes","",IF($Q458&gt;=Settings!$C$13,"None",MID(IF(AND(G458&lt;&gt;"Accepted",G458&lt;&gt;"Not Needed",Settings!$C$15="Yes"),", "&amp;G$1,"")&amp;IF(AND(H458&lt;&gt;"Accepted",H458&lt;&gt;"Not Needed",Settings!$D$15="Yes"),", "&amp;H$1,"")&amp;IF(AND(I458&lt;&gt;"Accepted",I458&lt;&gt;"Not Needed",Settings!$E$15="Yes"),", "&amp;I$1,"")&amp;IF(AND(J458&lt;&gt;"Accepted",J458&lt;&gt;"Not Needed",Settings!$F$15="Yes"),", "&amp;J$1,"")&amp;IF(AND(K458&lt;&gt;"Accepted",K458&lt;&gt;"Not Needed",Settings!$G$15="Yes"),", "&amp;K$1,"")&amp;IF(AND(L458&lt;&gt;"Accepted",L458&lt;&gt;"Not Needed",Settings!$H$15="Yes"),", "&amp;L$1,"")&amp;IF(AND(M458&lt;&gt;"Accepted",M458&lt;&gt;"Not Needed",Settings!$I$15="Yes"),", "&amp;M$1,"")&amp;IF(AND(N458&lt;&gt;"Accepted",N458&lt;&gt;"Not Needed",Settings!$J$15="Yes"),", "&amp;N$1,""),3,400))))</f>
        <v/>
      </c>
    </row>
    <row r="459" ht="15" customHeight="1" s="21">
      <c r="A459" s="31" t="n"/>
      <c r="B459" s="31" t="n"/>
      <c r="C459" s="31" t="n"/>
      <c r="D459" s="31" t="n"/>
      <c r="E459" s="31" t="n"/>
      <c r="F459" s="31" t="n"/>
      <c r="G459" s="31" t="n"/>
      <c r="H459" s="31" t="n"/>
      <c r="I459" s="31" t="n"/>
      <c r="J459" s="31" t="n"/>
      <c r="K459" s="31" t="n"/>
      <c r="L459" s="31" t="n"/>
      <c r="M459" s="31" t="n"/>
      <c r="N459" s="31" t="n"/>
      <c r="O459" s="32">
        <f>IF($B459="","",COUNTIF(G459:N459,"Accepted")+COUNTIF(G459:N459,"Received")+COUNTIF(G459:N459,"Needs Correction"))</f>
        <v/>
      </c>
      <c r="P459" s="32">
        <f>IF($B459="","",SUMPRODUCT(((G459:N459="Accepted")+(G459:N459="Not Needed"))*(Settings!$C$11:$J$11="Yes")))</f>
        <v/>
      </c>
      <c r="Q459" s="32">
        <f>IF($B459="","",SUMPRODUCT(((G459:N459="Accepted")+(G459:N459="Not Needed"))*(Settings!$C$15:$J$15="Yes")))</f>
        <v/>
      </c>
      <c r="R459" s="33">
        <f>IF($B459="","",IF($D459="No","No PTO/PTA",IF($D459&lt;&gt;"Yes","Not Yet Confirmed",IF($Q459&gt;=Settings!$C$13,"Legalized",IF($P459&gt;=Settings!$C$12,"Registered",IF($O459&gt;0,"In Progress","Not Started"))))))</f>
        <v/>
      </c>
      <c r="S459" s="32">
        <f>IF($B459="","",COUNTIF(G459:N459,"Received"))</f>
        <v/>
      </c>
      <c r="T459" s="32">
        <f>IF($B459="","",COUNTIF(G459:N459,"Needs Correction"))</f>
        <v/>
      </c>
      <c r="U459" s="33">
        <f>IF($B459="","",IF($D459&lt;&gt;"Yes","",IF($Q459&gt;=Settings!$C$13,"None",MID(IF(AND(G459&lt;&gt;"Accepted",G459&lt;&gt;"Not Needed",Settings!$C$15="Yes"),", "&amp;G$1,"")&amp;IF(AND(H459&lt;&gt;"Accepted",H459&lt;&gt;"Not Needed",Settings!$D$15="Yes"),", "&amp;H$1,"")&amp;IF(AND(I459&lt;&gt;"Accepted",I459&lt;&gt;"Not Needed",Settings!$E$15="Yes"),", "&amp;I$1,"")&amp;IF(AND(J459&lt;&gt;"Accepted",J459&lt;&gt;"Not Needed",Settings!$F$15="Yes"),", "&amp;J$1,"")&amp;IF(AND(K459&lt;&gt;"Accepted",K459&lt;&gt;"Not Needed",Settings!$G$15="Yes"),", "&amp;K$1,"")&amp;IF(AND(L459&lt;&gt;"Accepted",L459&lt;&gt;"Not Needed",Settings!$H$15="Yes"),", "&amp;L$1,"")&amp;IF(AND(M459&lt;&gt;"Accepted",M459&lt;&gt;"Not Needed",Settings!$I$15="Yes"),", "&amp;M$1,"")&amp;IF(AND(N459&lt;&gt;"Accepted",N459&lt;&gt;"Not Needed",Settings!$J$15="Yes"),", "&amp;N$1,""),3,400))))</f>
        <v/>
      </c>
    </row>
    <row r="460" ht="15" customHeight="1" s="21">
      <c r="A460" s="31" t="n"/>
      <c r="B460" s="31" t="n"/>
      <c r="C460" s="31" t="n"/>
      <c r="D460" s="31" t="n"/>
      <c r="E460" s="31" t="n"/>
      <c r="F460" s="31" t="n"/>
      <c r="G460" s="31" t="n"/>
      <c r="H460" s="31" t="n"/>
      <c r="I460" s="31" t="n"/>
      <c r="J460" s="31" t="n"/>
      <c r="K460" s="31" t="n"/>
      <c r="L460" s="31" t="n"/>
      <c r="M460" s="31" t="n"/>
      <c r="N460" s="31" t="n"/>
      <c r="O460" s="32">
        <f>IF($B460="","",COUNTIF(G460:N460,"Accepted")+COUNTIF(G460:N460,"Received")+COUNTIF(G460:N460,"Needs Correction"))</f>
        <v/>
      </c>
      <c r="P460" s="32">
        <f>IF($B460="","",SUMPRODUCT(((G460:N460="Accepted")+(G460:N460="Not Needed"))*(Settings!$C$11:$J$11="Yes")))</f>
        <v/>
      </c>
      <c r="Q460" s="32">
        <f>IF($B460="","",SUMPRODUCT(((G460:N460="Accepted")+(G460:N460="Not Needed"))*(Settings!$C$15:$J$15="Yes")))</f>
        <v/>
      </c>
      <c r="R460" s="33">
        <f>IF($B460="","",IF($D460="No","No PTO/PTA",IF($D460&lt;&gt;"Yes","Not Yet Confirmed",IF($Q460&gt;=Settings!$C$13,"Legalized",IF($P460&gt;=Settings!$C$12,"Registered",IF($O460&gt;0,"In Progress","Not Started"))))))</f>
        <v/>
      </c>
      <c r="S460" s="32">
        <f>IF($B460="","",COUNTIF(G460:N460,"Received"))</f>
        <v/>
      </c>
      <c r="T460" s="32">
        <f>IF($B460="","",COUNTIF(G460:N460,"Needs Correction"))</f>
        <v/>
      </c>
      <c r="U460" s="33">
        <f>IF($B460="","",IF($D460&lt;&gt;"Yes","",IF($Q460&gt;=Settings!$C$13,"None",MID(IF(AND(G460&lt;&gt;"Accepted",G460&lt;&gt;"Not Needed",Settings!$C$15="Yes"),", "&amp;G$1,"")&amp;IF(AND(H460&lt;&gt;"Accepted",H460&lt;&gt;"Not Needed",Settings!$D$15="Yes"),", "&amp;H$1,"")&amp;IF(AND(I460&lt;&gt;"Accepted",I460&lt;&gt;"Not Needed",Settings!$E$15="Yes"),", "&amp;I$1,"")&amp;IF(AND(J460&lt;&gt;"Accepted",J460&lt;&gt;"Not Needed",Settings!$F$15="Yes"),", "&amp;J$1,"")&amp;IF(AND(K460&lt;&gt;"Accepted",K460&lt;&gt;"Not Needed",Settings!$G$15="Yes"),", "&amp;K$1,"")&amp;IF(AND(L460&lt;&gt;"Accepted",L460&lt;&gt;"Not Needed",Settings!$H$15="Yes"),", "&amp;L$1,"")&amp;IF(AND(M460&lt;&gt;"Accepted",M460&lt;&gt;"Not Needed",Settings!$I$15="Yes"),", "&amp;M$1,"")&amp;IF(AND(N460&lt;&gt;"Accepted",N460&lt;&gt;"Not Needed",Settings!$J$15="Yes"),", "&amp;N$1,""),3,400))))</f>
        <v/>
      </c>
    </row>
    <row r="461" ht="15" customHeight="1" s="21">
      <c r="A461" s="31" t="n"/>
      <c r="B461" s="31" t="n"/>
      <c r="C461" s="31" t="n"/>
      <c r="D461" s="31" t="n"/>
      <c r="E461" s="31" t="n"/>
      <c r="F461" s="31" t="n"/>
      <c r="G461" s="31" t="n"/>
      <c r="H461" s="31" t="n"/>
      <c r="I461" s="31" t="n"/>
      <c r="J461" s="31" t="n"/>
      <c r="K461" s="31" t="n"/>
      <c r="L461" s="31" t="n"/>
      <c r="M461" s="31" t="n"/>
      <c r="N461" s="31" t="n"/>
      <c r="O461" s="32">
        <f>IF($B461="","",COUNTIF(G461:N461,"Accepted")+COUNTIF(G461:N461,"Received")+COUNTIF(G461:N461,"Needs Correction"))</f>
        <v/>
      </c>
      <c r="P461" s="32">
        <f>IF($B461="","",SUMPRODUCT(((G461:N461="Accepted")+(G461:N461="Not Needed"))*(Settings!$C$11:$J$11="Yes")))</f>
        <v/>
      </c>
      <c r="Q461" s="32">
        <f>IF($B461="","",SUMPRODUCT(((G461:N461="Accepted")+(G461:N461="Not Needed"))*(Settings!$C$15:$J$15="Yes")))</f>
        <v/>
      </c>
      <c r="R461" s="33">
        <f>IF($B461="","",IF($D461="No","No PTO/PTA",IF($D461&lt;&gt;"Yes","Not Yet Confirmed",IF($Q461&gt;=Settings!$C$13,"Legalized",IF($P461&gt;=Settings!$C$12,"Registered",IF($O461&gt;0,"In Progress","Not Started"))))))</f>
        <v/>
      </c>
      <c r="S461" s="32">
        <f>IF($B461="","",COUNTIF(G461:N461,"Received"))</f>
        <v/>
      </c>
      <c r="T461" s="32">
        <f>IF($B461="","",COUNTIF(G461:N461,"Needs Correction"))</f>
        <v/>
      </c>
      <c r="U461" s="33">
        <f>IF($B461="","",IF($D461&lt;&gt;"Yes","",IF($Q461&gt;=Settings!$C$13,"None",MID(IF(AND(G461&lt;&gt;"Accepted",G461&lt;&gt;"Not Needed",Settings!$C$15="Yes"),", "&amp;G$1,"")&amp;IF(AND(H461&lt;&gt;"Accepted",H461&lt;&gt;"Not Needed",Settings!$D$15="Yes"),", "&amp;H$1,"")&amp;IF(AND(I461&lt;&gt;"Accepted",I461&lt;&gt;"Not Needed",Settings!$E$15="Yes"),", "&amp;I$1,"")&amp;IF(AND(J461&lt;&gt;"Accepted",J461&lt;&gt;"Not Needed",Settings!$F$15="Yes"),", "&amp;J$1,"")&amp;IF(AND(K461&lt;&gt;"Accepted",K461&lt;&gt;"Not Needed",Settings!$G$15="Yes"),", "&amp;K$1,"")&amp;IF(AND(L461&lt;&gt;"Accepted",L461&lt;&gt;"Not Needed",Settings!$H$15="Yes"),", "&amp;L$1,"")&amp;IF(AND(M461&lt;&gt;"Accepted",M461&lt;&gt;"Not Needed",Settings!$I$15="Yes"),", "&amp;M$1,"")&amp;IF(AND(N461&lt;&gt;"Accepted",N461&lt;&gt;"Not Needed",Settings!$J$15="Yes"),", "&amp;N$1,""),3,400))))</f>
        <v/>
      </c>
    </row>
    <row r="462" ht="15" customHeight="1" s="21">
      <c r="A462" s="31" t="n"/>
      <c r="B462" s="31" t="n"/>
      <c r="C462" s="31" t="n"/>
      <c r="D462" s="31" t="n"/>
      <c r="E462" s="31" t="n"/>
      <c r="F462" s="31" t="n"/>
      <c r="G462" s="31" t="n"/>
      <c r="H462" s="31" t="n"/>
      <c r="I462" s="31" t="n"/>
      <c r="J462" s="31" t="n"/>
      <c r="K462" s="31" t="n"/>
      <c r="L462" s="31" t="n"/>
      <c r="M462" s="31" t="n"/>
      <c r="N462" s="31" t="n"/>
      <c r="O462" s="32">
        <f>IF($B462="","",COUNTIF(G462:N462,"Accepted")+COUNTIF(G462:N462,"Received")+COUNTIF(G462:N462,"Needs Correction"))</f>
        <v/>
      </c>
      <c r="P462" s="32">
        <f>IF($B462="","",SUMPRODUCT(((G462:N462="Accepted")+(G462:N462="Not Needed"))*(Settings!$C$11:$J$11="Yes")))</f>
        <v/>
      </c>
      <c r="Q462" s="32">
        <f>IF($B462="","",SUMPRODUCT(((G462:N462="Accepted")+(G462:N462="Not Needed"))*(Settings!$C$15:$J$15="Yes")))</f>
        <v/>
      </c>
      <c r="R462" s="33">
        <f>IF($B462="","",IF($D462="No","No PTO/PTA",IF($D462&lt;&gt;"Yes","Not Yet Confirmed",IF($Q462&gt;=Settings!$C$13,"Legalized",IF($P462&gt;=Settings!$C$12,"Registered",IF($O462&gt;0,"In Progress","Not Started"))))))</f>
        <v/>
      </c>
      <c r="S462" s="32">
        <f>IF($B462="","",COUNTIF(G462:N462,"Received"))</f>
        <v/>
      </c>
      <c r="T462" s="32">
        <f>IF($B462="","",COUNTIF(G462:N462,"Needs Correction"))</f>
        <v/>
      </c>
      <c r="U462" s="33">
        <f>IF($B462="","",IF($D462&lt;&gt;"Yes","",IF($Q462&gt;=Settings!$C$13,"None",MID(IF(AND(G462&lt;&gt;"Accepted",G462&lt;&gt;"Not Needed",Settings!$C$15="Yes"),", "&amp;G$1,"")&amp;IF(AND(H462&lt;&gt;"Accepted",H462&lt;&gt;"Not Needed",Settings!$D$15="Yes"),", "&amp;H$1,"")&amp;IF(AND(I462&lt;&gt;"Accepted",I462&lt;&gt;"Not Needed",Settings!$E$15="Yes"),", "&amp;I$1,"")&amp;IF(AND(J462&lt;&gt;"Accepted",J462&lt;&gt;"Not Needed",Settings!$F$15="Yes"),", "&amp;J$1,"")&amp;IF(AND(K462&lt;&gt;"Accepted",K462&lt;&gt;"Not Needed",Settings!$G$15="Yes"),", "&amp;K$1,"")&amp;IF(AND(L462&lt;&gt;"Accepted",L462&lt;&gt;"Not Needed",Settings!$H$15="Yes"),", "&amp;L$1,"")&amp;IF(AND(M462&lt;&gt;"Accepted",M462&lt;&gt;"Not Needed",Settings!$I$15="Yes"),", "&amp;M$1,"")&amp;IF(AND(N462&lt;&gt;"Accepted",N462&lt;&gt;"Not Needed",Settings!$J$15="Yes"),", "&amp;N$1,""),3,400))))</f>
        <v/>
      </c>
    </row>
    <row r="463" ht="15" customHeight="1" s="21">
      <c r="A463" s="31" t="n"/>
      <c r="B463" s="31" t="n"/>
      <c r="C463" s="31" t="n"/>
      <c r="D463" s="31" t="n"/>
      <c r="E463" s="31" t="n"/>
      <c r="F463" s="31" t="n"/>
      <c r="G463" s="31" t="n"/>
      <c r="H463" s="31" t="n"/>
      <c r="I463" s="31" t="n"/>
      <c r="J463" s="31" t="n"/>
      <c r="K463" s="31" t="n"/>
      <c r="L463" s="31" t="n"/>
      <c r="M463" s="31" t="n"/>
      <c r="N463" s="31" t="n"/>
      <c r="O463" s="32">
        <f>IF($B463="","",COUNTIF(G463:N463,"Accepted")+COUNTIF(G463:N463,"Received")+COUNTIF(G463:N463,"Needs Correction"))</f>
        <v/>
      </c>
      <c r="P463" s="32">
        <f>IF($B463="","",SUMPRODUCT(((G463:N463="Accepted")+(G463:N463="Not Needed"))*(Settings!$C$11:$J$11="Yes")))</f>
        <v/>
      </c>
      <c r="Q463" s="32">
        <f>IF($B463="","",SUMPRODUCT(((G463:N463="Accepted")+(G463:N463="Not Needed"))*(Settings!$C$15:$J$15="Yes")))</f>
        <v/>
      </c>
      <c r="R463" s="33">
        <f>IF($B463="","",IF($D463="No","No PTO/PTA",IF($D463&lt;&gt;"Yes","Not Yet Confirmed",IF($Q463&gt;=Settings!$C$13,"Legalized",IF($P463&gt;=Settings!$C$12,"Registered",IF($O463&gt;0,"In Progress","Not Started"))))))</f>
        <v/>
      </c>
      <c r="S463" s="32">
        <f>IF($B463="","",COUNTIF(G463:N463,"Received"))</f>
        <v/>
      </c>
      <c r="T463" s="32">
        <f>IF($B463="","",COUNTIF(G463:N463,"Needs Correction"))</f>
        <v/>
      </c>
      <c r="U463" s="33">
        <f>IF($B463="","",IF($D463&lt;&gt;"Yes","",IF($Q463&gt;=Settings!$C$13,"None",MID(IF(AND(G463&lt;&gt;"Accepted",G463&lt;&gt;"Not Needed",Settings!$C$15="Yes"),", "&amp;G$1,"")&amp;IF(AND(H463&lt;&gt;"Accepted",H463&lt;&gt;"Not Needed",Settings!$D$15="Yes"),", "&amp;H$1,"")&amp;IF(AND(I463&lt;&gt;"Accepted",I463&lt;&gt;"Not Needed",Settings!$E$15="Yes"),", "&amp;I$1,"")&amp;IF(AND(J463&lt;&gt;"Accepted",J463&lt;&gt;"Not Needed",Settings!$F$15="Yes"),", "&amp;J$1,"")&amp;IF(AND(K463&lt;&gt;"Accepted",K463&lt;&gt;"Not Needed",Settings!$G$15="Yes"),", "&amp;K$1,"")&amp;IF(AND(L463&lt;&gt;"Accepted",L463&lt;&gt;"Not Needed",Settings!$H$15="Yes"),", "&amp;L$1,"")&amp;IF(AND(M463&lt;&gt;"Accepted",M463&lt;&gt;"Not Needed",Settings!$I$15="Yes"),", "&amp;M$1,"")&amp;IF(AND(N463&lt;&gt;"Accepted",N463&lt;&gt;"Not Needed",Settings!$J$15="Yes"),", "&amp;N$1,""),3,400))))</f>
        <v/>
      </c>
    </row>
    <row r="464" ht="15" customHeight="1" s="21">
      <c r="A464" s="31" t="n"/>
      <c r="B464" s="31" t="n"/>
      <c r="C464" s="31" t="n"/>
      <c r="D464" s="31" t="n"/>
      <c r="E464" s="31" t="n"/>
      <c r="F464" s="31" t="n"/>
      <c r="G464" s="31" t="n"/>
      <c r="H464" s="31" t="n"/>
      <c r="I464" s="31" t="n"/>
      <c r="J464" s="31" t="n"/>
      <c r="K464" s="31" t="n"/>
      <c r="L464" s="31" t="n"/>
      <c r="M464" s="31" t="n"/>
      <c r="N464" s="31" t="n"/>
      <c r="O464" s="32">
        <f>IF($B464="","",COUNTIF(G464:N464,"Accepted")+COUNTIF(G464:N464,"Received")+COUNTIF(G464:N464,"Needs Correction"))</f>
        <v/>
      </c>
      <c r="P464" s="32">
        <f>IF($B464="","",SUMPRODUCT(((G464:N464="Accepted")+(G464:N464="Not Needed"))*(Settings!$C$11:$J$11="Yes")))</f>
        <v/>
      </c>
      <c r="Q464" s="32">
        <f>IF($B464="","",SUMPRODUCT(((G464:N464="Accepted")+(G464:N464="Not Needed"))*(Settings!$C$15:$J$15="Yes")))</f>
        <v/>
      </c>
      <c r="R464" s="33">
        <f>IF($B464="","",IF($D464="No","No PTO/PTA",IF($D464&lt;&gt;"Yes","Not Yet Confirmed",IF($Q464&gt;=Settings!$C$13,"Legalized",IF($P464&gt;=Settings!$C$12,"Registered",IF($O464&gt;0,"In Progress","Not Started"))))))</f>
        <v/>
      </c>
      <c r="S464" s="32">
        <f>IF($B464="","",COUNTIF(G464:N464,"Received"))</f>
        <v/>
      </c>
      <c r="T464" s="32">
        <f>IF($B464="","",COUNTIF(G464:N464,"Needs Correction"))</f>
        <v/>
      </c>
      <c r="U464" s="33">
        <f>IF($B464="","",IF($D464&lt;&gt;"Yes","",IF($Q464&gt;=Settings!$C$13,"None",MID(IF(AND(G464&lt;&gt;"Accepted",G464&lt;&gt;"Not Needed",Settings!$C$15="Yes"),", "&amp;G$1,"")&amp;IF(AND(H464&lt;&gt;"Accepted",H464&lt;&gt;"Not Needed",Settings!$D$15="Yes"),", "&amp;H$1,"")&amp;IF(AND(I464&lt;&gt;"Accepted",I464&lt;&gt;"Not Needed",Settings!$E$15="Yes"),", "&amp;I$1,"")&amp;IF(AND(J464&lt;&gt;"Accepted",J464&lt;&gt;"Not Needed",Settings!$F$15="Yes"),", "&amp;J$1,"")&amp;IF(AND(K464&lt;&gt;"Accepted",K464&lt;&gt;"Not Needed",Settings!$G$15="Yes"),", "&amp;K$1,"")&amp;IF(AND(L464&lt;&gt;"Accepted",L464&lt;&gt;"Not Needed",Settings!$H$15="Yes"),", "&amp;L$1,"")&amp;IF(AND(M464&lt;&gt;"Accepted",M464&lt;&gt;"Not Needed",Settings!$I$15="Yes"),", "&amp;M$1,"")&amp;IF(AND(N464&lt;&gt;"Accepted",N464&lt;&gt;"Not Needed",Settings!$J$15="Yes"),", "&amp;N$1,""),3,400))))</f>
        <v/>
      </c>
    </row>
    <row r="465" ht="15" customHeight="1" s="21">
      <c r="A465" s="31" t="n"/>
      <c r="B465" s="31" t="n"/>
      <c r="C465" s="31" t="n"/>
      <c r="D465" s="31" t="n"/>
      <c r="E465" s="31" t="n"/>
      <c r="F465" s="31" t="n"/>
      <c r="G465" s="31" t="n"/>
      <c r="H465" s="31" t="n"/>
      <c r="I465" s="31" t="n"/>
      <c r="J465" s="31" t="n"/>
      <c r="K465" s="31" t="n"/>
      <c r="L465" s="31" t="n"/>
      <c r="M465" s="31" t="n"/>
      <c r="N465" s="31" t="n"/>
      <c r="O465" s="32">
        <f>IF($B465="","",COUNTIF(G465:N465,"Accepted")+COUNTIF(G465:N465,"Received")+COUNTIF(G465:N465,"Needs Correction"))</f>
        <v/>
      </c>
      <c r="P465" s="32">
        <f>IF($B465="","",SUMPRODUCT(((G465:N465="Accepted")+(G465:N465="Not Needed"))*(Settings!$C$11:$J$11="Yes")))</f>
        <v/>
      </c>
      <c r="Q465" s="32">
        <f>IF($B465="","",SUMPRODUCT(((G465:N465="Accepted")+(G465:N465="Not Needed"))*(Settings!$C$15:$J$15="Yes")))</f>
        <v/>
      </c>
      <c r="R465" s="33">
        <f>IF($B465="","",IF($D465="No","No PTO/PTA",IF($D465&lt;&gt;"Yes","Not Yet Confirmed",IF($Q465&gt;=Settings!$C$13,"Legalized",IF($P465&gt;=Settings!$C$12,"Registered",IF($O465&gt;0,"In Progress","Not Started"))))))</f>
        <v/>
      </c>
      <c r="S465" s="32">
        <f>IF($B465="","",COUNTIF(G465:N465,"Received"))</f>
        <v/>
      </c>
      <c r="T465" s="32">
        <f>IF($B465="","",COUNTIF(G465:N465,"Needs Correction"))</f>
        <v/>
      </c>
      <c r="U465" s="33">
        <f>IF($B465="","",IF($D465&lt;&gt;"Yes","",IF($Q465&gt;=Settings!$C$13,"None",MID(IF(AND(G465&lt;&gt;"Accepted",G465&lt;&gt;"Not Needed",Settings!$C$15="Yes"),", "&amp;G$1,"")&amp;IF(AND(H465&lt;&gt;"Accepted",H465&lt;&gt;"Not Needed",Settings!$D$15="Yes"),", "&amp;H$1,"")&amp;IF(AND(I465&lt;&gt;"Accepted",I465&lt;&gt;"Not Needed",Settings!$E$15="Yes"),", "&amp;I$1,"")&amp;IF(AND(J465&lt;&gt;"Accepted",J465&lt;&gt;"Not Needed",Settings!$F$15="Yes"),", "&amp;J$1,"")&amp;IF(AND(K465&lt;&gt;"Accepted",K465&lt;&gt;"Not Needed",Settings!$G$15="Yes"),", "&amp;K$1,"")&amp;IF(AND(L465&lt;&gt;"Accepted",L465&lt;&gt;"Not Needed",Settings!$H$15="Yes"),", "&amp;L$1,"")&amp;IF(AND(M465&lt;&gt;"Accepted",M465&lt;&gt;"Not Needed",Settings!$I$15="Yes"),", "&amp;M$1,"")&amp;IF(AND(N465&lt;&gt;"Accepted",N465&lt;&gt;"Not Needed",Settings!$J$15="Yes"),", "&amp;N$1,""),3,400))))</f>
        <v/>
      </c>
    </row>
    <row r="466" ht="15" customHeight="1" s="21">
      <c r="A466" s="31" t="n"/>
      <c r="B466" s="31" t="n"/>
      <c r="C466" s="31" t="n"/>
      <c r="D466" s="31" t="n"/>
      <c r="E466" s="31" t="n"/>
      <c r="F466" s="31" t="n"/>
      <c r="G466" s="31" t="n"/>
      <c r="H466" s="31" t="n"/>
      <c r="I466" s="31" t="n"/>
      <c r="J466" s="31" t="n"/>
      <c r="K466" s="31" t="n"/>
      <c r="L466" s="31" t="n"/>
      <c r="M466" s="31" t="n"/>
      <c r="N466" s="31" t="n"/>
      <c r="O466" s="32">
        <f>IF($B466="","",COUNTIF(G466:N466,"Accepted")+COUNTIF(G466:N466,"Received")+COUNTIF(G466:N466,"Needs Correction"))</f>
        <v/>
      </c>
      <c r="P466" s="32">
        <f>IF($B466="","",SUMPRODUCT(((G466:N466="Accepted")+(G466:N466="Not Needed"))*(Settings!$C$11:$J$11="Yes")))</f>
        <v/>
      </c>
      <c r="Q466" s="32">
        <f>IF($B466="","",SUMPRODUCT(((G466:N466="Accepted")+(G466:N466="Not Needed"))*(Settings!$C$15:$J$15="Yes")))</f>
        <v/>
      </c>
      <c r="R466" s="33">
        <f>IF($B466="","",IF($D466="No","No PTO/PTA",IF($D466&lt;&gt;"Yes","Not Yet Confirmed",IF($Q466&gt;=Settings!$C$13,"Legalized",IF($P466&gt;=Settings!$C$12,"Registered",IF($O466&gt;0,"In Progress","Not Started"))))))</f>
        <v/>
      </c>
      <c r="S466" s="32">
        <f>IF($B466="","",COUNTIF(G466:N466,"Received"))</f>
        <v/>
      </c>
      <c r="T466" s="32">
        <f>IF($B466="","",COUNTIF(G466:N466,"Needs Correction"))</f>
        <v/>
      </c>
      <c r="U466" s="33">
        <f>IF($B466="","",IF($D466&lt;&gt;"Yes","",IF($Q466&gt;=Settings!$C$13,"None",MID(IF(AND(G466&lt;&gt;"Accepted",G466&lt;&gt;"Not Needed",Settings!$C$15="Yes"),", "&amp;G$1,"")&amp;IF(AND(H466&lt;&gt;"Accepted",H466&lt;&gt;"Not Needed",Settings!$D$15="Yes"),", "&amp;H$1,"")&amp;IF(AND(I466&lt;&gt;"Accepted",I466&lt;&gt;"Not Needed",Settings!$E$15="Yes"),", "&amp;I$1,"")&amp;IF(AND(J466&lt;&gt;"Accepted",J466&lt;&gt;"Not Needed",Settings!$F$15="Yes"),", "&amp;J$1,"")&amp;IF(AND(K466&lt;&gt;"Accepted",K466&lt;&gt;"Not Needed",Settings!$G$15="Yes"),", "&amp;K$1,"")&amp;IF(AND(L466&lt;&gt;"Accepted",L466&lt;&gt;"Not Needed",Settings!$H$15="Yes"),", "&amp;L$1,"")&amp;IF(AND(M466&lt;&gt;"Accepted",M466&lt;&gt;"Not Needed",Settings!$I$15="Yes"),", "&amp;M$1,"")&amp;IF(AND(N466&lt;&gt;"Accepted",N466&lt;&gt;"Not Needed",Settings!$J$15="Yes"),", "&amp;N$1,""),3,400))))</f>
        <v/>
      </c>
    </row>
    <row r="467" ht="15" customHeight="1" s="21">
      <c r="A467" s="31" t="n"/>
      <c r="B467" s="31" t="n"/>
      <c r="C467" s="31" t="n"/>
      <c r="D467" s="31" t="n"/>
      <c r="E467" s="31" t="n"/>
      <c r="F467" s="31" t="n"/>
      <c r="G467" s="31" t="n"/>
      <c r="H467" s="31" t="n"/>
      <c r="I467" s="31" t="n"/>
      <c r="J467" s="31" t="n"/>
      <c r="K467" s="31" t="n"/>
      <c r="L467" s="31" t="n"/>
      <c r="M467" s="31" t="n"/>
      <c r="N467" s="31" t="n"/>
      <c r="O467" s="32">
        <f>IF($B467="","",COUNTIF(G467:N467,"Accepted")+COUNTIF(G467:N467,"Received")+COUNTIF(G467:N467,"Needs Correction"))</f>
        <v/>
      </c>
      <c r="P467" s="32">
        <f>IF($B467="","",SUMPRODUCT(((G467:N467="Accepted")+(G467:N467="Not Needed"))*(Settings!$C$11:$J$11="Yes")))</f>
        <v/>
      </c>
      <c r="Q467" s="32">
        <f>IF($B467="","",SUMPRODUCT(((G467:N467="Accepted")+(G467:N467="Not Needed"))*(Settings!$C$15:$J$15="Yes")))</f>
        <v/>
      </c>
      <c r="R467" s="33">
        <f>IF($B467="","",IF($D467="No","No PTO/PTA",IF($D467&lt;&gt;"Yes","Not Yet Confirmed",IF($Q467&gt;=Settings!$C$13,"Legalized",IF($P467&gt;=Settings!$C$12,"Registered",IF($O467&gt;0,"In Progress","Not Started"))))))</f>
        <v/>
      </c>
      <c r="S467" s="32">
        <f>IF($B467="","",COUNTIF(G467:N467,"Received"))</f>
        <v/>
      </c>
      <c r="T467" s="32">
        <f>IF($B467="","",COUNTIF(G467:N467,"Needs Correction"))</f>
        <v/>
      </c>
      <c r="U467" s="33">
        <f>IF($B467="","",IF($D467&lt;&gt;"Yes","",IF($Q467&gt;=Settings!$C$13,"None",MID(IF(AND(G467&lt;&gt;"Accepted",G467&lt;&gt;"Not Needed",Settings!$C$15="Yes"),", "&amp;G$1,"")&amp;IF(AND(H467&lt;&gt;"Accepted",H467&lt;&gt;"Not Needed",Settings!$D$15="Yes"),", "&amp;H$1,"")&amp;IF(AND(I467&lt;&gt;"Accepted",I467&lt;&gt;"Not Needed",Settings!$E$15="Yes"),", "&amp;I$1,"")&amp;IF(AND(J467&lt;&gt;"Accepted",J467&lt;&gt;"Not Needed",Settings!$F$15="Yes"),", "&amp;J$1,"")&amp;IF(AND(K467&lt;&gt;"Accepted",K467&lt;&gt;"Not Needed",Settings!$G$15="Yes"),", "&amp;K$1,"")&amp;IF(AND(L467&lt;&gt;"Accepted",L467&lt;&gt;"Not Needed",Settings!$H$15="Yes"),", "&amp;L$1,"")&amp;IF(AND(M467&lt;&gt;"Accepted",M467&lt;&gt;"Not Needed",Settings!$I$15="Yes"),", "&amp;M$1,"")&amp;IF(AND(N467&lt;&gt;"Accepted",N467&lt;&gt;"Not Needed",Settings!$J$15="Yes"),", "&amp;N$1,""),3,400))))</f>
        <v/>
      </c>
    </row>
    <row r="468" ht="15" customHeight="1" s="21">
      <c r="A468" s="31" t="n"/>
      <c r="B468" s="31" t="n"/>
      <c r="C468" s="31" t="n"/>
      <c r="D468" s="31" t="n"/>
      <c r="E468" s="31" t="n"/>
      <c r="F468" s="31" t="n"/>
      <c r="G468" s="31" t="n"/>
      <c r="H468" s="31" t="n"/>
      <c r="I468" s="31" t="n"/>
      <c r="J468" s="31" t="n"/>
      <c r="K468" s="31" t="n"/>
      <c r="L468" s="31" t="n"/>
      <c r="M468" s="31" t="n"/>
      <c r="N468" s="31" t="n"/>
      <c r="O468" s="32">
        <f>IF($B468="","",COUNTIF(G468:N468,"Accepted")+COUNTIF(G468:N468,"Received")+COUNTIF(G468:N468,"Needs Correction"))</f>
        <v/>
      </c>
      <c r="P468" s="32">
        <f>IF($B468="","",SUMPRODUCT(((G468:N468="Accepted")+(G468:N468="Not Needed"))*(Settings!$C$11:$J$11="Yes")))</f>
        <v/>
      </c>
      <c r="Q468" s="32">
        <f>IF($B468="","",SUMPRODUCT(((G468:N468="Accepted")+(G468:N468="Not Needed"))*(Settings!$C$15:$J$15="Yes")))</f>
        <v/>
      </c>
      <c r="R468" s="33">
        <f>IF($B468="","",IF($D468="No","No PTO/PTA",IF($D468&lt;&gt;"Yes","Not Yet Confirmed",IF($Q468&gt;=Settings!$C$13,"Legalized",IF($P468&gt;=Settings!$C$12,"Registered",IF($O468&gt;0,"In Progress","Not Started"))))))</f>
        <v/>
      </c>
      <c r="S468" s="32">
        <f>IF($B468="","",COUNTIF(G468:N468,"Received"))</f>
        <v/>
      </c>
      <c r="T468" s="32">
        <f>IF($B468="","",COUNTIF(G468:N468,"Needs Correction"))</f>
        <v/>
      </c>
      <c r="U468" s="33">
        <f>IF($B468="","",IF($D468&lt;&gt;"Yes","",IF($Q468&gt;=Settings!$C$13,"None",MID(IF(AND(G468&lt;&gt;"Accepted",G468&lt;&gt;"Not Needed",Settings!$C$15="Yes"),", "&amp;G$1,"")&amp;IF(AND(H468&lt;&gt;"Accepted",H468&lt;&gt;"Not Needed",Settings!$D$15="Yes"),", "&amp;H$1,"")&amp;IF(AND(I468&lt;&gt;"Accepted",I468&lt;&gt;"Not Needed",Settings!$E$15="Yes"),", "&amp;I$1,"")&amp;IF(AND(J468&lt;&gt;"Accepted",J468&lt;&gt;"Not Needed",Settings!$F$15="Yes"),", "&amp;J$1,"")&amp;IF(AND(K468&lt;&gt;"Accepted",K468&lt;&gt;"Not Needed",Settings!$G$15="Yes"),", "&amp;K$1,"")&amp;IF(AND(L468&lt;&gt;"Accepted",L468&lt;&gt;"Not Needed",Settings!$H$15="Yes"),", "&amp;L$1,"")&amp;IF(AND(M468&lt;&gt;"Accepted",M468&lt;&gt;"Not Needed",Settings!$I$15="Yes"),", "&amp;M$1,"")&amp;IF(AND(N468&lt;&gt;"Accepted",N468&lt;&gt;"Not Needed",Settings!$J$15="Yes"),", "&amp;N$1,""),3,400))))</f>
        <v/>
      </c>
    </row>
    <row r="469" ht="15" customHeight="1" s="21">
      <c r="A469" s="31" t="n"/>
      <c r="B469" s="31" t="n"/>
      <c r="C469" s="31" t="n"/>
      <c r="D469" s="31" t="n"/>
      <c r="E469" s="31" t="n"/>
      <c r="F469" s="31" t="n"/>
      <c r="G469" s="31" t="n"/>
      <c r="H469" s="31" t="n"/>
      <c r="I469" s="31" t="n"/>
      <c r="J469" s="31" t="n"/>
      <c r="K469" s="31" t="n"/>
      <c r="L469" s="31" t="n"/>
      <c r="M469" s="31" t="n"/>
      <c r="N469" s="31" t="n"/>
      <c r="O469" s="32">
        <f>IF($B469="","",COUNTIF(G469:N469,"Accepted")+COUNTIF(G469:N469,"Received")+COUNTIF(G469:N469,"Needs Correction"))</f>
        <v/>
      </c>
      <c r="P469" s="32">
        <f>IF($B469="","",SUMPRODUCT(((G469:N469="Accepted")+(G469:N469="Not Needed"))*(Settings!$C$11:$J$11="Yes")))</f>
        <v/>
      </c>
      <c r="Q469" s="32">
        <f>IF($B469="","",SUMPRODUCT(((G469:N469="Accepted")+(G469:N469="Not Needed"))*(Settings!$C$15:$J$15="Yes")))</f>
        <v/>
      </c>
      <c r="R469" s="33">
        <f>IF($B469="","",IF($D469="No","No PTO/PTA",IF($D469&lt;&gt;"Yes","Not Yet Confirmed",IF($Q469&gt;=Settings!$C$13,"Legalized",IF($P469&gt;=Settings!$C$12,"Registered",IF($O469&gt;0,"In Progress","Not Started"))))))</f>
        <v/>
      </c>
      <c r="S469" s="32">
        <f>IF($B469="","",COUNTIF(G469:N469,"Received"))</f>
        <v/>
      </c>
      <c r="T469" s="32">
        <f>IF($B469="","",COUNTIF(G469:N469,"Needs Correction"))</f>
        <v/>
      </c>
      <c r="U469" s="33">
        <f>IF($B469="","",IF($D469&lt;&gt;"Yes","",IF($Q469&gt;=Settings!$C$13,"None",MID(IF(AND(G469&lt;&gt;"Accepted",G469&lt;&gt;"Not Needed",Settings!$C$15="Yes"),", "&amp;G$1,"")&amp;IF(AND(H469&lt;&gt;"Accepted",H469&lt;&gt;"Not Needed",Settings!$D$15="Yes"),", "&amp;H$1,"")&amp;IF(AND(I469&lt;&gt;"Accepted",I469&lt;&gt;"Not Needed",Settings!$E$15="Yes"),", "&amp;I$1,"")&amp;IF(AND(J469&lt;&gt;"Accepted",J469&lt;&gt;"Not Needed",Settings!$F$15="Yes"),", "&amp;J$1,"")&amp;IF(AND(K469&lt;&gt;"Accepted",K469&lt;&gt;"Not Needed",Settings!$G$15="Yes"),", "&amp;K$1,"")&amp;IF(AND(L469&lt;&gt;"Accepted",L469&lt;&gt;"Not Needed",Settings!$H$15="Yes"),", "&amp;L$1,"")&amp;IF(AND(M469&lt;&gt;"Accepted",M469&lt;&gt;"Not Needed",Settings!$I$15="Yes"),", "&amp;M$1,"")&amp;IF(AND(N469&lt;&gt;"Accepted",N469&lt;&gt;"Not Needed",Settings!$J$15="Yes"),", "&amp;N$1,""),3,400))))</f>
        <v/>
      </c>
    </row>
    <row r="470" ht="15" customHeight="1" s="21">
      <c r="A470" s="31" t="n"/>
      <c r="B470" s="31" t="n"/>
      <c r="C470" s="31" t="n"/>
      <c r="D470" s="31" t="n"/>
      <c r="E470" s="31" t="n"/>
      <c r="F470" s="31" t="n"/>
      <c r="G470" s="31" t="n"/>
      <c r="H470" s="31" t="n"/>
      <c r="I470" s="31" t="n"/>
      <c r="J470" s="31" t="n"/>
      <c r="K470" s="31" t="n"/>
      <c r="L470" s="31" t="n"/>
      <c r="M470" s="31" t="n"/>
      <c r="N470" s="31" t="n"/>
      <c r="O470" s="32">
        <f>IF($B470="","",COUNTIF(G470:N470,"Accepted")+COUNTIF(G470:N470,"Received")+COUNTIF(G470:N470,"Needs Correction"))</f>
        <v/>
      </c>
      <c r="P470" s="32">
        <f>IF($B470="","",SUMPRODUCT(((G470:N470="Accepted")+(G470:N470="Not Needed"))*(Settings!$C$11:$J$11="Yes")))</f>
        <v/>
      </c>
      <c r="Q470" s="32">
        <f>IF($B470="","",SUMPRODUCT(((G470:N470="Accepted")+(G470:N470="Not Needed"))*(Settings!$C$15:$J$15="Yes")))</f>
        <v/>
      </c>
      <c r="R470" s="33">
        <f>IF($B470="","",IF($D470="No","No PTO/PTA",IF($D470&lt;&gt;"Yes","Not Yet Confirmed",IF($Q470&gt;=Settings!$C$13,"Legalized",IF($P470&gt;=Settings!$C$12,"Registered",IF($O470&gt;0,"In Progress","Not Started"))))))</f>
        <v/>
      </c>
      <c r="S470" s="32">
        <f>IF($B470="","",COUNTIF(G470:N470,"Received"))</f>
        <v/>
      </c>
      <c r="T470" s="32">
        <f>IF($B470="","",COUNTIF(G470:N470,"Needs Correction"))</f>
        <v/>
      </c>
      <c r="U470" s="33">
        <f>IF($B470="","",IF($D470&lt;&gt;"Yes","",IF($Q470&gt;=Settings!$C$13,"None",MID(IF(AND(G470&lt;&gt;"Accepted",G470&lt;&gt;"Not Needed",Settings!$C$15="Yes"),", "&amp;G$1,"")&amp;IF(AND(H470&lt;&gt;"Accepted",H470&lt;&gt;"Not Needed",Settings!$D$15="Yes"),", "&amp;H$1,"")&amp;IF(AND(I470&lt;&gt;"Accepted",I470&lt;&gt;"Not Needed",Settings!$E$15="Yes"),", "&amp;I$1,"")&amp;IF(AND(J470&lt;&gt;"Accepted",J470&lt;&gt;"Not Needed",Settings!$F$15="Yes"),", "&amp;J$1,"")&amp;IF(AND(K470&lt;&gt;"Accepted",K470&lt;&gt;"Not Needed",Settings!$G$15="Yes"),", "&amp;K$1,"")&amp;IF(AND(L470&lt;&gt;"Accepted",L470&lt;&gt;"Not Needed",Settings!$H$15="Yes"),", "&amp;L$1,"")&amp;IF(AND(M470&lt;&gt;"Accepted",M470&lt;&gt;"Not Needed",Settings!$I$15="Yes"),", "&amp;M$1,"")&amp;IF(AND(N470&lt;&gt;"Accepted",N470&lt;&gt;"Not Needed",Settings!$J$15="Yes"),", "&amp;N$1,""),3,400))))</f>
        <v/>
      </c>
    </row>
    <row r="471" ht="15" customHeight="1" s="21">
      <c r="A471" s="31" t="n"/>
      <c r="B471" s="31" t="n"/>
      <c r="C471" s="31" t="n"/>
      <c r="D471" s="31" t="n"/>
      <c r="E471" s="31" t="n"/>
      <c r="F471" s="31" t="n"/>
      <c r="G471" s="31" t="n"/>
      <c r="H471" s="31" t="n"/>
      <c r="I471" s="31" t="n"/>
      <c r="J471" s="31" t="n"/>
      <c r="K471" s="31" t="n"/>
      <c r="L471" s="31" t="n"/>
      <c r="M471" s="31" t="n"/>
      <c r="N471" s="31" t="n"/>
      <c r="O471" s="32">
        <f>IF($B471="","",COUNTIF(G471:N471,"Accepted")+COUNTIF(G471:N471,"Received")+COUNTIF(G471:N471,"Needs Correction"))</f>
        <v/>
      </c>
      <c r="P471" s="32">
        <f>IF($B471="","",SUMPRODUCT(((G471:N471="Accepted")+(G471:N471="Not Needed"))*(Settings!$C$11:$J$11="Yes")))</f>
        <v/>
      </c>
      <c r="Q471" s="32">
        <f>IF($B471="","",SUMPRODUCT(((G471:N471="Accepted")+(G471:N471="Not Needed"))*(Settings!$C$15:$J$15="Yes")))</f>
        <v/>
      </c>
      <c r="R471" s="33">
        <f>IF($B471="","",IF($D471="No","No PTO/PTA",IF($D471&lt;&gt;"Yes","Not Yet Confirmed",IF($Q471&gt;=Settings!$C$13,"Legalized",IF($P471&gt;=Settings!$C$12,"Registered",IF($O471&gt;0,"In Progress","Not Started"))))))</f>
        <v/>
      </c>
      <c r="S471" s="32">
        <f>IF($B471="","",COUNTIF(G471:N471,"Received"))</f>
        <v/>
      </c>
      <c r="T471" s="32">
        <f>IF($B471="","",COUNTIF(G471:N471,"Needs Correction"))</f>
        <v/>
      </c>
      <c r="U471" s="33">
        <f>IF($B471="","",IF($D471&lt;&gt;"Yes","",IF($Q471&gt;=Settings!$C$13,"None",MID(IF(AND(G471&lt;&gt;"Accepted",G471&lt;&gt;"Not Needed",Settings!$C$15="Yes"),", "&amp;G$1,"")&amp;IF(AND(H471&lt;&gt;"Accepted",H471&lt;&gt;"Not Needed",Settings!$D$15="Yes"),", "&amp;H$1,"")&amp;IF(AND(I471&lt;&gt;"Accepted",I471&lt;&gt;"Not Needed",Settings!$E$15="Yes"),", "&amp;I$1,"")&amp;IF(AND(J471&lt;&gt;"Accepted",J471&lt;&gt;"Not Needed",Settings!$F$15="Yes"),", "&amp;J$1,"")&amp;IF(AND(K471&lt;&gt;"Accepted",K471&lt;&gt;"Not Needed",Settings!$G$15="Yes"),", "&amp;K$1,"")&amp;IF(AND(L471&lt;&gt;"Accepted",L471&lt;&gt;"Not Needed",Settings!$H$15="Yes"),", "&amp;L$1,"")&amp;IF(AND(M471&lt;&gt;"Accepted",M471&lt;&gt;"Not Needed",Settings!$I$15="Yes"),", "&amp;M$1,"")&amp;IF(AND(N471&lt;&gt;"Accepted",N471&lt;&gt;"Not Needed",Settings!$J$15="Yes"),", "&amp;N$1,""),3,400))))</f>
        <v/>
      </c>
    </row>
    <row r="472" ht="15" customHeight="1" s="21">
      <c r="A472" s="31" t="n"/>
      <c r="B472" s="31" t="n"/>
      <c r="C472" s="31" t="n"/>
      <c r="D472" s="31" t="n"/>
      <c r="E472" s="31" t="n"/>
      <c r="F472" s="31" t="n"/>
      <c r="G472" s="31" t="n"/>
      <c r="H472" s="31" t="n"/>
      <c r="I472" s="31" t="n"/>
      <c r="J472" s="31" t="n"/>
      <c r="K472" s="31" t="n"/>
      <c r="L472" s="31" t="n"/>
      <c r="M472" s="31" t="n"/>
      <c r="N472" s="31" t="n"/>
      <c r="O472" s="32">
        <f>IF($B472="","",COUNTIF(G472:N472,"Accepted")+COUNTIF(G472:N472,"Received")+COUNTIF(G472:N472,"Needs Correction"))</f>
        <v/>
      </c>
      <c r="P472" s="32">
        <f>IF($B472="","",SUMPRODUCT(((G472:N472="Accepted")+(G472:N472="Not Needed"))*(Settings!$C$11:$J$11="Yes")))</f>
        <v/>
      </c>
      <c r="Q472" s="32">
        <f>IF($B472="","",SUMPRODUCT(((G472:N472="Accepted")+(G472:N472="Not Needed"))*(Settings!$C$15:$J$15="Yes")))</f>
        <v/>
      </c>
      <c r="R472" s="33">
        <f>IF($B472="","",IF($D472="No","No PTO/PTA",IF($D472&lt;&gt;"Yes","Not Yet Confirmed",IF($Q472&gt;=Settings!$C$13,"Legalized",IF($P472&gt;=Settings!$C$12,"Registered",IF($O472&gt;0,"In Progress","Not Started"))))))</f>
        <v/>
      </c>
      <c r="S472" s="32">
        <f>IF($B472="","",COUNTIF(G472:N472,"Received"))</f>
        <v/>
      </c>
      <c r="T472" s="32">
        <f>IF($B472="","",COUNTIF(G472:N472,"Needs Correction"))</f>
        <v/>
      </c>
      <c r="U472" s="33">
        <f>IF($B472="","",IF($D472&lt;&gt;"Yes","",IF($Q472&gt;=Settings!$C$13,"None",MID(IF(AND(G472&lt;&gt;"Accepted",G472&lt;&gt;"Not Needed",Settings!$C$15="Yes"),", "&amp;G$1,"")&amp;IF(AND(H472&lt;&gt;"Accepted",H472&lt;&gt;"Not Needed",Settings!$D$15="Yes"),", "&amp;H$1,"")&amp;IF(AND(I472&lt;&gt;"Accepted",I472&lt;&gt;"Not Needed",Settings!$E$15="Yes"),", "&amp;I$1,"")&amp;IF(AND(J472&lt;&gt;"Accepted",J472&lt;&gt;"Not Needed",Settings!$F$15="Yes"),", "&amp;J$1,"")&amp;IF(AND(K472&lt;&gt;"Accepted",K472&lt;&gt;"Not Needed",Settings!$G$15="Yes"),", "&amp;K$1,"")&amp;IF(AND(L472&lt;&gt;"Accepted",L472&lt;&gt;"Not Needed",Settings!$H$15="Yes"),", "&amp;L$1,"")&amp;IF(AND(M472&lt;&gt;"Accepted",M472&lt;&gt;"Not Needed",Settings!$I$15="Yes"),", "&amp;M$1,"")&amp;IF(AND(N472&lt;&gt;"Accepted",N472&lt;&gt;"Not Needed",Settings!$J$15="Yes"),", "&amp;N$1,""),3,400))))</f>
        <v/>
      </c>
    </row>
    <row r="473" ht="15" customHeight="1" s="21">
      <c r="A473" s="31" t="n"/>
      <c r="B473" s="31" t="n"/>
      <c r="C473" s="31" t="n"/>
      <c r="D473" s="31" t="n"/>
      <c r="E473" s="31" t="n"/>
      <c r="F473" s="31" t="n"/>
      <c r="G473" s="31" t="n"/>
      <c r="H473" s="31" t="n"/>
      <c r="I473" s="31" t="n"/>
      <c r="J473" s="31" t="n"/>
      <c r="K473" s="31" t="n"/>
      <c r="L473" s="31" t="n"/>
      <c r="M473" s="31" t="n"/>
      <c r="N473" s="31" t="n"/>
      <c r="O473" s="32">
        <f>IF($B473="","",COUNTIF(G473:N473,"Accepted")+COUNTIF(G473:N473,"Received")+COUNTIF(G473:N473,"Needs Correction"))</f>
        <v/>
      </c>
      <c r="P473" s="32">
        <f>IF($B473="","",SUMPRODUCT(((G473:N473="Accepted")+(G473:N473="Not Needed"))*(Settings!$C$11:$J$11="Yes")))</f>
        <v/>
      </c>
      <c r="Q473" s="32">
        <f>IF($B473="","",SUMPRODUCT(((G473:N473="Accepted")+(G473:N473="Not Needed"))*(Settings!$C$15:$J$15="Yes")))</f>
        <v/>
      </c>
      <c r="R473" s="33">
        <f>IF($B473="","",IF($D473="No","No PTO/PTA",IF($D473&lt;&gt;"Yes","Not Yet Confirmed",IF($Q473&gt;=Settings!$C$13,"Legalized",IF($P473&gt;=Settings!$C$12,"Registered",IF($O473&gt;0,"In Progress","Not Started"))))))</f>
        <v/>
      </c>
      <c r="S473" s="32">
        <f>IF($B473="","",COUNTIF(G473:N473,"Received"))</f>
        <v/>
      </c>
      <c r="T473" s="32">
        <f>IF($B473="","",COUNTIF(G473:N473,"Needs Correction"))</f>
        <v/>
      </c>
      <c r="U473" s="33">
        <f>IF($B473="","",IF($D473&lt;&gt;"Yes","",IF($Q473&gt;=Settings!$C$13,"None",MID(IF(AND(G473&lt;&gt;"Accepted",G473&lt;&gt;"Not Needed",Settings!$C$15="Yes"),", "&amp;G$1,"")&amp;IF(AND(H473&lt;&gt;"Accepted",H473&lt;&gt;"Not Needed",Settings!$D$15="Yes"),", "&amp;H$1,"")&amp;IF(AND(I473&lt;&gt;"Accepted",I473&lt;&gt;"Not Needed",Settings!$E$15="Yes"),", "&amp;I$1,"")&amp;IF(AND(J473&lt;&gt;"Accepted",J473&lt;&gt;"Not Needed",Settings!$F$15="Yes"),", "&amp;J$1,"")&amp;IF(AND(K473&lt;&gt;"Accepted",K473&lt;&gt;"Not Needed",Settings!$G$15="Yes"),", "&amp;K$1,"")&amp;IF(AND(L473&lt;&gt;"Accepted",L473&lt;&gt;"Not Needed",Settings!$H$15="Yes"),", "&amp;L$1,"")&amp;IF(AND(M473&lt;&gt;"Accepted",M473&lt;&gt;"Not Needed",Settings!$I$15="Yes"),", "&amp;M$1,"")&amp;IF(AND(N473&lt;&gt;"Accepted",N473&lt;&gt;"Not Needed",Settings!$J$15="Yes"),", "&amp;N$1,""),3,400))))</f>
        <v/>
      </c>
    </row>
    <row r="474" ht="15" customHeight="1" s="21">
      <c r="A474" s="31" t="n"/>
      <c r="B474" s="31" t="n"/>
      <c r="C474" s="31" t="n"/>
      <c r="D474" s="31" t="n"/>
      <c r="E474" s="31" t="n"/>
      <c r="F474" s="31" t="n"/>
      <c r="G474" s="31" t="n"/>
      <c r="H474" s="31" t="n"/>
      <c r="I474" s="31" t="n"/>
      <c r="J474" s="31" t="n"/>
      <c r="K474" s="31" t="n"/>
      <c r="L474" s="31" t="n"/>
      <c r="M474" s="31" t="n"/>
      <c r="N474" s="31" t="n"/>
      <c r="O474" s="32">
        <f>IF($B474="","",COUNTIF(G474:N474,"Accepted")+COUNTIF(G474:N474,"Received")+COUNTIF(G474:N474,"Needs Correction"))</f>
        <v/>
      </c>
      <c r="P474" s="32">
        <f>IF($B474="","",SUMPRODUCT(((G474:N474="Accepted")+(G474:N474="Not Needed"))*(Settings!$C$11:$J$11="Yes")))</f>
        <v/>
      </c>
      <c r="Q474" s="32">
        <f>IF($B474="","",SUMPRODUCT(((G474:N474="Accepted")+(G474:N474="Not Needed"))*(Settings!$C$15:$J$15="Yes")))</f>
        <v/>
      </c>
      <c r="R474" s="33">
        <f>IF($B474="","",IF($D474="No","No PTO/PTA",IF($D474&lt;&gt;"Yes","Not Yet Confirmed",IF($Q474&gt;=Settings!$C$13,"Legalized",IF($P474&gt;=Settings!$C$12,"Registered",IF($O474&gt;0,"In Progress","Not Started"))))))</f>
        <v/>
      </c>
      <c r="S474" s="32">
        <f>IF($B474="","",COUNTIF(G474:N474,"Received"))</f>
        <v/>
      </c>
      <c r="T474" s="32">
        <f>IF($B474="","",COUNTIF(G474:N474,"Needs Correction"))</f>
        <v/>
      </c>
      <c r="U474" s="33">
        <f>IF($B474="","",IF($D474&lt;&gt;"Yes","",IF($Q474&gt;=Settings!$C$13,"None",MID(IF(AND(G474&lt;&gt;"Accepted",G474&lt;&gt;"Not Needed",Settings!$C$15="Yes"),", "&amp;G$1,"")&amp;IF(AND(H474&lt;&gt;"Accepted",H474&lt;&gt;"Not Needed",Settings!$D$15="Yes"),", "&amp;H$1,"")&amp;IF(AND(I474&lt;&gt;"Accepted",I474&lt;&gt;"Not Needed",Settings!$E$15="Yes"),", "&amp;I$1,"")&amp;IF(AND(J474&lt;&gt;"Accepted",J474&lt;&gt;"Not Needed",Settings!$F$15="Yes"),", "&amp;J$1,"")&amp;IF(AND(K474&lt;&gt;"Accepted",K474&lt;&gt;"Not Needed",Settings!$G$15="Yes"),", "&amp;K$1,"")&amp;IF(AND(L474&lt;&gt;"Accepted",L474&lt;&gt;"Not Needed",Settings!$H$15="Yes"),", "&amp;L$1,"")&amp;IF(AND(M474&lt;&gt;"Accepted",M474&lt;&gt;"Not Needed",Settings!$I$15="Yes"),", "&amp;M$1,"")&amp;IF(AND(N474&lt;&gt;"Accepted",N474&lt;&gt;"Not Needed",Settings!$J$15="Yes"),", "&amp;N$1,""),3,400))))</f>
        <v/>
      </c>
    </row>
    <row r="475" ht="15" customHeight="1" s="21">
      <c r="A475" s="31" t="n"/>
      <c r="B475" s="31" t="n"/>
      <c r="C475" s="31" t="n"/>
      <c r="D475" s="31" t="n"/>
      <c r="E475" s="31" t="n"/>
      <c r="F475" s="31" t="n"/>
      <c r="G475" s="31" t="n"/>
      <c r="H475" s="31" t="n"/>
      <c r="I475" s="31" t="n"/>
      <c r="J475" s="31" t="n"/>
      <c r="K475" s="31" t="n"/>
      <c r="L475" s="31" t="n"/>
      <c r="M475" s="31" t="n"/>
      <c r="N475" s="31" t="n"/>
      <c r="O475" s="32">
        <f>IF($B475="","",COUNTIF(G475:N475,"Accepted")+COUNTIF(G475:N475,"Received")+COUNTIF(G475:N475,"Needs Correction"))</f>
        <v/>
      </c>
      <c r="P475" s="32">
        <f>IF($B475="","",SUMPRODUCT(((G475:N475="Accepted")+(G475:N475="Not Needed"))*(Settings!$C$11:$J$11="Yes")))</f>
        <v/>
      </c>
      <c r="Q475" s="32">
        <f>IF($B475="","",SUMPRODUCT(((G475:N475="Accepted")+(G475:N475="Not Needed"))*(Settings!$C$15:$J$15="Yes")))</f>
        <v/>
      </c>
      <c r="R475" s="33">
        <f>IF($B475="","",IF($D475="No","No PTO/PTA",IF($D475&lt;&gt;"Yes","Not Yet Confirmed",IF($Q475&gt;=Settings!$C$13,"Legalized",IF($P475&gt;=Settings!$C$12,"Registered",IF($O475&gt;0,"In Progress","Not Started"))))))</f>
        <v/>
      </c>
      <c r="S475" s="32">
        <f>IF($B475="","",COUNTIF(G475:N475,"Received"))</f>
        <v/>
      </c>
      <c r="T475" s="32">
        <f>IF($B475="","",COUNTIF(G475:N475,"Needs Correction"))</f>
        <v/>
      </c>
      <c r="U475" s="33">
        <f>IF($B475="","",IF($D475&lt;&gt;"Yes","",IF($Q475&gt;=Settings!$C$13,"None",MID(IF(AND(G475&lt;&gt;"Accepted",G475&lt;&gt;"Not Needed",Settings!$C$15="Yes"),", "&amp;G$1,"")&amp;IF(AND(H475&lt;&gt;"Accepted",H475&lt;&gt;"Not Needed",Settings!$D$15="Yes"),", "&amp;H$1,"")&amp;IF(AND(I475&lt;&gt;"Accepted",I475&lt;&gt;"Not Needed",Settings!$E$15="Yes"),", "&amp;I$1,"")&amp;IF(AND(J475&lt;&gt;"Accepted",J475&lt;&gt;"Not Needed",Settings!$F$15="Yes"),", "&amp;J$1,"")&amp;IF(AND(K475&lt;&gt;"Accepted",K475&lt;&gt;"Not Needed",Settings!$G$15="Yes"),", "&amp;K$1,"")&amp;IF(AND(L475&lt;&gt;"Accepted",L475&lt;&gt;"Not Needed",Settings!$H$15="Yes"),", "&amp;L$1,"")&amp;IF(AND(M475&lt;&gt;"Accepted",M475&lt;&gt;"Not Needed",Settings!$I$15="Yes"),", "&amp;M$1,"")&amp;IF(AND(N475&lt;&gt;"Accepted",N475&lt;&gt;"Not Needed",Settings!$J$15="Yes"),", "&amp;N$1,""),3,400))))</f>
        <v/>
      </c>
    </row>
    <row r="476" ht="15" customHeight="1" s="21">
      <c r="A476" s="31" t="n"/>
      <c r="B476" s="31" t="n"/>
      <c r="C476" s="31" t="n"/>
      <c r="D476" s="31" t="n"/>
      <c r="E476" s="31" t="n"/>
      <c r="F476" s="31" t="n"/>
      <c r="G476" s="31" t="n"/>
      <c r="H476" s="31" t="n"/>
      <c r="I476" s="31" t="n"/>
      <c r="J476" s="31" t="n"/>
      <c r="K476" s="31" t="n"/>
      <c r="L476" s="31" t="n"/>
      <c r="M476" s="31" t="n"/>
      <c r="N476" s="31" t="n"/>
      <c r="O476" s="32">
        <f>IF($B476="","",COUNTIF(G476:N476,"Accepted")+COUNTIF(G476:N476,"Received")+COUNTIF(G476:N476,"Needs Correction"))</f>
        <v/>
      </c>
      <c r="P476" s="32">
        <f>IF($B476="","",SUMPRODUCT(((G476:N476="Accepted")+(G476:N476="Not Needed"))*(Settings!$C$11:$J$11="Yes")))</f>
        <v/>
      </c>
      <c r="Q476" s="32">
        <f>IF($B476="","",SUMPRODUCT(((G476:N476="Accepted")+(G476:N476="Not Needed"))*(Settings!$C$15:$J$15="Yes")))</f>
        <v/>
      </c>
      <c r="R476" s="33">
        <f>IF($B476="","",IF($D476="No","No PTO/PTA",IF($D476&lt;&gt;"Yes","Not Yet Confirmed",IF($Q476&gt;=Settings!$C$13,"Legalized",IF($P476&gt;=Settings!$C$12,"Registered",IF($O476&gt;0,"In Progress","Not Started"))))))</f>
        <v/>
      </c>
      <c r="S476" s="32">
        <f>IF($B476="","",COUNTIF(G476:N476,"Received"))</f>
        <v/>
      </c>
      <c r="T476" s="32">
        <f>IF($B476="","",COUNTIF(G476:N476,"Needs Correction"))</f>
        <v/>
      </c>
      <c r="U476" s="33">
        <f>IF($B476="","",IF($D476&lt;&gt;"Yes","",IF($Q476&gt;=Settings!$C$13,"None",MID(IF(AND(G476&lt;&gt;"Accepted",G476&lt;&gt;"Not Needed",Settings!$C$15="Yes"),", "&amp;G$1,"")&amp;IF(AND(H476&lt;&gt;"Accepted",H476&lt;&gt;"Not Needed",Settings!$D$15="Yes"),", "&amp;H$1,"")&amp;IF(AND(I476&lt;&gt;"Accepted",I476&lt;&gt;"Not Needed",Settings!$E$15="Yes"),", "&amp;I$1,"")&amp;IF(AND(J476&lt;&gt;"Accepted",J476&lt;&gt;"Not Needed",Settings!$F$15="Yes"),", "&amp;J$1,"")&amp;IF(AND(K476&lt;&gt;"Accepted",K476&lt;&gt;"Not Needed",Settings!$G$15="Yes"),", "&amp;K$1,"")&amp;IF(AND(L476&lt;&gt;"Accepted",L476&lt;&gt;"Not Needed",Settings!$H$15="Yes"),", "&amp;L$1,"")&amp;IF(AND(M476&lt;&gt;"Accepted",M476&lt;&gt;"Not Needed",Settings!$I$15="Yes"),", "&amp;M$1,"")&amp;IF(AND(N476&lt;&gt;"Accepted",N476&lt;&gt;"Not Needed",Settings!$J$15="Yes"),", "&amp;N$1,""),3,400))))</f>
        <v/>
      </c>
    </row>
    <row r="477" ht="15" customHeight="1" s="21">
      <c r="A477" s="31" t="n"/>
      <c r="B477" s="31" t="n"/>
      <c r="C477" s="31" t="n"/>
      <c r="D477" s="31" t="n"/>
      <c r="E477" s="31" t="n"/>
      <c r="F477" s="31" t="n"/>
      <c r="G477" s="31" t="n"/>
      <c r="H477" s="31" t="n"/>
      <c r="I477" s="31" t="n"/>
      <c r="J477" s="31" t="n"/>
      <c r="K477" s="31" t="n"/>
      <c r="L477" s="31" t="n"/>
      <c r="M477" s="31" t="n"/>
      <c r="N477" s="31" t="n"/>
      <c r="O477" s="32">
        <f>IF($B477="","",COUNTIF(G477:N477,"Accepted")+COUNTIF(G477:N477,"Received")+COUNTIF(G477:N477,"Needs Correction"))</f>
        <v/>
      </c>
      <c r="P477" s="32">
        <f>IF($B477="","",SUMPRODUCT(((G477:N477="Accepted")+(G477:N477="Not Needed"))*(Settings!$C$11:$J$11="Yes")))</f>
        <v/>
      </c>
      <c r="Q477" s="32">
        <f>IF($B477="","",SUMPRODUCT(((G477:N477="Accepted")+(G477:N477="Not Needed"))*(Settings!$C$15:$J$15="Yes")))</f>
        <v/>
      </c>
      <c r="R477" s="33">
        <f>IF($B477="","",IF($D477="No","No PTO/PTA",IF($D477&lt;&gt;"Yes","Not Yet Confirmed",IF($Q477&gt;=Settings!$C$13,"Legalized",IF($P477&gt;=Settings!$C$12,"Registered",IF($O477&gt;0,"In Progress","Not Started"))))))</f>
        <v/>
      </c>
      <c r="S477" s="32">
        <f>IF($B477="","",COUNTIF(G477:N477,"Received"))</f>
        <v/>
      </c>
      <c r="T477" s="32">
        <f>IF($B477="","",COUNTIF(G477:N477,"Needs Correction"))</f>
        <v/>
      </c>
      <c r="U477" s="33">
        <f>IF($B477="","",IF($D477&lt;&gt;"Yes","",IF($Q477&gt;=Settings!$C$13,"None",MID(IF(AND(G477&lt;&gt;"Accepted",G477&lt;&gt;"Not Needed",Settings!$C$15="Yes"),", "&amp;G$1,"")&amp;IF(AND(H477&lt;&gt;"Accepted",H477&lt;&gt;"Not Needed",Settings!$D$15="Yes"),", "&amp;H$1,"")&amp;IF(AND(I477&lt;&gt;"Accepted",I477&lt;&gt;"Not Needed",Settings!$E$15="Yes"),", "&amp;I$1,"")&amp;IF(AND(J477&lt;&gt;"Accepted",J477&lt;&gt;"Not Needed",Settings!$F$15="Yes"),", "&amp;J$1,"")&amp;IF(AND(K477&lt;&gt;"Accepted",K477&lt;&gt;"Not Needed",Settings!$G$15="Yes"),", "&amp;K$1,"")&amp;IF(AND(L477&lt;&gt;"Accepted",L477&lt;&gt;"Not Needed",Settings!$H$15="Yes"),", "&amp;L$1,"")&amp;IF(AND(M477&lt;&gt;"Accepted",M477&lt;&gt;"Not Needed",Settings!$I$15="Yes"),", "&amp;M$1,"")&amp;IF(AND(N477&lt;&gt;"Accepted",N477&lt;&gt;"Not Needed",Settings!$J$15="Yes"),", "&amp;N$1,""),3,400))))</f>
        <v/>
      </c>
    </row>
    <row r="478" ht="15" customHeight="1" s="21">
      <c r="A478" s="31" t="n"/>
      <c r="B478" s="31" t="n"/>
      <c r="C478" s="31" t="n"/>
      <c r="D478" s="31" t="n"/>
      <c r="E478" s="31" t="n"/>
      <c r="F478" s="31" t="n"/>
      <c r="G478" s="31" t="n"/>
      <c r="H478" s="31" t="n"/>
      <c r="I478" s="31" t="n"/>
      <c r="J478" s="31" t="n"/>
      <c r="K478" s="31" t="n"/>
      <c r="L478" s="31" t="n"/>
      <c r="M478" s="31" t="n"/>
      <c r="N478" s="31" t="n"/>
      <c r="O478" s="32">
        <f>IF($B478="","",COUNTIF(G478:N478,"Accepted")+COUNTIF(G478:N478,"Received")+COUNTIF(G478:N478,"Needs Correction"))</f>
        <v/>
      </c>
      <c r="P478" s="32">
        <f>IF($B478="","",SUMPRODUCT(((G478:N478="Accepted")+(G478:N478="Not Needed"))*(Settings!$C$11:$J$11="Yes")))</f>
        <v/>
      </c>
      <c r="Q478" s="32">
        <f>IF($B478="","",SUMPRODUCT(((G478:N478="Accepted")+(G478:N478="Not Needed"))*(Settings!$C$15:$J$15="Yes")))</f>
        <v/>
      </c>
      <c r="R478" s="33">
        <f>IF($B478="","",IF($D478="No","No PTO/PTA",IF($D478&lt;&gt;"Yes","Not Yet Confirmed",IF($Q478&gt;=Settings!$C$13,"Legalized",IF($P478&gt;=Settings!$C$12,"Registered",IF($O478&gt;0,"In Progress","Not Started"))))))</f>
        <v/>
      </c>
      <c r="S478" s="32">
        <f>IF($B478="","",COUNTIF(G478:N478,"Received"))</f>
        <v/>
      </c>
      <c r="T478" s="32">
        <f>IF($B478="","",COUNTIF(G478:N478,"Needs Correction"))</f>
        <v/>
      </c>
      <c r="U478" s="33">
        <f>IF($B478="","",IF($D478&lt;&gt;"Yes","",IF($Q478&gt;=Settings!$C$13,"None",MID(IF(AND(G478&lt;&gt;"Accepted",G478&lt;&gt;"Not Needed",Settings!$C$15="Yes"),", "&amp;G$1,"")&amp;IF(AND(H478&lt;&gt;"Accepted",H478&lt;&gt;"Not Needed",Settings!$D$15="Yes"),", "&amp;H$1,"")&amp;IF(AND(I478&lt;&gt;"Accepted",I478&lt;&gt;"Not Needed",Settings!$E$15="Yes"),", "&amp;I$1,"")&amp;IF(AND(J478&lt;&gt;"Accepted",J478&lt;&gt;"Not Needed",Settings!$F$15="Yes"),", "&amp;J$1,"")&amp;IF(AND(K478&lt;&gt;"Accepted",K478&lt;&gt;"Not Needed",Settings!$G$15="Yes"),", "&amp;K$1,"")&amp;IF(AND(L478&lt;&gt;"Accepted",L478&lt;&gt;"Not Needed",Settings!$H$15="Yes"),", "&amp;L$1,"")&amp;IF(AND(M478&lt;&gt;"Accepted",M478&lt;&gt;"Not Needed",Settings!$I$15="Yes"),", "&amp;M$1,"")&amp;IF(AND(N478&lt;&gt;"Accepted",N478&lt;&gt;"Not Needed",Settings!$J$15="Yes"),", "&amp;N$1,""),3,400))))</f>
        <v/>
      </c>
    </row>
    <row r="479" ht="15" customHeight="1" s="21">
      <c r="A479" s="31" t="n"/>
      <c r="B479" s="31" t="n"/>
      <c r="C479" s="31" t="n"/>
      <c r="D479" s="31" t="n"/>
      <c r="E479" s="31" t="n"/>
      <c r="F479" s="31" t="n"/>
      <c r="G479" s="31" t="n"/>
      <c r="H479" s="31" t="n"/>
      <c r="I479" s="31" t="n"/>
      <c r="J479" s="31" t="n"/>
      <c r="K479" s="31" t="n"/>
      <c r="L479" s="31" t="n"/>
      <c r="M479" s="31" t="n"/>
      <c r="N479" s="31" t="n"/>
      <c r="O479" s="32">
        <f>IF($B479="","",COUNTIF(G479:N479,"Accepted")+COUNTIF(G479:N479,"Received")+COUNTIF(G479:N479,"Needs Correction"))</f>
        <v/>
      </c>
      <c r="P479" s="32">
        <f>IF($B479="","",SUMPRODUCT(((G479:N479="Accepted")+(G479:N479="Not Needed"))*(Settings!$C$11:$J$11="Yes")))</f>
        <v/>
      </c>
      <c r="Q479" s="32">
        <f>IF($B479="","",SUMPRODUCT(((G479:N479="Accepted")+(G479:N479="Not Needed"))*(Settings!$C$15:$J$15="Yes")))</f>
        <v/>
      </c>
      <c r="R479" s="33">
        <f>IF($B479="","",IF($D479="No","No PTO/PTA",IF($D479&lt;&gt;"Yes","Not Yet Confirmed",IF($Q479&gt;=Settings!$C$13,"Legalized",IF($P479&gt;=Settings!$C$12,"Registered",IF($O479&gt;0,"In Progress","Not Started"))))))</f>
        <v/>
      </c>
      <c r="S479" s="32">
        <f>IF($B479="","",COUNTIF(G479:N479,"Received"))</f>
        <v/>
      </c>
      <c r="T479" s="32">
        <f>IF($B479="","",COUNTIF(G479:N479,"Needs Correction"))</f>
        <v/>
      </c>
      <c r="U479" s="33">
        <f>IF($B479="","",IF($D479&lt;&gt;"Yes","",IF($Q479&gt;=Settings!$C$13,"None",MID(IF(AND(G479&lt;&gt;"Accepted",G479&lt;&gt;"Not Needed",Settings!$C$15="Yes"),", "&amp;G$1,"")&amp;IF(AND(H479&lt;&gt;"Accepted",H479&lt;&gt;"Not Needed",Settings!$D$15="Yes"),", "&amp;H$1,"")&amp;IF(AND(I479&lt;&gt;"Accepted",I479&lt;&gt;"Not Needed",Settings!$E$15="Yes"),", "&amp;I$1,"")&amp;IF(AND(J479&lt;&gt;"Accepted",J479&lt;&gt;"Not Needed",Settings!$F$15="Yes"),", "&amp;J$1,"")&amp;IF(AND(K479&lt;&gt;"Accepted",K479&lt;&gt;"Not Needed",Settings!$G$15="Yes"),", "&amp;K$1,"")&amp;IF(AND(L479&lt;&gt;"Accepted",L479&lt;&gt;"Not Needed",Settings!$H$15="Yes"),", "&amp;L$1,"")&amp;IF(AND(M479&lt;&gt;"Accepted",M479&lt;&gt;"Not Needed",Settings!$I$15="Yes"),", "&amp;M$1,"")&amp;IF(AND(N479&lt;&gt;"Accepted",N479&lt;&gt;"Not Needed",Settings!$J$15="Yes"),", "&amp;N$1,""),3,400))))</f>
        <v/>
      </c>
    </row>
    <row r="480" ht="15" customHeight="1" s="21">
      <c r="A480" s="31" t="n"/>
      <c r="B480" s="31" t="n"/>
      <c r="C480" s="31" t="n"/>
      <c r="D480" s="31" t="n"/>
      <c r="E480" s="31" t="n"/>
      <c r="F480" s="31" t="n"/>
      <c r="G480" s="31" t="n"/>
      <c r="H480" s="31" t="n"/>
      <c r="I480" s="31" t="n"/>
      <c r="J480" s="31" t="n"/>
      <c r="K480" s="31" t="n"/>
      <c r="L480" s="31" t="n"/>
      <c r="M480" s="31" t="n"/>
      <c r="N480" s="31" t="n"/>
      <c r="O480" s="32">
        <f>IF($B480="","",COUNTIF(G480:N480,"Accepted")+COUNTIF(G480:N480,"Received")+COUNTIF(G480:N480,"Needs Correction"))</f>
        <v/>
      </c>
      <c r="P480" s="32">
        <f>IF($B480="","",SUMPRODUCT(((G480:N480="Accepted")+(G480:N480="Not Needed"))*(Settings!$C$11:$J$11="Yes")))</f>
        <v/>
      </c>
      <c r="Q480" s="32">
        <f>IF($B480="","",SUMPRODUCT(((G480:N480="Accepted")+(G480:N480="Not Needed"))*(Settings!$C$15:$J$15="Yes")))</f>
        <v/>
      </c>
      <c r="R480" s="33">
        <f>IF($B480="","",IF($D480="No","No PTO/PTA",IF($D480&lt;&gt;"Yes","Not Yet Confirmed",IF($Q480&gt;=Settings!$C$13,"Legalized",IF($P480&gt;=Settings!$C$12,"Registered",IF($O480&gt;0,"In Progress","Not Started"))))))</f>
        <v/>
      </c>
      <c r="S480" s="32">
        <f>IF($B480="","",COUNTIF(G480:N480,"Received"))</f>
        <v/>
      </c>
      <c r="T480" s="32">
        <f>IF($B480="","",COUNTIF(G480:N480,"Needs Correction"))</f>
        <v/>
      </c>
      <c r="U480" s="33">
        <f>IF($B480="","",IF($D480&lt;&gt;"Yes","",IF($Q480&gt;=Settings!$C$13,"None",MID(IF(AND(G480&lt;&gt;"Accepted",G480&lt;&gt;"Not Needed",Settings!$C$15="Yes"),", "&amp;G$1,"")&amp;IF(AND(H480&lt;&gt;"Accepted",H480&lt;&gt;"Not Needed",Settings!$D$15="Yes"),", "&amp;H$1,"")&amp;IF(AND(I480&lt;&gt;"Accepted",I480&lt;&gt;"Not Needed",Settings!$E$15="Yes"),", "&amp;I$1,"")&amp;IF(AND(J480&lt;&gt;"Accepted",J480&lt;&gt;"Not Needed",Settings!$F$15="Yes"),", "&amp;J$1,"")&amp;IF(AND(K480&lt;&gt;"Accepted",K480&lt;&gt;"Not Needed",Settings!$G$15="Yes"),", "&amp;K$1,"")&amp;IF(AND(L480&lt;&gt;"Accepted",L480&lt;&gt;"Not Needed",Settings!$H$15="Yes"),", "&amp;L$1,"")&amp;IF(AND(M480&lt;&gt;"Accepted",M480&lt;&gt;"Not Needed",Settings!$I$15="Yes"),", "&amp;M$1,"")&amp;IF(AND(N480&lt;&gt;"Accepted",N480&lt;&gt;"Not Needed",Settings!$J$15="Yes"),", "&amp;N$1,""),3,400))))</f>
        <v/>
      </c>
    </row>
    <row r="481" ht="15" customHeight="1" s="21">
      <c r="A481" s="31" t="n"/>
      <c r="B481" s="31" t="n"/>
      <c r="C481" s="31" t="n"/>
      <c r="D481" s="31" t="n"/>
      <c r="E481" s="31" t="n"/>
      <c r="F481" s="31" t="n"/>
      <c r="G481" s="31" t="n"/>
      <c r="H481" s="31" t="n"/>
      <c r="I481" s="31" t="n"/>
      <c r="J481" s="31" t="n"/>
      <c r="K481" s="31" t="n"/>
      <c r="L481" s="31" t="n"/>
      <c r="M481" s="31" t="n"/>
      <c r="N481" s="31" t="n"/>
      <c r="O481" s="32">
        <f>IF($B481="","",COUNTIF(G481:N481,"Accepted")+COUNTIF(G481:N481,"Received")+COUNTIF(G481:N481,"Needs Correction"))</f>
        <v/>
      </c>
      <c r="P481" s="32">
        <f>IF($B481="","",SUMPRODUCT(((G481:N481="Accepted")+(G481:N481="Not Needed"))*(Settings!$C$11:$J$11="Yes")))</f>
        <v/>
      </c>
      <c r="Q481" s="32">
        <f>IF($B481="","",SUMPRODUCT(((G481:N481="Accepted")+(G481:N481="Not Needed"))*(Settings!$C$15:$J$15="Yes")))</f>
        <v/>
      </c>
      <c r="R481" s="33">
        <f>IF($B481="","",IF($D481="No","No PTO/PTA",IF($D481&lt;&gt;"Yes","Not Yet Confirmed",IF($Q481&gt;=Settings!$C$13,"Legalized",IF($P481&gt;=Settings!$C$12,"Registered",IF($O481&gt;0,"In Progress","Not Started"))))))</f>
        <v/>
      </c>
      <c r="S481" s="32">
        <f>IF($B481="","",COUNTIF(G481:N481,"Received"))</f>
        <v/>
      </c>
      <c r="T481" s="32">
        <f>IF($B481="","",COUNTIF(G481:N481,"Needs Correction"))</f>
        <v/>
      </c>
      <c r="U481" s="33">
        <f>IF($B481="","",IF($D481&lt;&gt;"Yes","",IF($Q481&gt;=Settings!$C$13,"None",MID(IF(AND(G481&lt;&gt;"Accepted",G481&lt;&gt;"Not Needed",Settings!$C$15="Yes"),", "&amp;G$1,"")&amp;IF(AND(H481&lt;&gt;"Accepted",H481&lt;&gt;"Not Needed",Settings!$D$15="Yes"),", "&amp;H$1,"")&amp;IF(AND(I481&lt;&gt;"Accepted",I481&lt;&gt;"Not Needed",Settings!$E$15="Yes"),", "&amp;I$1,"")&amp;IF(AND(J481&lt;&gt;"Accepted",J481&lt;&gt;"Not Needed",Settings!$F$15="Yes"),", "&amp;J$1,"")&amp;IF(AND(K481&lt;&gt;"Accepted",K481&lt;&gt;"Not Needed",Settings!$G$15="Yes"),", "&amp;K$1,"")&amp;IF(AND(L481&lt;&gt;"Accepted",L481&lt;&gt;"Not Needed",Settings!$H$15="Yes"),", "&amp;L$1,"")&amp;IF(AND(M481&lt;&gt;"Accepted",M481&lt;&gt;"Not Needed",Settings!$I$15="Yes"),", "&amp;M$1,"")&amp;IF(AND(N481&lt;&gt;"Accepted",N481&lt;&gt;"Not Needed",Settings!$J$15="Yes"),", "&amp;N$1,""),3,400))))</f>
        <v/>
      </c>
    </row>
    <row r="482" ht="15" customHeight="1" s="21">
      <c r="A482" s="31" t="n"/>
      <c r="B482" s="31" t="n"/>
      <c r="C482" s="31" t="n"/>
      <c r="D482" s="31" t="n"/>
      <c r="E482" s="31" t="n"/>
      <c r="F482" s="31" t="n"/>
      <c r="G482" s="31" t="n"/>
      <c r="H482" s="31" t="n"/>
      <c r="I482" s="31" t="n"/>
      <c r="J482" s="31" t="n"/>
      <c r="K482" s="31" t="n"/>
      <c r="L482" s="31" t="n"/>
      <c r="M482" s="31" t="n"/>
      <c r="N482" s="31" t="n"/>
      <c r="O482" s="32">
        <f>IF($B482="","",COUNTIF(G482:N482,"Accepted")+COUNTIF(G482:N482,"Received")+COUNTIF(G482:N482,"Needs Correction"))</f>
        <v/>
      </c>
      <c r="P482" s="32">
        <f>IF($B482="","",SUMPRODUCT(((G482:N482="Accepted")+(G482:N482="Not Needed"))*(Settings!$C$11:$J$11="Yes")))</f>
        <v/>
      </c>
      <c r="Q482" s="32">
        <f>IF($B482="","",SUMPRODUCT(((G482:N482="Accepted")+(G482:N482="Not Needed"))*(Settings!$C$15:$J$15="Yes")))</f>
        <v/>
      </c>
      <c r="R482" s="33">
        <f>IF($B482="","",IF($D482="No","No PTO/PTA",IF($D482&lt;&gt;"Yes","Not Yet Confirmed",IF($Q482&gt;=Settings!$C$13,"Legalized",IF($P482&gt;=Settings!$C$12,"Registered",IF($O482&gt;0,"In Progress","Not Started"))))))</f>
        <v/>
      </c>
      <c r="S482" s="32">
        <f>IF($B482="","",COUNTIF(G482:N482,"Received"))</f>
        <v/>
      </c>
      <c r="T482" s="32">
        <f>IF($B482="","",COUNTIF(G482:N482,"Needs Correction"))</f>
        <v/>
      </c>
      <c r="U482" s="33">
        <f>IF($B482="","",IF($D482&lt;&gt;"Yes","",IF($Q482&gt;=Settings!$C$13,"None",MID(IF(AND(G482&lt;&gt;"Accepted",G482&lt;&gt;"Not Needed",Settings!$C$15="Yes"),", "&amp;G$1,"")&amp;IF(AND(H482&lt;&gt;"Accepted",H482&lt;&gt;"Not Needed",Settings!$D$15="Yes"),", "&amp;H$1,"")&amp;IF(AND(I482&lt;&gt;"Accepted",I482&lt;&gt;"Not Needed",Settings!$E$15="Yes"),", "&amp;I$1,"")&amp;IF(AND(J482&lt;&gt;"Accepted",J482&lt;&gt;"Not Needed",Settings!$F$15="Yes"),", "&amp;J$1,"")&amp;IF(AND(K482&lt;&gt;"Accepted",K482&lt;&gt;"Not Needed",Settings!$G$15="Yes"),", "&amp;K$1,"")&amp;IF(AND(L482&lt;&gt;"Accepted",L482&lt;&gt;"Not Needed",Settings!$H$15="Yes"),", "&amp;L$1,"")&amp;IF(AND(M482&lt;&gt;"Accepted",M482&lt;&gt;"Not Needed",Settings!$I$15="Yes"),", "&amp;M$1,"")&amp;IF(AND(N482&lt;&gt;"Accepted",N482&lt;&gt;"Not Needed",Settings!$J$15="Yes"),", "&amp;N$1,""),3,400))))</f>
        <v/>
      </c>
    </row>
    <row r="483" ht="15" customHeight="1" s="21">
      <c r="A483" s="31" t="n"/>
      <c r="B483" s="31" t="n"/>
      <c r="C483" s="31" t="n"/>
      <c r="D483" s="31" t="n"/>
      <c r="E483" s="31" t="n"/>
      <c r="F483" s="31" t="n"/>
      <c r="G483" s="31" t="n"/>
      <c r="H483" s="31" t="n"/>
      <c r="I483" s="31" t="n"/>
      <c r="J483" s="31" t="n"/>
      <c r="K483" s="31" t="n"/>
      <c r="L483" s="31" t="n"/>
      <c r="M483" s="31" t="n"/>
      <c r="N483" s="31" t="n"/>
      <c r="O483" s="32">
        <f>IF($B483="","",COUNTIF(G483:N483,"Accepted")+COUNTIF(G483:N483,"Received")+COUNTIF(G483:N483,"Needs Correction"))</f>
        <v/>
      </c>
      <c r="P483" s="32">
        <f>IF($B483="","",SUMPRODUCT(((G483:N483="Accepted")+(G483:N483="Not Needed"))*(Settings!$C$11:$J$11="Yes")))</f>
        <v/>
      </c>
      <c r="Q483" s="32">
        <f>IF($B483="","",SUMPRODUCT(((G483:N483="Accepted")+(G483:N483="Not Needed"))*(Settings!$C$15:$J$15="Yes")))</f>
        <v/>
      </c>
      <c r="R483" s="33">
        <f>IF($B483="","",IF($D483="No","No PTO/PTA",IF($D483&lt;&gt;"Yes","Not Yet Confirmed",IF($Q483&gt;=Settings!$C$13,"Legalized",IF($P483&gt;=Settings!$C$12,"Registered",IF($O483&gt;0,"In Progress","Not Started"))))))</f>
        <v/>
      </c>
      <c r="S483" s="32">
        <f>IF($B483="","",COUNTIF(G483:N483,"Received"))</f>
        <v/>
      </c>
      <c r="T483" s="32">
        <f>IF($B483="","",COUNTIF(G483:N483,"Needs Correction"))</f>
        <v/>
      </c>
      <c r="U483" s="33">
        <f>IF($B483="","",IF($D483&lt;&gt;"Yes","",IF($Q483&gt;=Settings!$C$13,"None",MID(IF(AND(G483&lt;&gt;"Accepted",G483&lt;&gt;"Not Needed",Settings!$C$15="Yes"),", "&amp;G$1,"")&amp;IF(AND(H483&lt;&gt;"Accepted",H483&lt;&gt;"Not Needed",Settings!$D$15="Yes"),", "&amp;H$1,"")&amp;IF(AND(I483&lt;&gt;"Accepted",I483&lt;&gt;"Not Needed",Settings!$E$15="Yes"),", "&amp;I$1,"")&amp;IF(AND(J483&lt;&gt;"Accepted",J483&lt;&gt;"Not Needed",Settings!$F$15="Yes"),", "&amp;J$1,"")&amp;IF(AND(K483&lt;&gt;"Accepted",K483&lt;&gt;"Not Needed",Settings!$G$15="Yes"),", "&amp;K$1,"")&amp;IF(AND(L483&lt;&gt;"Accepted",L483&lt;&gt;"Not Needed",Settings!$H$15="Yes"),", "&amp;L$1,"")&amp;IF(AND(M483&lt;&gt;"Accepted",M483&lt;&gt;"Not Needed",Settings!$I$15="Yes"),", "&amp;M$1,"")&amp;IF(AND(N483&lt;&gt;"Accepted",N483&lt;&gt;"Not Needed",Settings!$J$15="Yes"),", "&amp;N$1,""),3,400))))</f>
        <v/>
      </c>
    </row>
    <row r="484" ht="15" customHeight="1" s="21">
      <c r="A484" s="31" t="n"/>
      <c r="B484" s="31" t="n"/>
      <c r="C484" s="31" t="n"/>
      <c r="D484" s="31" t="n"/>
      <c r="E484" s="31" t="n"/>
      <c r="F484" s="31" t="n"/>
      <c r="G484" s="31" t="n"/>
      <c r="H484" s="31" t="n"/>
      <c r="I484" s="31" t="n"/>
      <c r="J484" s="31" t="n"/>
      <c r="K484" s="31" t="n"/>
      <c r="L484" s="31" t="n"/>
      <c r="M484" s="31" t="n"/>
      <c r="N484" s="31" t="n"/>
      <c r="O484" s="32">
        <f>IF($B484="","",COUNTIF(G484:N484,"Accepted")+COUNTIF(G484:N484,"Received")+COUNTIF(G484:N484,"Needs Correction"))</f>
        <v/>
      </c>
      <c r="P484" s="32">
        <f>IF($B484="","",SUMPRODUCT(((G484:N484="Accepted")+(G484:N484="Not Needed"))*(Settings!$C$11:$J$11="Yes")))</f>
        <v/>
      </c>
      <c r="Q484" s="32">
        <f>IF($B484="","",SUMPRODUCT(((G484:N484="Accepted")+(G484:N484="Not Needed"))*(Settings!$C$15:$J$15="Yes")))</f>
        <v/>
      </c>
      <c r="R484" s="33">
        <f>IF($B484="","",IF($D484="No","No PTO/PTA",IF($D484&lt;&gt;"Yes","Not Yet Confirmed",IF($Q484&gt;=Settings!$C$13,"Legalized",IF($P484&gt;=Settings!$C$12,"Registered",IF($O484&gt;0,"In Progress","Not Started"))))))</f>
        <v/>
      </c>
      <c r="S484" s="32">
        <f>IF($B484="","",COUNTIF(G484:N484,"Received"))</f>
        <v/>
      </c>
      <c r="T484" s="32">
        <f>IF($B484="","",COUNTIF(G484:N484,"Needs Correction"))</f>
        <v/>
      </c>
      <c r="U484" s="33">
        <f>IF($B484="","",IF($D484&lt;&gt;"Yes","",IF($Q484&gt;=Settings!$C$13,"None",MID(IF(AND(G484&lt;&gt;"Accepted",G484&lt;&gt;"Not Needed",Settings!$C$15="Yes"),", "&amp;G$1,"")&amp;IF(AND(H484&lt;&gt;"Accepted",H484&lt;&gt;"Not Needed",Settings!$D$15="Yes"),", "&amp;H$1,"")&amp;IF(AND(I484&lt;&gt;"Accepted",I484&lt;&gt;"Not Needed",Settings!$E$15="Yes"),", "&amp;I$1,"")&amp;IF(AND(J484&lt;&gt;"Accepted",J484&lt;&gt;"Not Needed",Settings!$F$15="Yes"),", "&amp;J$1,"")&amp;IF(AND(K484&lt;&gt;"Accepted",K484&lt;&gt;"Not Needed",Settings!$G$15="Yes"),", "&amp;K$1,"")&amp;IF(AND(L484&lt;&gt;"Accepted",L484&lt;&gt;"Not Needed",Settings!$H$15="Yes"),", "&amp;L$1,"")&amp;IF(AND(M484&lt;&gt;"Accepted",M484&lt;&gt;"Not Needed",Settings!$I$15="Yes"),", "&amp;M$1,"")&amp;IF(AND(N484&lt;&gt;"Accepted",N484&lt;&gt;"Not Needed",Settings!$J$15="Yes"),", "&amp;N$1,""),3,400))))</f>
        <v/>
      </c>
    </row>
    <row r="485" ht="15" customHeight="1" s="21">
      <c r="A485" s="31" t="n"/>
      <c r="B485" s="31" t="n"/>
      <c r="C485" s="31" t="n"/>
      <c r="D485" s="31" t="n"/>
      <c r="E485" s="31" t="n"/>
      <c r="F485" s="31" t="n"/>
      <c r="G485" s="31" t="n"/>
      <c r="H485" s="31" t="n"/>
      <c r="I485" s="31" t="n"/>
      <c r="J485" s="31" t="n"/>
      <c r="K485" s="31" t="n"/>
      <c r="L485" s="31" t="n"/>
      <c r="M485" s="31" t="n"/>
      <c r="N485" s="31" t="n"/>
      <c r="O485" s="32">
        <f>IF($B485="","",COUNTIF(G485:N485,"Accepted")+COUNTIF(G485:N485,"Received")+COUNTIF(G485:N485,"Needs Correction"))</f>
        <v/>
      </c>
      <c r="P485" s="32">
        <f>IF($B485="","",SUMPRODUCT(((G485:N485="Accepted")+(G485:N485="Not Needed"))*(Settings!$C$11:$J$11="Yes")))</f>
        <v/>
      </c>
      <c r="Q485" s="32">
        <f>IF($B485="","",SUMPRODUCT(((G485:N485="Accepted")+(G485:N485="Not Needed"))*(Settings!$C$15:$J$15="Yes")))</f>
        <v/>
      </c>
      <c r="R485" s="33">
        <f>IF($B485="","",IF($D485="No","No PTO/PTA",IF($D485&lt;&gt;"Yes","Not Yet Confirmed",IF($Q485&gt;=Settings!$C$13,"Legalized",IF($P485&gt;=Settings!$C$12,"Registered",IF($O485&gt;0,"In Progress","Not Started"))))))</f>
        <v/>
      </c>
      <c r="S485" s="32">
        <f>IF($B485="","",COUNTIF(G485:N485,"Received"))</f>
        <v/>
      </c>
      <c r="T485" s="32">
        <f>IF($B485="","",COUNTIF(G485:N485,"Needs Correction"))</f>
        <v/>
      </c>
      <c r="U485" s="33">
        <f>IF($B485="","",IF($D485&lt;&gt;"Yes","",IF($Q485&gt;=Settings!$C$13,"None",MID(IF(AND(G485&lt;&gt;"Accepted",G485&lt;&gt;"Not Needed",Settings!$C$15="Yes"),", "&amp;G$1,"")&amp;IF(AND(H485&lt;&gt;"Accepted",H485&lt;&gt;"Not Needed",Settings!$D$15="Yes"),", "&amp;H$1,"")&amp;IF(AND(I485&lt;&gt;"Accepted",I485&lt;&gt;"Not Needed",Settings!$E$15="Yes"),", "&amp;I$1,"")&amp;IF(AND(J485&lt;&gt;"Accepted",J485&lt;&gt;"Not Needed",Settings!$F$15="Yes"),", "&amp;J$1,"")&amp;IF(AND(K485&lt;&gt;"Accepted",K485&lt;&gt;"Not Needed",Settings!$G$15="Yes"),", "&amp;K$1,"")&amp;IF(AND(L485&lt;&gt;"Accepted",L485&lt;&gt;"Not Needed",Settings!$H$15="Yes"),", "&amp;L$1,"")&amp;IF(AND(M485&lt;&gt;"Accepted",M485&lt;&gt;"Not Needed",Settings!$I$15="Yes"),", "&amp;M$1,"")&amp;IF(AND(N485&lt;&gt;"Accepted",N485&lt;&gt;"Not Needed",Settings!$J$15="Yes"),", "&amp;N$1,""),3,400))))</f>
        <v/>
      </c>
    </row>
    <row r="486" ht="15" customHeight="1" s="21">
      <c r="A486" s="31" t="n"/>
      <c r="B486" s="31" t="n"/>
      <c r="C486" s="31" t="n"/>
      <c r="D486" s="31" t="n"/>
      <c r="E486" s="31" t="n"/>
      <c r="F486" s="31" t="n"/>
      <c r="G486" s="31" t="n"/>
      <c r="H486" s="31" t="n"/>
      <c r="I486" s="31" t="n"/>
      <c r="J486" s="31" t="n"/>
      <c r="K486" s="31" t="n"/>
      <c r="L486" s="31" t="n"/>
      <c r="M486" s="31" t="n"/>
      <c r="N486" s="31" t="n"/>
      <c r="O486" s="32">
        <f>IF($B486="","",COUNTIF(G486:N486,"Accepted")+COUNTIF(G486:N486,"Received")+COUNTIF(G486:N486,"Needs Correction"))</f>
        <v/>
      </c>
      <c r="P486" s="32">
        <f>IF($B486="","",SUMPRODUCT(((G486:N486="Accepted")+(G486:N486="Not Needed"))*(Settings!$C$11:$J$11="Yes")))</f>
        <v/>
      </c>
      <c r="Q486" s="32">
        <f>IF($B486="","",SUMPRODUCT(((G486:N486="Accepted")+(G486:N486="Not Needed"))*(Settings!$C$15:$J$15="Yes")))</f>
        <v/>
      </c>
      <c r="R486" s="33">
        <f>IF($B486="","",IF($D486="No","No PTO/PTA",IF($D486&lt;&gt;"Yes","Not Yet Confirmed",IF($Q486&gt;=Settings!$C$13,"Legalized",IF($P486&gt;=Settings!$C$12,"Registered",IF($O486&gt;0,"In Progress","Not Started"))))))</f>
        <v/>
      </c>
      <c r="S486" s="32">
        <f>IF($B486="","",COUNTIF(G486:N486,"Received"))</f>
        <v/>
      </c>
      <c r="T486" s="32">
        <f>IF($B486="","",COUNTIF(G486:N486,"Needs Correction"))</f>
        <v/>
      </c>
      <c r="U486" s="33">
        <f>IF($B486="","",IF($D486&lt;&gt;"Yes","",IF($Q486&gt;=Settings!$C$13,"None",MID(IF(AND(G486&lt;&gt;"Accepted",G486&lt;&gt;"Not Needed",Settings!$C$15="Yes"),", "&amp;G$1,"")&amp;IF(AND(H486&lt;&gt;"Accepted",H486&lt;&gt;"Not Needed",Settings!$D$15="Yes"),", "&amp;H$1,"")&amp;IF(AND(I486&lt;&gt;"Accepted",I486&lt;&gt;"Not Needed",Settings!$E$15="Yes"),", "&amp;I$1,"")&amp;IF(AND(J486&lt;&gt;"Accepted",J486&lt;&gt;"Not Needed",Settings!$F$15="Yes"),", "&amp;J$1,"")&amp;IF(AND(K486&lt;&gt;"Accepted",K486&lt;&gt;"Not Needed",Settings!$G$15="Yes"),", "&amp;K$1,"")&amp;IF(AND(L486&lt;&gt;"Accepted",L486&lt;&gt;"Not Needed",Settings!$H$15="Yes"),", "&amp;L$1,"")&amp;IF(AND(M486&lt;&gt;"Accepted",M486&lt;&gt;"Not Needed",Settings!$I$15="Yes"),", "&amp;M$1,"")&amp;IF(AND(N486&lt;&gt;"Accepted",N486&lt;&gt;"Not Needed",Settings!$J$15="Yes"),", "&amp;N$1,""),3,400))))</f>
        <v/>
      </c>
    </row>
    <row r="487" ht="15" customHeight="1" s="21">
      <c r="A487" s="31" t="n"/>
      <c r="B487" s="31" t="n"/>
      <c r="C487" s="31" t="n"/>
      <c r="D487" s="31" t="n"/>
      <c r="E487" s="31" t="n"/>
      <c r="F487" s="31" t="n"/>
      <c r="G487" s="31" t="n"/>
      <c r="H487" s="31" t="n"/>
      <c r="I487" s="31" t="n"/>
      <c r="J487" s="31" t="n"/>
      <c r="K487" s="31" t="n"/>
      <c r="L487" s="31" t="n"/>
      <c r="M487" s="31" t="n"/>
      <c r="N487" s="31" t="n"/>
      <c r="O487" s="32">
        <f>IF($B487="","",COUNTIF(G487:N487,"Accepted")+COUNTIF(G487:N487,"Received")+COUNTIF(G487:N487,"Needs Correction"))</f>
        <v/>
      </c>
      <c r="P487" s="32">
        <f>IF($B487="","",SUMPRODUCT(((G487:N487="Accepted")+(G487:N487="Not Needed"))*(Settings!$C$11:$J$11="Yes")))</f>
        <v/>
      </c>
      <c r="Q487" s="32">
        <f>IF($B487="","",SUMPRODUCT(((G487:N487="Accepted")+(G487:N487="Not Needed"))*(Settings!$C$15:$J$15="Yes")))</f>
        <v/>
      </c>
      <c r="R487" s="33">
        <f>IF($B487="","",IF($D487="No","No PTO/PTA",IF($D487&lt;&gt;"Yes","Not Yet Confirmed",IF($Q487&gt;=Settings!$C$13,"Legalized",IF($P487&gt;=Settings!$C$12,"Registered",IF($O487&gt;0,"In Progress","Not Started"))))))</f>
        <v/>
      </c>
      <c r="S487" s="32">
        <f>IF($B487="","",COUNTIF(G487:N487,"Received"))</f>
        <v/>
      </c>
      <c r="T487" s="32">
        <f>IF($B487="","",COUNTIF(G487:N487,"Needs Correction"))</f>
        <v/>
      </c>
      <c r="U487" s="33">
        <f>IF($B487="","",IF($D487&lt;&gt;"Yes","",IF($Q487&gt;=Settings!$C$13,"None",MID(IF(AND(G487&lt;&gt;"Accepted",G487&lt;&gt;"Not Needed",Settings!$C$15="Yes"),", "&amp;G$1,"")&amp;IF(AND(H487&lt;&gt;"Accepted",H487&lt;&gt;"Not Needed",Settings!$D$15="Yes"),", "&amp;H$1,"")&amp;IF(AND(I487&lt;&gt;"Accepted",I487&lt;&gt;"Not Needed",Settings!$E$15="Yes"),", "&amp;I$1,"")&amp;IF(AND(J487&lt;&gt;"Accepted",J487&lt;&gt;"Not Needed",Settings!$F$15="Yes"),", "&amp;J$1,"")&amp;IF(AND(K487&lt;&gt;"Accepted",K487&lt;&gt;"Not Needed",Settings!$G$15="Yes"),", "&amp;K$1,"")&amp;IF(AND(L487&lt;&gt;"Accepted",L487&lt;&gt;"Not Needed",Settings!$H$15="Yes"),", "&amp;L$1,"")&amp;IF(AND(M487&lt;&gt;"Accepted",M487&lt;&gt;"Not Needed",Settings!$I$15="Yes"),", "&amp;M$1,"")&amp;IF(AND(N487&lt;&gt;"Accepted",N487&lt;&gt;"Not Needed",Settings!$J$15="Yes"),", "&amp;N$1,""),3,400))))</f>
        <v/>
      </c>
    </row>
    <row r="488" ht="15" customHeight="1" s="21">
      <c r="A488" s="31" t="n"/>
      <c r="B488" s="31" t="n"/>
      <c r="C488" s="31" t="n"/>
      <c r="D488" s="31" t="n"/>
      <c r="E488" s="31" t="n"/>
      <c r="F488" s="31" t="n"/>
      <c r="G488" s="31" t="n"/>
      <c r="H488" s="31" t="n"/>
      <c r="I488" s="31" t="n"/>
      <c r="J488" s="31" t="n"/>
      <c r="K488" s="31" t="n"/>
      <c r="L488" s="31" t="n"/>
      <c r="M488" s="31" t="n"/>
      <c r="N488" s="31" t="n"/>
      <c r="O488" s="32">
        <f>IF($B488="","",COUNTIF(G488:N488,"Accepted")+COUNTIF(G488:N488,"Received")+COUNTIF(G488:N488,"Needs Correction"))</f>
        <v/>
      </c>
      <c r="P488" s="32">
        <f>IF($B488="","",SUMPRODUCT(((G488:N488="Accepted")+(G488:N488="Not Needed"))*(Settings!$C$11:$J$11="Yes")))</f>
        <v/>
      </c>
      <c r="Q488" s="32">
        <f>IF($B488="","",SUMPRODUCT(((G488:N488="Accepted")+(G488:N488="Not Needed"))*(Settings!$C$15:$J$15="Yes")))</f>
        <v/>
      </c>
      <c r="R488" s="33">
        <f>IF($B488="","",IF($D488="No","No PTO/PTA",IF($D488&lt;&gt;"Yes","Not Yet Confirmed",IF($Q488&gt;=Settings!$C$13,"Legalized",IF($P488&gt;=Settings!$C$12,"Registered",IF($O488&gt;0,"In Progress","Not Started"))))))</f>
        <v/>
      </c>
      <c r="S488" s="32">
        <f>IF($B488="","",COUNTIF(G488:N488,"Received"))</f>
        <v/>
      </c>
      <c r="T488" s="32">
        <f>IF($B488="","",COUNTIF(G488:N488,"Needs Correction"))</f>
        <v/>
      </c>
      <c r="U488" s="33">
        <f>IF($B488="","",IF($D488&lt;&gt;"Yes","",IF($Q488&gt;=Settings!$C$13,"None",MID(IF(AND(G488&lt;&gt;"Accepted",G488&lt;&gt;"Not Needed",Settings!$C$15="Yes"),", "&amp;G$1,"")&amp;IF(AND(H488&lt;&gt;"Accepted",H488&lt;&gt;"Not Needed",Settings!$D$15="Yes"),", "&amp;H$1,"")&amp;IF(AND(I488&lt;&gt;"Accepted",I488&lt;&gt;"Not Needed",Settings!$E$15="Yes"),", "&amp;I$1,"")&amp;IF(AND(J488&lt;&gt;"Accepted",J488&lt;&gt;"Not Needed",Settings!$F$15="Yes"),", "&amp;J$1,"")&amp;IF(AND(K488&lt;&gt;"Accepted",K488&lt;&gt;"Not Needed",Settings!$G$15="Yes"),", "&amp;K$1,"")&amp;IF(AND(L488&lt;&gt;"Accepted",L488&lt;&gt;"Not Needed",Settings!$H$15="Yes"),", "&amp;L$1,"")&amp;IF(AND(M488&lt;&gt;"Accepted",M488&lt;&gt;"Not Needed",Settings!$I$15="Yes"),", "&amp;M$1,"")&amp;IF(AND(N488&lt;&gt;"Accepted",N488&lt;&gt;"Not Needed",Settings!$J$15="Yes"),", "&amp;N$1,""),3,400))))</f>
        <v/>
      </c>
    </row>
    <row r="489" ht="15" customHeight="1" s="21">
      <c r="A489" s="31" t="n"/>
      <c r="B489" s="31" t="n"/>
      <c r="C489" s="31" t="n"/>
      <c r="D489" s="31" t="n"/>
      <c r="E489" s="31" t="n"/>
      <c r="F489" s="31" t="n"/>
      <c r="G489" s="31" t="n"/>
      <c r="H489" s="31" t="n"/>
      <c r="I489" s="31" t="n"/>
      <c r="J489" s="31" t="n"/>
      <c r="K489" s="31" t="n"/>
      <c r="L489" s="31" t="n"/>
      <c r="M489" s="31" t="n"/>
      <c r="N489" s="31" t="n"/>
      <c r="O489" s="32">
        <f>IF($B489="","",COUNTIF(G489:N489,"Accepted")+COUNTIF(G489:N489,"Received")+COUNTIF(G489:N489,"Needs Correction"))</f>
        <v/>
      </c>
      <c r="P489" s="32">
        <f>IF($B489="","",SUMPRODUCT(((G489:N489="Accepted")+(G489:N489="Not Needed"))*(Settings!$C$11:$J$11="Yes")))</f>
        <v/>
      </c>
      <c r="Q489" s="32">
        <f>IF($B489="","",SUMPRODUCT(((G489:N489="Accepted")+(G489:N489="Not Needed"))*(Settings!$C$15:$J$15="Yes")))</f>
        <v/>
      </c>
      <c r="R489" s="33">
        <f>IF($B489="","",IF($D489="No","No PTO/PTA",IF($D489&lt;&gt;"Yes","Not Yet Confirmed",IF($Q489&gt;=Settings!$C$13,"Legalized",IF($P489&gt;=Settings!$C$12,"Registered",IF($O489&gt;0,"In Progress","Not Started"))))))</f>
        <v/>
      </c>
      <c r="S489" s="32">
        <f>IF($B489="","",COUNTIF(G489:N489,"Received"))</f>
        <v/>
      </c>
      <c r="T489" s="32">
        <f>IF($B489="","",COUNTIF(G489:N489,"Needs Correction"))</f>
        <v/>
      </c>
      <c r="U489" s="33">
        <f>IF($B489="","",IF($D489&lt;&gt;"Yes","",IF($Q489&gt;=Settings!$C$13,"None",MID(IF(AND(G489&lt;&gt;"Accepted",G489&lt;&gt;"Not Needed",Settings!$C$15="Yes"),", "&amp;G$1,"")&amp;IF(AND(H489&lt;&gt;"Accepted",H489&lt;&gt;"Not Needed",Settings!$D$15="Yes"),", "&amp;H$1,"")&amp;IF(AND(I489&lt;&gt;"Accepted",I489&lt;&gt;"Not Needed",Settings!$E$15="Yes"),", "&amp;I$1,"")&amp;IF(AND(J489&lt;&gt;"Accepted",J489&lt;&gt;"Not Needed",Settings!$F$15="Yes"),", "&amp;J$1,"")&amp;IF(AND(K489&lt;&gt;"Accepted",K489&lt;&gt;"Not Needed",Settings!$G$15="Yes"),", "&amp;K$1,"")&amp;IF(AND(L489&lt;&gt;"Accepted",L489&lt;&gt;"Not Needed",Settings!$H$15="Yes"),", "&amp;L$1,"")&amp;IF(AND(M489&lt;&gt;"Accepted",M489&lt;&gt;"Not Needed",Settings!$I$15="Yes"),", "&amp;M$1,"")&amp;IF(AND(N489&lt;&gt;"Accepted",N489&lt;&gt;"Not Needed",Settings!$J$15="Yes"),", "&amp;N$1,""),3,400))))</f>
        <v/>
      </c>
    </row>
    <row r="490" ht="15" customHeight="1" s="21">
      <c r="A490" s="31" t="n"/>
      <c r="B490" s="31" t="n"/>
      <c r="C490" s="31" t="n"/>
      <c r="D490" s="31" t="n"/>
      <c r="E490" s="31" t="n"/>
      <c r="F490" s="31" t="n"/>
      <c r="G490" s="31" t="n"/>
      <c r="H490" s="31" t="n"/>
      <c r="I490" s="31" t="n"/>
      <c r="J490" s="31" t="n"/>
      <c r="K490" s="31" t="n"/>
      <c r="L490" s="31" t="n"/>
      <c r="M490" s="31" t="n"/>
      <c r="N490" s="31" t="n"/>
      <c r="O490" s="32">
        <f>IF($B490="","",COUNTIF(G490:N490,"Accepted")+COUNTIF(G490:N490,"Received")+COUNTIF(G490:N490,"Needs Correction"))</f>
        <v/>
      </c>
      <c r="P490" s="32">
        <f>IF($B490="","",SUMPRODUCT(((G490:N490="Accepted")+(G490:N490="Not Needed"))*(Settings!$C$11:$J$11="Yes")))</f>
        <v/>
      </c>
      <c r="Q490" s="32">
        <f>IF($B490="","",SUMPRODUCT(((G490:N490="Accepted")+(G490:N490="Not Needed"))*(Settings!$C$15:$J$15="Yes")))</f>
        <v/>
      </c>
      <c r="R490" s="33">
        <f>IF($B490="","",IF($D490="No","No PTO/PTA",IF($D490&lt;&gt;"Yes","Not Yet Confirmed",IF($Q490&gt;=Settings!$C$13,"Legalized",IF($P490&gt;=Settings!$C$12,"Registered",IF($O490&gt;0,"In Progress","Not Started"))))))</f>
        <v/>
      </c>
      <c r="S490" s="32">
        <f>IF($B490="","",COUNTIF(G490:N490,"Received"))</f>
        <v/>
      </c>
      <c r="T490" s="32">
        <f>IF($B490="","",COUNTIF(G490:N490,"Needs Correction"))</f>
        <v/>
      </c>
      <c r="U490" s="33">
        <f>IF($B490="","",IF($D490&lt;&gt;"Yes","",IF($Q490&gt;=Settings!$C$13,"None",MID(IF(AND(G490&lt;&gt;"Accepted",G490&lt;&gt;"Not Needed",Settings!$C$15="Yes"),", "&amp;G$1,"")&amp;IF(AND(H490&lt;&gt;"Accepted",H490&lt;&gt;"Not Needed",Settings!$D$15="Yes"),", "&amp;H$1,"")&amp;IF(AND(I490&lt;&gt;"Accepted",I490&lt;&gt;"Not Needed",Settings!$E$15="Yes"),", "&amp;I$1,"")&amp;IF(AND(J490&lt;&gt;"Accepted",J490&lt;&gt;"Not Needed",Settings!$F$15="Yes"),", "&amp;J$1,"")&amp;IF(AND(K490&lt;&gt;"Accepted",K490&lt;&gt;"Not Needed",Settings!$G$15="Yes"),", "&amp;K$1,"")&amp;IF(AND(L490&lt;&gt;"Accepted",L490&lt;&gt;"Not Needed",Settings!$H$15="Yes"),", "&amp;L$1,"")&amp;IF(AND(M490&lt;&gt;"Accepted",M490&lt;&gt;"Not Needed",Settings!$I$15="Yes"),", "&amp;M$1,"")&amp;IF(AND(N490&lt;&gt;"Accepted",N490&lt;&gt;"Not Needed",Settings!$J$15="Yes"),", "&amp;N$1,""),3,400))))</f>
        <v/>
      </c>
    </row>
    <row r="491" ht="15" customHeight="1" s="21">
      <c r="A491" s="31" t="n"/>
      <c r="B491" s="31" t="n"/>
      <c r="C491" s="31" t="n"/>
      <c r="D491" s="31" t="n"/>
      <c r="E491" s="31" t="n"/>
      <c r="F491" s="31" t="n"/>
      <c r="G491" s="31" t="n"/>
      <c r="H491" s="31" t="n"/>
      <c r="I491" s="31" t="n"/>
      <c r="J491" s="31" t="n"/>
      <c r="K491" s="31" t="n"/>
      <c r="L491" s="31" t="n"/>
      <c r="M491" s="31" t="n"/>
      <c r="N491" s="31" t="n"/>
      <c r="O491" s="32">
        <f>IF($B491="","",COUNTIF(G491:N491,"Accepted")+COUNTIF(G491:N491,"Received")+COUNTIF(G491:N491,"Needs Correction"))</f>
        <v/>
      </c>
      <c r="P491" s="32">
        <f>IF($B491="","",SUMPRODUCT(((G491:N491="Accepted")+(G491:N491="Not Needed"))*(Settings!$C$11:$J$11="Yes")))</f>
        <v/>
      </c>
      <c r="Q491" s="32">
        <f>IF($B491="","",SUMPRODUCT(((G491:N491="Accepted")+(G491:N491="Not Needed"))*(Settings!$C$15:$J$15="Yes")))</f>
        <v/>
      </c>
      <c r="R491" s="33">
        <f>IF($B491="","",IF($D491="No","No PTO/PTA",IF($D491&lt;&gt;"Yes","Not Yet Confirmed",IF($Q491&gt;=Settings!$C$13,"Legalized",IF($P491&gt;=Settings!$C$12,"Registered",IF($O491&gt;0,"In Progress","Not Started"))))))</f>
        <v/>
      </c>
      <c r="S491" s="32">
        <f>IF($B491="","",COUNTIF(G491:N491,"Received"))</f>
        <v/>
      </c>
      <c r="T491" s="32">
        <f>IF($B491="","",COUNTIF(G491:N491,"Needs Correction"))</f>
        <v/>
      </c>
      <c r="U491" s="33">
        <f>IF($B491="","",IF($D491&lt;&gt;"Yes","",IF($Q491&gt;=Settings!$C$13,"None",MID(IF(AND(G491&lt;&gt;"Accepted",G491&lt;&gt;"Not Needed",Settings!$C$15="Yes"),", "&amp;G$1,"")&amp;IF(AND(H491&lt;&gt;"Accepted",H491&lt;&gt;"Not Needed",Settings!$D$15="Yes"),", "&amp;H$1,"")&amp;IF(AND(I491&lt;&gt;"Accepted",I491&lt;&gt;"Not Needed",Settings!$E$15="Yes"),", "&amp;I$1,"")&amp;IF(AND(J491&lt;&gt;"Accepted",J491&lt;&gt;"Not Needed",Settings!$F$15="Yes"),", "&amp;J$1,"")&amp;IF(AND(K491&lt;&gt;"Accepted",K491&lt;&gt;"Not Needed",Settings!$G$15="Yes"),", "&amp;K$1,"")&amp;IF(AND(L491&lt;&gt;"Accepted",L491&lt;&gt;"Not Needed",Settings!$H$15="Yes"),", "&amp;L$1,"")&amp;IF(AND(M491&lt;&gt;"Accepted",M491&lt;&gt;"Not Needed",Settings!$I$15="Yes"),", "&amp;M$1,"")&amp;IF(AND(N491&lt;&gt;"Accepted",N491&lt;&gt;"Not Needed",Settings!$J$15="Yes"),", "&amp;N$1,""),3,400))))</f>
        <v/>
      </c>
    </row>
    <row r="492" ht="15" customHeight="1" s="21">
      <c r="A492" s="31" t="n"/>
      <c r="B492" s="31" t="n"/>
      <c r="C492" s="31" t="n"/>
      <c r="D492" s="31" t="n"/>
      <c r="E492" s="31" t="n"/>
      <c r="F492" s="31" t="n"/>
      <c r="G492" s="31" t="n"/>
      <c r="H492" s="31" t="n"/>
      <c r="I492" s="31" t="n"/>
      <c r="J492" s="31" t="n"/>
      <c r="K492" s="31" t="n"/>
      <c r="L492" s="31" t="n"/>
      <c r="M492" s="31" t="n"/>
      <c r="N492" s="31" t="n"/>
      <c r="O492" s="32">
        <f>IF($B492="","",COUNTIF(G492:N492,"Accepted")+COUNTIF(G492:N492,"Received")+COUNTIF(G492:N492,"Needs Correction"))</f>
        <v/>
      </c>
      <c r="P492" s="32">
        <f>IF($B492="","",SUMPRODUCT(((G492:N492="Accepted")+(G492:N492="Not Needed"))*(Settings!$C$11:$J$11="Yes")))</f>
        <v/>
      </c>
      <c r="Q492" s="32">
        <f>IF($B492="","",SUMPRODUCT(((G492:N492="Accepted")+(G492:N492="Not Needed"))*(Settings!$C$15:$J$15="Yes")))</f>
        <v/>
      </c>
      <c r="R492" s="33">
        <f>IF($B492="","",IF($D492="No","No PTO/PTA",IF($D492&lt;&gt;"Yes","Not Yet Confirmed",IF($Q492&gt;=Settings!$C$13,"Legalized",IF($P492&gt;=Settings!$C$12,"Registered",IF($O492&gt;0,"In Progress","Not Started"))))))</f>
        <v/>
      </c>
      <c r="S492" s="32">
        <f>IF($B492="","",COUNTIF(G492:N492,"Received"))</f>
        <v/>
      </c>
      <c r="T492" s="32">
        <f>IF($B492="","",COUNTIF(G492:N492,"Needs Correction"))</f>
        <v/>
      </c>
      <c r="U492" s="33">
        <f>IF($B492="","",IF($D492&lt;&gt;"Yes","",IF($Q492&gt;=Settings!$C$13,"None",MID(IF(AND(G492&lt;&gt;"Accepted",G492&lt;&gt;"Not Needed",Settings!$C$15="Yes"),", "&amp;G$1,"")&amp;IF(AND(H492&lt;&gt;"Accepted",H492&lt;&gt;"Not Needed",Settings!$D$15="Yes"),", "&amp;H$1,"")&amp;IF(AND(I492&lt;&gt;"Accepted",I492&lt;&gt;"Not Needed",Settings!$E$15="Yes"),", "&amp;I$1,"")&amp;IF(AND(J492&lt;&gt;"Accepted",J492&lt;&gt;"Not Needed",Settings!$F$15="Yes"),", "&amp;J$1,"")&amp;IF(AND(K492&lt;&gt;"Accepted",K492&lt;&gt;"Not Needed",Settings!$G$15="Yes"),", "&amp;K$1,"")&amp;IF(AND(L492&lt;&gt;"Accepted",L492&lt;&gt;"Not Needed",Settings!$H$15="Yes"),", "&amp;L$1,"")&amp;IF(AND(M492&lt;&gt;"Accepted",M492&lt;&gt;"Not Needed",Settings!$I$15="Yes"),", "&amp;M$1,"")&amp;IF(AND(N492&lt;&gt;"Accepted",N492&lt;&gt;"Not Needed",Settings!$J$15="Yes"),", "&amp;N$1,""),3,400))))</f>
        <v/>
      </c>
    </row>
    <row r="493" ht="15" customHeight="1" s="21">
      <c r="A493" s="31" t="n"/>
      <c r="B493" s="31" t="n"/>
      <c r="C493" s="31" t="n"/>
      <c r="D493" s="31" t="n"/>
      <c r="E493" s="31" t="n"/>
      <c r="F493" s="31" t="n"/>
      <c r="G493" s="31" t="n"/>
      <c r="H493" s="31" t="n"/>
      <c r="I493" s="31" t="n"/>
      <c r="J493" s="31" t="n"/>
      <c r="K493" s="31" t="n"/>
      <c r="L493" s="31" t="n"/>
      <c r="M493" s="31" t="n"/>
      <c r="N493" s="31" t="n"/>
      <c r="O493" s="32">
        <f>IF($B493="","",COUNTIF(G493:N493,"Accepted")+COUNTIF(G493:N493,"Received")+COUNTIF(G493:N493,"Needs Correction"))</f>
        <v/>
      </c>
      <c r="P493" s="32">
        <f>IF($B493="","",SUMPRODUCT(((G493:N493="Accepted")+(G493:N493="Not Needed"))*(Settings!$C$11:$J$11="Yes")))</f>
        <v/>
      </c>
      <c r="Q493" s="32">
        <f>IF($B493="","",SUMPRODUCT(((G493:N493="Accepted")+(G493:N493="Not Needed"))*(Settings!$C$15:$J$15="Yes")))</f>
        <v/>
      </c>
      <c r="R493" s="33">
        <f>IF($B493="","",IF($D493="No","No PTO/PTA",IF($D493&lt;&gt;"Yes","Not Yet Confirmed",IF($Q493&gt;=Settings!$C$13,"Legalized",IF($P493&gt;=Settings!$C$12,"Registered",IF($O493&gt;0,"In Progress","Not Started"))))))</f>
        <v/>
      </c>
      <c r="S493" s="32">
        <f>IF($B493="","",COUNTIF(G493:N493,"Received"))</f>
        <v/>
      </c>
      <c r="T493" s="32">
        <f>IF($B493="","",COUNTIF(G493:N493,"Needs Correction"))</f>
        <v/>
      </c>
      <c r="U493" s="33">
        <f>IF($B493="","",IF($D493&lt;&gt;"Yes","",IF($Q493&gt;=Settings!$C$13,"None",MID(IF(AND(G493&lt;&gt;"Accepted",G493&lt;&gt;"Not Needed",Settings!$C$15="Yes"),", "&amp;G$1,"")&amp;IF(AND(H493&lt;&gt;"Accepted",H493&lt;&gt;"Not Needed",Settings!$D$15="Yes"),", "&amp;H$1,"")&amp;IF(AND(I493&lt;&gt;"Accepted",I493&lt;&gt;"Not Needed",Settings!$E$15="Yes"),", "&amp;I$1,"")&amp;IF(AND(J493&lt;&gt;"Accepted",J493&lt;&gt;"Not Needed",Settings!$F$15="Yes"),", "&amp;J$1,"")&amp;IF(AND(K493&lt;&gt;"Accepted",K493&lt;&gt;"Not Needed",Settings!$G$15="Yes"),", "&amp;K$1,"")&amp;IF(AND(L493&lt;&gt;"Accepted",L493&lt;&gt;"Not Needed",Settings!$H$15="Yes"),", "&amp;L$1,"")&amp;IF(AND(M493&lt;&gt;"Accepted",M493&lt;&gt;"Not Needed",Settings!$I$15="Yes"),", "&amp;M$1,"")&amp;IF(AND(N493&lt;&gt;"Accepted",N493&lt;&gt;"Not Needed",Settings!$J$15="Yes"),", "&amp;N$1,""),3,400))))</f>
        <v/>
      </c>
    </row>
    <row r="494" ht="15" customHeight="1" s="21">
      <c r="A494" s="31" t="n"/>
      <c r="B494" s="31" t="n"/>
      <c r="C494" s="31" t="n"/>
      <c r="D494" s="31" t="n"/>
      <c r="E494" s="31" t="n"/>
      <c r="F494" s="31" t="n"/>
      <c r="G494" s="31" t="n"/>
      <c r="H494" s="31" t="n"/>
      <c r="I494" s="31" t="n"/>
      <c r="J494" s="31" t="n"/>
      <c r="K494" s="31" t="n"/>
      <c r="L494" s="31" t="n"/>
      <c r="M494" s="31" t="n"/>
      <c r="N494" s="31" t="n"/>
      <c r="O494" s="32">
        <f>IF($B494="","",COUNTIF(G494:N494,"Accepted")+COUNTIF(G494:N494,"Received")+COUNTIF(G494:N494,"Needs Correction"))</f>
        <v/>
      </c>
      <c r="P494" s="32">
        <f>IF($B494="","",SUMPRODUCT(((G494:N494="Accepted")+(G494:N494="Not Needed"))*(Settings!$C$11:$J$11="Yes")))</f>
        <v/>
      </c>
      <c r="Q494" s="32">
        <f>IF($B494="","",SUMPRODUCT(((G494:N494="Accepted")+(G494:N494="Not Needed"))*(Settings!$C$15:$J$15="Yes")))</f>
        <v/>
      </c>
      <c r="R494" s="33">
        <f>IF($B494="","",IF($D494="No","No PTO/PTA",IF($D494&lt;&gt;"Yes","Not Yet Confirmed",IF($Q494&gt;=Settings!$C$13,"Legalized",IF($P494&gt;=Settings!$C$12,"Registered",IF($O494&gt;0,"In Progress","Not Started"))))))</f>
        <v/>
      </c>
      <c r="S494" s="32">
        <f>IF($B494="","",COUNTIF(G494:N494,"Received"))</f>
        <v/>
      </c>
      <c r="T494" s="32">
        <f>IF($B494="","",COUNTIF(G494:N494,"Needs Correction"))</f>
        <v/>
      </c>
      <c r="U494" s="33">
        <f>IF($B494="","",IF($D494&lt;&gt;"Yes","",IF($Q494&gt;=Settings!$C$13,"None",MID(IF(AND(G494&lt;&gt;"Accepted",G494&lt;&gt;"Not Needed",Settings!$C$15="Yes"),", "&amp;G$1,"")&amp;IF(AND(H494&lt;&gt;"Accepted",H494&lt;&gt;"Not Needed",Settings!$D$15="Yes"),", "&amp;H$1,"")&amp;IF(AND(I494&lt;&gt;"Accepted",I494&lt;&gt;"Not Needed",Settings!$E$15="Yes"),", "&amp;I$1,"")&amp;IF(AND(J494&lt;&gt;"Accepted",J494&lt;&gt;"Not Needed",Settings!$F$15="Yes"),", "&amp;J$1,"")&amp;IF(AND(K494&lt;&gt;"Accepted",K494&lt;&gt;"Not Needed",Settings!$G$15="Yes"),", "&amp;K$1,"")&amp;IF(AND(L494&lt;&gt;"Accepted",L494&lt;&gt;"Not Needed",Settings!$H$15="Yes"),", "&amp;L$1,"")&amp;IF(AND(M494&lt;&gt;"Accepted",M494&lt;&gt;"Not Needed",Settings!$I$15="Yes"),", "&amp;M$1,"")&amp;IF(AND(N494&lt;&gt;"Accepted",N494&lt;&gt;"Not Needed",Settings!$J$15="Yes"),", "&amp;N$1,""),3,400))))</f>
        <v/>
      </c>
    </row>
    <row r="495" ht="15" customHeight="1" s="21">
      <c r="A495" s="31" t="n"/>
      <c r="B495" s="31" t="n"/>
      <c r="C495" s="31" t="n"/>
      <c r="D495" s="31" t="n"/>
      <c r="E495" s="31" t="n"/>
      <c r="F495" s="31" t="n"/>
      <c r="G495" s="31" t="n"/>
      <c r="H495" s="31" t="n"/>
      <c r="I495" s="31" t="n"/>
      <c r="J495" s="31" t="n"/>
      <c r="K495" s="31" t="n"/>
      <c r="L495" s="31" t="n"/>
      <c r="M495" s="31" t="n"/>
      <c r="N495" s="31" t="n"/>
      <c r="O495" s="32">
        <f>IF($B495="","",COUNTIF(G495:N495,"Accepted")+COUNTIF(G495:N495,"Received")+COUNTIF(G495:N495,"Needs Correction"))</f>
        <v/>
      </c>
      <c r="P495" s="32">
        <f>IF($B495="","",SUMPRODUCT(((G495:N495="Accepted")+(G495:N495="Not Needed"))*(Settings!$C$11:$J$11="Yes")))</f>
        <v/>
      </c>
      <c r="Q495" s="32">
        <f>IF($B495="","",SUMPRODUCT(((G495:N495="Accepted")+(G495:N495="Not Needed"))*(Settings!$C$15:$J$15="Yes")))</f>
        <v/>
      </c>
      <c r="R495" s="33">
        <f>IF($B495="","",IF($D495="No","No PTO/PTA",IF($D495&lt;&gt;"Yes","Not Yet Confirmed",IF($Q495&gt;=Settings!$C$13,"Legalized",IF($P495&gt;=Settings!$C$12,"Registered",IF($O495&gt;0,"In Progress","Not Started"))))))</f>
        <v/>
      </c>
      <c r="S495" s="32">
        <f>IF($B495="","",COUNTIF(G495:N495,"Received"))</f>
        <v/>
      </c>
      <c r="T495" s="32">
        <f>IF($B495="","",COUNTIF(G495:N495,"Needs Correction"))</f>
        <v/>
      </c>
      <c r="U495" s="33">
        <f>IF($B495="","",IF($D495&lt;&gt;"Yes","",IF($Q495&gt;=Settings!$C$13,"None",MID(IF(AND(G495&lt;&gt;"Accepted",G495&lt;&gt;"Not Needed",Settings!$C$15="Yes"),", "&amp;G$1,"")&amp;IF(AND(H495&lt;&gt;"Accepted",H495&lt;&gt;"Not Needed",Settings!$D$15="Yes"),", "&amp;H$1,"")&amp;IF(AND(I495&lt;&gt;"Accepted",I495&lt;&gt;"Not Needed",Settings!$E$15="Yes"),", "&amp;I$1,"")&amp;IF(AND(J495&lt;&gt;"Accepted",J495&lt;&gt;"Not Needed",Settings!$F$15="Yes"),", "&amp;J$1,"")&amp;IF(AND(K495&lt;&gt;"Accepted",K495&lt;&gt;"Not Needed",Settings!$G$15="Yes"),", "&amp;K$1,"")&amp;IF(AND(L495&lt;&gt;"Accepted",L495&lt;&gt;"Not Needed",Settings!$H$15="Yes"),", "&amp;L$1,"")&amp;IF(AND(M495&lt;&gt;"Accepted",M495&lt;&gt;"Not Needed",Settings!$I$15="Yes"),", "&amp;M$1,"")&amp;IF(AND(N495&lt;&gt;"Accepted",N495&lt;&gt;"Not Needed",Settings!$J$15="Yes"),", "&amp;N$1,""),3,400))))</f>
        <v/>
      </c>
    </row>
    <row r="496" ht="15" customHeight="1" s="21">
      <c r="A496" s="31" t="n"/>
      <c r="B496" s="31" t="n"/>
      <c r="C496" s="31" t="n"/>
      <c r="D496" s="31" t="n"/>
      <c r="E496" s="31" t="n"/>
      <c r="F496" s="31" t="n"/>
      <c r="G496" s="31" t="n"/>
      <c r="H496" s="31" t="n"/>
      <c r="I496" s="31" t="n"/>
      <c r="J496" s="31" t="n"/>
      <c r="K496" s="31" t="n"/>
      <c r="L496" s="31" t="n"/>
      <c r="M496" s="31" t="n"/>
      <c r="N496" s="31" t="n"/>
      <c r="O496" s="32">
        <f>IF($B496="","",COUNTIF(G496:N496,"Accepted")+COUNTIF(G496:N496,"Received")+COUNTIF(G496:N496,"Needs Correction"))</f>
        <v/>
      </c>
      <c r="P496" s="32">
        <f>IF($B496="","",SUMPRODUCT(((G496:N496="Accepted")+(G496:N496="Not Needed"))*(Settings!$C$11:$J$11="Yes")))</f>
        <v/>
      </c>
      <c r="Q496" s="32">
        <f>IF($B496="","",SUMPRODUCT(((G496:N496="Accepted")+(G496:N496="Not Needed"))*(Settings!$C$15:$J$15="Yes")))</f>
        <v/>
      </c>
      <c r="R496" s="33">
        <f>IF($B496="","",IF($D496="No","No PTO/PTA",IF($D496&lt;&gt;"Yes","Not Yet Confirmed",IF($Q496&gt;=Settings!$C$13,"Legalized",IF($P496&gt;=Settings!$C$12,"Registered",IF($O496&gt;0,"In Progress","Not Started"))))))</f>
        <v/>
      </c>
      <c r="S496" s="32">
        <f>IF($B496="","",COUNTIF(G496:N496,"Received"))</f>
        <v/>
      </c>
      <c r="T496" s="32">
        <f>IF($B496="","",COUNTIF(G496:N496,"Needs Correction"))</f>
        <v/>
      </c>
      <c r="U496" s="33">
        <f>IF($B496="","",IF($D496&lt;&gt;"Yes","",IF($Q496&gt;=Settings!$C$13,"None",MID(IF(AND(G496&lt;&gt;"Accepted",G496&lt;&gt;"Not Needed",Settings!$C$15="Yes"),", "&amp;G$1,"")&amp;IF(AND(H496&lt;&gt;"Accepted",H496&lt;&gt;"Not Needed",Settings!$D$15="Yes"),", "&amp;H$1,"")&amp;IF(AND(I496&lt;&gt;"Accepted",I496&lt;&gt;"Not Needed",Settings!$E$15="Yes"),", "&amp;I$1,"")&amp;IF(AND(J496&lt;&gt;"Accepted",J496&lt;&gt;"Not Needed",Settings!$F$15="Yes"),", "&amp;J$1,"")&amp;IF(AND(K496&lt;&gt;"Accepted",K496&lt;&gt;"Not Needed",Settings!$G$15="Yes"),", "&amp;K$1,"")&amp;IF(AND(L496&lt;&gt;"Accepted",L496&lt;&gt;"Not Needed",Settings!$H$15="Yes"),", "&amp;L$1,"")&amp;IF(AND(M496&lt;&gt;"Accepted",M496&lt;&gt;"Not Needed",Settings!$I$15="Yes"),", "&amp;M$1,"")&amp;IF(AND(N496&lt;&gt;"Accepted",N496&lt;&gt;"Not Needed",Settings!$J$15="Yes"),", "&amp;N$1,""),3,400))))</f>
        <v/>
      </c>
    </row>
    <row r="497" ht="15" customHeight="1" s="21">
      <c r="A497" s="31" t="n"/>
      <c r="B497" s="31" t="n"/>
      <c r="C497" s="31" t="n"/>
      <c r="D497" s="31" t="n"/>
      <c r="E497" s="31" t="n"/>
      <c r="F497" s="31" t="n"/>
      <c r="G497" s="31" t="n"/>
      <c r="H497" s="31" t="n"/>
      <c r="I497" s="31" t="n"/>
      <c r="J497" s="31" t="n"/>
      <c r="K497" s="31" t="n"/>
      <c r="L497" s="31" t="n"/>
      <c r="M497" s="31" t="n"/>
      <c r="N497" s="31" t="n"/>
      <c r="O497" s="32">
        <f>IF($B497="","",COUNTIF(G497:N497,"Accepted")+COUNTIF(G497:N497,"Received")+COUNTIF(G497:N497,"Needs Correction"))</f>
        <v/>
      </c>
      <c r="P497" s="32">
        <f>IF($B497="","",SUMPRODUCT(((G497:N497="Accepted")+(G497:N497="Not Needed"))*(Settings!$C$11:$J$11="Yes")))</f>
        <v/>
      </c>
      <c r="Q497" s="32">
        <f>IF($B497="","",SUMPRODUCT(((G497:N497="Accepted")+(G497:N497="Not Needed"))*(Settings!$C$15:$J$15="Yes")))</f>
        <v/>
      </c>
      <c r="R497" s="33">
        <f>IF($B497="","",IF($D497="No","No PTO/PTA",IF($D497&lt;&gt;"Yes","Not Yet Confirmed",IF($Q497&gt;=Settings!$C$13,"Legalized",IF($P497&gt;=Settings!$C$12,"Registered",IF($O497&gt;0,"In Progress","Not Started"))))))</f>
        <v/>
      </c>
      <c r="S497" s="32">
        <f>IF($B497="","",COUNTIF(G497:N497,"Received"))</f>
        <v/>
      </c>
      <c r="T497" s="32">
        <f>IF($B497="","",COUNTIF(G497:N497,"Needs Correction"))</f>
        <v/>
      </c>
      <c r="U497" s="33">
        <f>IF($B497="","",IF($D497&lt;&gt;"Yes","",IF($Q497&gt;=Settings!$C$13,"None",MID(IF(AND(G497&lt;&gt;"Accepted",G497&lt;&gt;"Not Needed",Settings!$C$15="Yes"),", "&amp;G$1,"")&amp;IF(AND(H497&lt;&gt;"Accepted",H497&lt;&gt;"Not Needed",Settings!$D$15="Yes"),", "&amp;H$1,"")&amp;IF(AND(I497&lt;&gt;"Accepted",I497&lt;&gt;"Not Needed",Settings!$E$15="Yes"),", "&amp;I$1,"")&amp;IF(AND(J497&lt;&gt;"Accepted",J497&lt;&gt;"Not Needed",Settings!$F$15="Yes"),", "&amp;J$1,"")&amp;IF(AND(K497&lt;&gt;"Accepted",K497&lt;&gt;"Not Needed",Settings!$G$15="Yes"),", "&amp;K$1,"")&amp;IF(AND(L497&lt;&gt;"Accepted",L497&lt;&gt;"Not Needed",Settings!$H$15="Yes"),", "&amp;L$1,"")&amp;IF(AND(M497&lt;&gt;"Accepted",M497&lt;&gt;"Not Needed",Settings!$I$15="Yes"),", "&amp;M$1,"")&amp;IF(AND(N497&lt;&gt;"Accepted",N497&lt;&gt;"Not Needed",Settings!$J$15="Yes"),", "&amp;N$1,""),3,400))))</f>
        <v/>
      </c>
    </row>
    <row r="498" ht="15" customHeight="1" s="21">
      <c r="A498" s="31" t="n"/>
      <c r="B498" s="31" t="n"/>
      <c r="C498" s="31" t="n"/>
      <c r="D498" s="31" t="n"/>
      <c r="E498" s="31" t="n"/>
      <c r="F498" s="31" t="n"/>
      <c r="G498" s="31" t="n"/>
      <c r="H498" s="31" t="n"/>
      <c r="I498" s="31" t="n"/>
      <c r="J498" s="31" t="n"/>
      <c r="K498" s="31" t="n"/>
      <c r="L498" s="31" t="n"/>
      <c r="M498" s="31" t="n"/>
      <c r="N498" s="31" t="n"/>
      <c r="O498" s="32">
        <f>IF($B498="","",COUNTIF(G498:N498,"Accepted")+COUNTIF(G498:N498,"Received")+COUNTIF(G498:N498,"Needs Correction"))</f>
        <v/>
      </c>
      <c r="P498" s="32">
        <f>IF($B498="","",SUMPRODUCT(((G498:N498="Accepted")+(G498:N498="Not Needed"))*(Settings!$C$11:$J$11="Yes")))</f>
        <v/>
      </c>
      <c r="Q498" s="32">
        <f>IF($B498="","",SUMPRODUCT(((G498:N498="Accepted")+(G498:N498="Not Needed"))*(Settings!$C$15:$J$15="Yes")))</f>
        <v/>
      </c>
      <c r="R498" s="33">
        <f>IF($B498="","",IF($D498="No","No PTO/PTA",IF($D498&lt;&gt;"Yes","Not Yet Confirmed",IF($Q498&gt;=Settings!$C$13,"Legalized",IF($P498&gt;=Settings!$C$12,"Registered",IF($O498&gt;0,"In Progress","Not Started"))))))</f>
        <v/>
      </c>
      <c r="S498" s="32">
        <f>IF($B498="","",COUNTIF(G498:N498,"Received"))</f>
        <v/>
      </c>
      <c r="T498" s="32">
        <f>IF($B498="","",COUNTIF(G498:N498,"Needs Correction"))</f>
        <v/>
      </c>
      <c r="U498" s="33">
        <f>IF($B498="","",IF($D498&lt;&gt;"Yes","",IF($Q498&gt;=Settings!$C$13,"None",MID(IF(AND(G498&lt;&gt;"Accepted",G498&lt;&gt;"Not Needed",Settings!$C$15="Yes"),", "&amp;G$1,"")&amp;IF(AND(H498&lt;&gt;"Accepted",H498&lt;&gt;"Not Needed",Settings!$D$15="Yes"),", "&amp;H$1,"")&amp;IF(AND(I498&lt;&gt;"Accepted",I498&lt;&gt;"Not Needed",Settings!$E$15="Yes"),", "&amp;I$1,"")&amp;IF(AND(J498&lt;&gt;"Accepted",J498&lt;&gt;"Not Needed",Settings!$F$15="Yes"),", "&amp;J$1,"")&amp;IF(AND(K498&lt;&gt;"Accepted",K498&lt;&gt;"Not Needed",Settings!$G$15="Yes"),", "&amp;K$1,"")&amp;IF(AND(L498&lt;&gt;"Accepted",L498&lt;&gt;"Not Needed",Settings!$H$15="Yes"),", "&amp;L$1,"")&amp;IF(AND(M498&lt;&gt;"Accepted",M498&lt;&gt;"Not Needed",Settings!$I$15="Yes"),", "&amp;M$1,"")&amp;IF(AND(N498&lt;&gt;"Accepted",N498&lt;&gt;"Not Needed",Settings!$J$15="Yes"),", "&amp;N$1,""),3,400))))</f>
        <v/>
      </c>
    </row>
    <row r="499" ht="15" customHeight="1" s="21">
      <c r="A499" s="31" t="n"/>
      <c r="B499" s="31" t="n"/>
      <c r="C499" s="31" t="n"/>
      <c r="D499" s="31" t="n"/>
      <c r="E499" s="31" t="n"/>
      <c r="F499" s="31" t="n"/>
      <c r="G499" s="31" t="n"/>
      <c r="H499" s="31" t="n"/>
      <c r="I499" s="31" t="n"/>
      <c r="J499" s="31" t="n"/>
      <c r="K499" s="31" t="n"/>
      <c r="L499" s="31" t="n"/>
      <c r="M499" s="31" t="n"/>
      <c r="N499" s="31" t="n"/>
      <c r="O499" s="32">
        <f>IF($B499="","",COUNTIF(G499:N499,"Accepted")+COUNTIF(G499:N499,"Received")+COUNTIF(G499:N499,"Needs Correction"))</f>
        <v/>
      </c>
      <c r="P499" s="32">
        <f>IF($B499="","",SUMPRODUCT(((G499:N499="Accepted")+(G499:N499="Not Needed"))*(Settings!$C$11:$J$11="Yes")))</f>
        <v/>
      </c>
      <c r="Q499" s="32">
        <f>IF($B499="","",SUMPRODUCT(((G499:N499="Accepted")+(G499:N499="Not Needed"))*(Settings!$C$15:$J$15="Yes")))</f>
        <v/>
      </c>
      <c r="R499" s="33">
        <f>IF($B499="","",IF($D499="No","No PTO/PTA",IF($D499&lt;&gt;"Yes","Not Yet Confirmed",IF($Q499&gt;=Settings!$C$13,"Legalized",IF($P499&gt;=Settings!$C$12,"Registered",IF($O499&gt;0,"In Progress","Not Started"))))))</f>
        <v/>
      </c>
      <c r="S499" s="32">
        <f>IF($B499="","",COUNTIF(G499:N499,"Received"))</f>
        <v/>
      </c>
      <c r="T499" s="32">
        <f>IF($B499="","",COUNTIF(G499:N499,"Needs Correction"))</f>
        <v/>
      </c>
      <c r="U499" s="33">
        <f>IF($B499="","",IF($D499&lt;&gt;"Yes","",IF($Q499&gt;=Settings!$C$13,"None",MID(IF(AND(G499&lt;&gt;"Accepted",G499&lt;&gt;"Not Needed",Settings!$C$15="Yes"),", "&amp;G$1,"")&amp;IF(AND(H499&lt;&gt;"Accepted",H499&lt;&gt;"Not Needed",Settings!$D$15="Yes"),", "&amp;H$1,"")&amp;IF(AND(I499&lt;&gt;"Accepted",I499&lt;&gt;"Not Needed",Settings!$E$15="Yes"),", "&amp;I$1,"")&amp;IF(AND(J499&lt;&gt;"Accepted",J499&lt;&gt;"Not Needed",Settings!$F$15="Yes"),", "&amp;J$1,"")&amp;IF(AND(K499&lt;&gt;"Accepted",K499&lt;&gt;"Not Needed",Settings!$G$15="Yes"),", "&amp;K$1,"")&amp;IF(AND(L499&lt;&gt;"Accepted",L499&lt;&gt;"Not Needed",Settings!$H$15="Yes"),", "&amp;L$1,"")&amp;IF(AND(M499&lt;&gt;"Accepted",M499&lt;&gt;"Not Needed",Settings!$I$15="Yes"),", "&amp;M$1,"")&amp;IF(AND(N499&lt;&gt;"Accepted",N499&lt;&gt;"Not Needed",Settings!$J$15="Yes"),", "&amp;N$1,""),3,400))))</f>
        <v/>
      </c>
    </row>
    <row r="500" ht="15" customHeight="1" s="21">
      <c r="A500" s="31" t="n"/>
      <c r="B500" s="31" t="n"/>
      <c r="C500" s="31" t="n"/>
      <c r="D500" s="31" t="n"/>
      <c r="E500" s="31" t="n"/>
      <c r="F500" s="31" t="n"/>
      <c r="G500" s="31" t="n"/>
      <c r="H500" s="31" t="n"/>
      <c r="I500" s="31" t="n"/>
      <c r="J500" s="31" t="n"/>
      <c r="K500" s="31" t="n"/>
      <c r="L500" s="31" t="n"/>
      <c r="M500" s="31" t="n"/>
      <c r="N500" s="31" t="n"/>
      <c r="O500" s="32">
        <f>IF($B500="","",COUNTIF(G500:N500,"Accepted")+COUNTIF(G500:N500,"Received")+COUNTIF(G500:N500,"Needs Correction"))</f>
        <v/>
      </c>
      <c r="P500" s="32">
        <f>IF($B500="","",SUMPRODUCT(((G500:N500="Accepted")+(G500:N500="Not Needed"))*(Settings!$C$11:$J$11="Yes")))</f>
        <v/>
      </c>
      <c r="Q500" s="32">
        <f>IF($B500="","",SUMPRODUCT(((G500:N500="Accepted")+(G500:N500="Not Needed"))*(Settings!$C$15:$J$15="Yes")))</f>
        <v/>
      </c>
      <c r="R500" s="33">
        <f>IF($B500="","",IF($D500="No","No PTO/PTA",IF($D500&lt;&gt;"Yes","Not Yet Confirmed",IF($Q500&gt;=Settings!$C$13,"Legalized",IF($P500&gt;=Settings!$C$12,"Registered",IF($O500&gt;0,"In Progress","Not Started"))))))</f>
        <v/>
      </c>
      <c r="S500" s="32">
        <f>IF($B500="","",COUNTIF(G500:N500,"Received"))</f>
        <v/>
      </c>
      <c r="T500" s="32">
        <f>IF($B500="","",COUNTIF(G500:N500,"Needs Correction"))</f>
        <v/>
      </c>
      <c r="U500" s="33">
        <f>IF($B500="","",IF($D500&lt;&gt;"Yes","",IF($Q500&gt;=Settings!$C$13,"None",MID(IF(AND(G500&lt;&gt;"Accepted",G500&lt;&gt;"Not Needed",Settings!$C$15="Yes"),", "&amp;G$1,"")&amp;IF(AND(H500&lt;&gt;"Accepted",H500&lt;&gt;"Not Needed",Settings!$D$15="Yes"),", "&amp;H$1,"")&amp;IF(AND(I500&lt;&gt;"Accepted",I500&lt;&gt;"Not Needed",Settings!$E$15="Yes"),", "&amp;I$1,"")&amp;IF(AND(J500&lt;&gt;"Accepted",J500&lt;&gt;"Not Needed",Settings!$F$15="Yes"),", "&amp;J$1,"")&amp;IF(AND(K500&lt;&gt;"Accepted",K500&lt;&gt;"Not Needed",Settings!$G$15="Yes"),", "&amp;K$1,"")&amp;IF(AND(L500&lt;&gt;"Accepted",L500&lt;&gt;"Not Needed",Settings!$H$15="Yes"),", "&amp;L$1,"")&amp;IF(AND(M500&lt;&gt;"Accepted",M500&lt;&gt;"Not Needed",Settings!$I$15="Yes"),", "&amp;M$1,"")&amp;IF(AND(N500&lt;&gt;"Accepted",N500&lt;&gt;"Not Needed",Settings!$J$15="Yes"),", "&amp;N$1,""),3,400))))</f>
        <v/>
      </c>
    </row>
    <row r="501" ht="15" customHeight="1" s="21">
      <c r="A501" s="31" t="n"/>
      <c r="B501" s="31" t="n"/>
      <c r="C501" s="31" t="n"/>
      <c r="D501" s="31" t="n"/>
      <c r="E501" s="31" t="n"/>
      <c r="F501" s="31" t="n"/>
      <c r="G501" s="31" t="n"/>
      <c r="H501" s="31" t="n"/>
      <c r="I501" s="31" t="n"/>
      <c r="J501" s="31" t="n"/>
      <c r="K501" s="31" t="n"/>
      <c r="L501" s="31" t="n"/>
      <c r="M501" s="31" t="n"/>
      <c r="N501" s="31" t="n"/>
      <c r="O501" s="32">
        <f>IF($B501="","",COUNTIF(G501:N501,"Accepted")+COUNTIF(G501:N501,"Received")+COUNTIF(G501:N501,"Needs Correction"))</f>
        <v/>
      </c>
      <c r="P501" s="32">
        <f>IF($B501="","",SUMPRODUCT(((G501:N501="Accepted")+(G501:N501="Not Needed"))*(Settings!$C$11:$J$11="Yes")))</f>
        <v/>
      </c>
      <c r="Q501" s="32">
        <f>IF($B501="","",SUMPRODUCT(((G501:N501="Accepted")+(G501:N501="Not Needed"))*(Settings!$C$15:$J$15="Yes")))</f>
        <v/>
      </c>
      <c r="R501" s="33">
        <f>IF($B501="","",IF($D501="No","No PTO/PTA",IF($D501&lt;&gt;"Yes","Not Yet Confirmed",IF($Q501&gt;=Settings!$C$13,"Legalized",IF($P501&gt;=Settings!$C$12,"Registered",IF($O501&gt;0,"In Progress","Not Started"))))))</f>
        <v/>
      </c>
      <c r="S501" s="32">
        <f>IF($B501="","",COUNTIF(G501:N501,"Received"))</f>
        <v/>
      </c>
      <c r="T501" s="32">
        <f>IF($B501="","",COUNTIF(G501:N501,"Needs Correction"))</f>
        <v/>
      </c>
      <c r="U501" s="33">
        <f>IF($B501="","",IF($D501&lt;&gt;"Yes","",IF($Q501&gt;=Settings!$C$13,"None",MID(IF(AND(G501&lt;&gt;"Accepted",G501&lt;&gt;"Not Needed",Settings!$C$15="Yes"),", "&amp;G$1,"")&amp;IF(AND(H501&lt;&gt;"Accepted",H501&lt;&gt;"Not Needed",Settings!$D$15="Yes"),", "&amp;H$1,"")&amp;IF(AND(I501&lt;&gt;"Accepted",I501&lt;&gt;"Not Needed",Settings!$E$15="Yes"),", "&amp;I$1,"")&amp;IF(AND(J501&lt;&gt;"Accepted",J501&lt;&gt;"Not Needed",Settings!$F$15="Yes"),", "&amp;J$1,"")&amp;IF(AND(K501&lt;&gt;"Accepted",K501&lt;&gt;"Not Needed",Settings!$G$15="Yes"),", "&amp;K$1,"")&amp;IF(AND(L501&lt;&gt;"Accepted",L501&lt;&gt;"Not Needed",Settings!$H$15="Yes"),", "&amp;L$1,"")&amp;IF(AND(M501&lt;&gt;"Accepted",M501&lt;&gt;"Not Needed",Settings!$I$15="Yes"),", "&amp;M$1,"")&amp;IF(AND(N501&lt;&gt;"Accepted",N501&lt;&gt;"Not Needed",Settings!$J$15="Yes"),", "&amp;N$1,""),3,400))))</f>
        <v/>
      </c>
    </row>
    <row r="502" ht="15" customHeight="1" s="21">
      <c r="A502" s="31" t="n"/>
      <c r="B502" s="31" t="n"/>
      <c r="C502" s="31" t="n"/>
      <c r="D502" s="31" t="n"/>
      <c r="E502" s="31" t="n"/>
      <c r="F502" s="31" t="n"/>
      <c r="G502" s="31" t="n"/>
      <c r="H502" s="31" t="n"/>
      <c r="I502" s="31" t="n"/>
      <c r="J502" s="31" t="n"/>
      <c r="K502" s="31" t="n"/>
      <c r="L502" s="31" t="n"/>
      <c r="M502" s="31" t="n"/>
      <c r="N502" s="31" t="n"/>
      <c r="O502" s="32">
        <f>IF($B502="","",COUNTIF(G502:N502,"Accepted")+COUNTIF(G502:N502,"Received")+COUNTIF(G502:N502,"Needs Correction"))</f>
        <v/>
      </c>
      <c r="P502" s="32">
        <f>IF($B502="","",SUMPRODUCT(((G502:N502="Accepted")+(G502:N502="Not Needed"))*(Settings!$C$11:$J$11="Yes")))</f>
        <v/>
      </c>
      <c r="Q502" s="32">
        <f>IF($B502="","",SUMPRODUCT(((G502:N502="Accepted")+(G502:N502="Not Needed"))*(Settings!$C$15:$J$15="Yes")))</f>
        <v/>
      </c>
      <c r="R502" s="33">
        <f>IF($B502="","",IF($D502="No","No PTO/PTA",IF($D502&lt;&gt;"Yes","Not Yet Confirmed",IF($Q502&gt;=Settings!$C$13,"Legalized",IF($P502&gt;=Settings!$C$12,"Registered",IF($O502&gt;0,"In Progress","Not Started"))))))</f>
        <v/>
      </c>
      <c r="S502" s="32">
        <f>IF($B502="","",COUNTIF(G502:N502,"Received"))</f>
        <v/>
      </c>
      <c r="T502" s="32">
        <f>IF($B502="","",COUNTIF(G502:N502,"Needs Correction"))</f>
        <v/>
      </c>
      <c r="U502" s="33">
        <f>IF($B502="","",IF($D502&lt;&gt;"Yes","",IF($Q502&gt;=Settings!$C$13,"None",MID(IF(AND(G502&lt;&gt;"Accepted",G502&lt;&gt;"Not Needed",Settings!$C$15="Yes"),", "&amp;G$1,"")&amp;IF(AND(H502&lt;&gt;"Accepted",H502&lt;&gt;"Not Needed",Settings!$D$15="Yes"),", "&amp;H$1,"")&amp;IF(AND(I502&lt;&gt;"Accepted",I502&lt;&gt;"Not Needed",Settings!$E$15="Yes"),", "&amp;I$1,"")&amp;IF(AND(J502&lt;&gt;"Accepted",J502&lt;&gt;"Not Needed",Settings!$F$15="Yes"),", "&amp;J$1,"")&amp;IF(AND(K502&lt;&gt;"Accepted",K502&lt;&gt;"Not Needed",Settings!$G$15="Yes"),", "&amp;K$1,"")&amp;IF(AND(L502&lt;&gt;"Accepted",L502&lt;&gt;"Not Needed",Settings!$H$15="Yes"),", "&amp;L$1,"")&amp;IF(AND(M502&lt;&gt;"Accepted",M502&lt;&gt;"Not Needed",Settings!$I$15="Yes"),", "&amp;M$1,"")&amp;IF(AND(N502&lt;&gt;"Accepted",N502&lt;&gt;"Not Needed",Settings!$J$15="Yes"),", "&amp;N$1,""),3,400))))</f>
        <v/>
      </c>
    </row>
    <row r="503" ht="15" customHeight="1" s="21">
      <c r="A503" s="31" t="n"/>
      <c r="B503" s="31" t="n"/>
      <c r="C503" s="31" t="n"/>
      <c r="D503" s="31" t="n"/>
      <c r="E503" s="31" t="n"/>
      <c r="F503" s="31" t="n"/>
      <c r="G503" s="31" t="n"/>
      <c r="H503" s="31" t="n"/>
      <c r="I503" s="31" t="n"/>
      <c r="J503" s="31" t="n"/>
      <c r="K503" s="31" t="n"/>
      <c r="L503" s="31" t="n"/>
      <c r="M503" s="31" t="n"/>
      <c r="N503" s="31" t="n"/>
      <c r="O503" s="32">
        <f>IF($B503="","",COUNTIF(G503:N503,"Accepted")+COUNTIF(G503:N503,"Received")+COUNTIF(G503:N503,"Needs Correction"))</f>
        <v/>
      </c>
      <c r="P503" s="32">
        <f>IF($B503="","",SUMPRODUCT(((G503:N503="Accepted")+(G503:N503="Not Needed"))*(Settings!$C$11:$J$11="Yes")))</f>
        <v/>
      </c>
      <c r="Q503" s="32">
        <f>IF($B503="","",SUMPRODUCT(((G503:N503="Accepted")+(G503:N503="Not Needed"))*(Settings!$C$15:$J$15="Yes")))</f>
        <v/>
      </c>
      <c r="R503" s="33">
        <f>IF($B503="","",IF($D503="No","No PTO/PTA",IF($D503&lt;&gt;"Yes","Not Yet Confirmed",IF($Q503&gt;=Settings!$C$13,"Legalized",IF($P503&gt;=Settings!$C$12,"Registered",IF($O503&gt;0,"In Progress","Not Started"))))))</f>
        <v/>
      </c>
      <c r="S503" s="32">
        <f>IF($B503="","",COUNTIF(G503:N503,"Received"))</f>
        <v/>
      </c>
      <c r="T503" s="32">
        <f>IF($B503="","",COUNTIF(G503:N503,"Needs Correction"))</f>
        <v/>
      </c>
      <c r="U503" s="33">
        <f>IF($B503="","",IF($D503&lt;&gt;"Yes","",IF($Q503&gt;=Settings!$C$13,"None",MID(IF(AND(G503&lt;&gt;"Accepted",G503&lt;&gt;"Not Needed",Settings!$C$15="Yes"),", "&amp;G$1,"")&amp;IF(AND(H503&lt;&gt;"Accepted",H503&lt;&gt;"Not Needed",Settings!$D$15="Yes"),", "&amp;H$1,"")&amp;IF(AND(I503&lt;&gt;"Accepted",I503&lt;&gt;"Not Needed",Settings!$E$15="Yes"),", "&amp;I$1,"")&amp;IF(AND(J503&lt;&gt;"Accepted",J503&lt;&gt;"Not Needed",Settings!$F$15="Yes"),", "&amp;J$1,"")&amp;IF(AND(K503&lt;&gt;"Accepted",K503&lt;&gt;"Not Needed",Settings!$G$15="Yes"),", "&amp;K$1,"")&amp;IF(AND(L503&lt;&gt;"Accepted",L503&lt;&gt;"Not Needed",Settings!$H$15="Yes"),", "&amp;L$1,"")&amp;IF(AND(M503&lt;&gt;"Accepted",M503&lt;&gt;"Not Needed",Settings!$I$15="Yes"),", "&amp;M$1,"")&amp;IF(AND(N503&lt;&gt;"Accepted",N503&lt;&gt;"Not Needed",Settings!$J$15="Yes"),", "&amp;N$1,""),3,400))))</f>
        <v/>
      </c>
    </row>
    <row r="504" ht="15" customHeight="1" s="21">
      <c r="A504" s="31" t="n"/>
      <c r="B504" s="31" t="n"/>
      <c r="C504" s="31" t="n"/>
      <c r="D504" s="31" t="n"/>
      <c r="E504" s="31" t="n"/>
      <c r="F504" s="31" t="n"/>
      <c r="G504" s="31" t="n"/>
      <c r="H504" s="31" t="n"/>
      <c r="I504" s="31" t="n"/>
      <c r="J504" s="31" t="n"/>
      <c r="K504" s="31" t="n"/>
      <c r="L504" s="31" t="n"/>
      <c r="M504" s="31" t="n"/>
      <c r="N504" s="31" t="n"/>
      <c r="O504" s="32">
        <f>IF($B504="","",COUNTIF(G504:N504,"Accepted")+COUNTIF(G504:N504,"Received")+COUNTIF(G504:N504,"Needs Correction"))</f>
        <v/>
      </c>
      <c r="P504" s="32">
        <f>IF($B504="","",SUMPRODUCT(((G504:N504="Accepted")+(G504:N504="Not Needed"))*(Settings!$C$11:$J$11="Yes")))</f>
        <v/>
      </c>
      <c r="Q504" s="32">
        <f>IF($B504="","",SUMPRODUCT(((G504:N504="Accepted")+(G504:N504="Not Needed"))*(Settings!$C$15:$J$15="Yes")))</f>
        <v/>
      </c>
      <c r="R504" s="33">
        <f>IF($B504="","",IF($D504="No","No PTO/PTA",IF($D504&lt;&gt;"Yes","Not Yet Confirmed",IF($Q504&gt;=Settings!$C$13,"Legalized",IF($P504&gt;=Settings!$C$12,"Registered",IF($O504&gt;0,"In Progress","Not Started"))))))</f>
        <v/>
      </c>
      <c r="S504" s="32">
        <f>IF($B504="","",COUNTIF(G504:N504,"Received"))</f>
        <v/>
      </c>
      <c r="T504" s="32">
        <f>IF($B504="","",COUNTIF(G504:N504,"Needs Correction"))</f>
        <v/>
      </c>
      <c r="U504" s="33">
        <f>IF($B504="","",IF($D504&lt;&gt;"Yes","",IF($Q504&gt;=Settings!$C$13,"None",MID(IF(AND(G504&lt;&gt;"Accepted",G504&lt;&gt;"Not Needed",Settings!$C$15="Yes"),", "&amp;G$1,"")&amp;IF(AND(H504&lt;&gt;"Accepted",H504&lt;&gt;"Not Needed",Settings!$D$15="Yes"),", "&amp;H$1,"")&amp;IF(AND(I504&lt;&gt;"Accepted",I504&lt;&gt;"Not Needed",Settings!$E$15="Yes"),", "&amp;I$1,"")&amp;IF(AND(J504&lt;&gt;"Accepted",J504&lt;&gt;"Not Needed",Settings!$F$15="Yes"),", "&amp;J$1,"")&amp;IF(AND(K504&lt;&gt;"Accepted",K504&lt;&gt;"Not Needed",Settings!$G$15="Yes"),", "&amp;K$1,"")&amp;IF(AND(L504&lt;&gt;"Accepted",L504&lt;&gt;"Not Needed",Settings!$H$15="Yes"),", "&amp;L$1,"")&amp;IF(AND(M504&lt;&gt;"Accepted",M504&lt;&gt;"Not Needed",Settings!$I$15="Yes"),", "&amp;M$1,"")&amp;IF(AND(N504&lt;&gt;"Accepted",N504&lt;&gt;"Not Needed",Settings!$J$15="Yes"),", "&amp;N$1,""),3,400))))</f>
        <v/>
      </c>
    </row>
    <row r="505" ht="15" customHeight="1" s="21">
      <c r="A505" s="31" t="n"/>
      <c r="B505" s="31" t="n"/>
      <c r="C505" s="31" t="n"/>
      <c r="D505" s="31" t="n"/>
      <c r="E505" s="31" t="n"/>
      <c r="F505" s="31" t="n"/>
      <c r="G505" s="31" t="n"/>
      <c r="H505" s="31" t="n"/>
      <c r="I505" s="31" t="n"/>
      <c r="J505" s="31" t="n"/>
      <c r="K505" s="31" t="n"/>
      <c r="L505" s="31" t="n"/>
      <c r="M505" s="31" t="n"/>
      <c r="N505" s="31" t="n"/>
      <c r="O505" s="32">
        <f>IF($B505="","",COUNTIF(G505:N505,"Accepted")+COUNTIF(G505:N505,"Received")+COUNTIF(G505:N505,"Needs Correction"))</f>
        <v/>
      </c>
      <c r="P505" s="32">
        <f>IF($B505="","",SUMPRODUCT(((G505:N505="Accepted")+(G505:N505="Not Needed"))*(Settings!$C$11:$J$11="Yes")))</f>
        <v/>
      </c>
      <c r="Q505" s="32">
        <f>IF($B505="","",SUMPRODUCT(((G505:N505="Accepted")+(G505:N505="Not Needed"))*(Settings!$C$15:$J$15="Yes")))</f>
        <v/>
      </c>
      <c r="R505" s="33">
        <f>IF($B505="","",IF($D505="No","No PTO/PTA",IF($D505&lt;&gt;"Yes","Not Yet Confirmed",IF($Q505&gt;=Settings!$C$13,"Legalized",IF($P505&gt;=Settings!$C$12,"Registered",IF($O505&gt;0,"In Progress","Not Started"))))))</f>
        <v/>
      </c>
      <c r="S505" s="32">
        <f>IF($B505="","",COUNTIF(G505:N505,"Received"))</f>
        <v/>
      </c>
      <c r="T505" s="32">
        <f>IF($B505="","",COUNTIF(G505:N505,"Needs Correction"))</f>
        <v/>
      </c>
      <c r="U505" s="33">
        <f>IF($B505="","",IF($D505&lt;&gt;"Yes","",IF($Q505&gt;=Settings!$C$13,"None",MID(IF(AND(G505&lt;&gt;"Accepted",G505&lt;&gt;"Not Needed",Settings!$C$15="Yes"),", "&amp;G$1,"")&amp;IF(AND(H505&lt;&gt;"Accepted",H505&lt;&gt;"Not Needed",Settings!$D$15="Yes"),", "&amp;H$1,"")&amp;IF(AND(I505&lt;&gt;"Accepted",I505&lt;&gt;"Not Needed",Settings!$E$15="Yes"),", "&amp;I$1,"")&amp;IF(AND(J505&lt;&gt;"Accepted",J505&lt;&gt;"Not Needed",Settings!$F$15="Yes"),", "&amp;J$1,"")&amp;IF(AND(K505&lt;&gt;"Accepted",K505&lt;&gt;"Not Needed",Settings!$G$15="Yes"),", "&amp;K$1,"")&amp;IF(AND(L505&lt;&gt;"Accepted",L505&lt;&gt;"Not Needed",Settings!$H$15="Yes"),", "&amp;L$1,"")&amp;IF(AND(M505&lt;&gt;"Accepted",M505&lt;&gt;"Not Needed",Settings!$I$15="Yes"),", "&amp;M$1,"")&amp;IF(AND(N505&lt;&gt;"Accepted",N505&lt;&gt;"Not Needed",Settings!$J$15="Yes"),", "&amp;N$1,""),3,400))))</f>
        <v/>
      </c>
    </row>
    <row r="506" ht="15" customHeight="1" s="21">
      <c r="A506" s="31" t="n"/>
      <c r="B506" s="31" t="n"/>
      <c r="C506" s="31" t="n"/>
      <c r="D506" s="31" t="n"/>
      <c r="E506" s="31" t="n"/>
      <c r="F506" s="31" t="n"/>
      <c r="G506" s="31" t="n"/>
      <c r="H506" s="31" t="n"/>
      <c r="I506" s="31" t="n"/>
      <c r="J506" s="31" t="n"/>
      <c r="K506" s="31" t="n"/>
      <c r="L506" s="31" t="n"/>
      <c r="M506" s="31" t="n"/>
      <c r="N506" s="31" t="n"/>
      <c r="O506" s="32">
        <f>IF($B506="","",COUNTIF(G506:N506,"Accepted")+COUNTIF(G506:N506,"Received")+COUNTIF(G506:N506,"Needs Correction"))</f>
        <v/>
      </c>
      <c r="P506" s="32">
        <f>IF($B506="","",SUMPRODUCT(((G506:N506="Accepted")+(G506:N506="Not Needed"))*(Settings!$C$11:$J$11="Yes")))</f>
        <v/>
      </c>
      <c r="Q506" s="32">
        <f>IF($B506="","",SUMPRODUCT(((G506:N506="Accepted")+(G506:N506="Not Needed"))*(Settings!$C$15:$J$15="Yes")))</f>
        <v/>
      </c>
      <c r="R506" s="33">
        <f>IF($B506="","",IF($D506="No","No PTO/PTA",IF($D506&lt;&gt;"Yes","Not Yet Confirmed",IF($Q506&gt;=Settings!$C$13,"Legalized",IF($P506&gt;=Settings!$C$12,"Registered",IF($O506&gt;0,"In Progress","Not Started"))))))</f>
        <v/>
      </c>
      <c r="S506" s="32">
        <f>IF($B506="","",COUNTIF(G506:N506,"Received"))</f>
        <v/>
      </c>
      <c r="T506" s="32">
        <f>IF($B506="","",COUNTIF(G506:N506,"Needs Correction"))</f>
        <v/>
      </c>
      <c r="U506" s="33">
        <f>IF($B506="","",IF($D506&lt;&gt;"Yes","",IF($Q506&gt;=Settings!$C$13,"None",MID(IF(AND(G506&lt;&gt;"Accepted",G506&lt;&gt;"Not Needed",Settings!$C$15="Yes"),", "&amp;G$1,"")&amp;IF(AND(H506&lt;&gt;"Accepted",H506&lt;&gt;"Not Needed",Settings!$D$15="Yes"),", "&amp;H$1,"")&amp;IF(AND(I506&lt;&gt;"Accepted",I506&lt;&gt;"Not Needed",Settings!$E$15="Yes"),", "&amp;I$1,"")&amp;IF(AND(J506&lt;&gt;"Accepted",J506&lt;&gt;"Not Needed",Settings!$F$15="Yes"),", "&amp;J$1,"")&amp;IF(AND(K506&lt;&gt;"Accepted",K506&lt;&gt;"Not Needed",Settings!$G$15="Yes"),", "&amp;K$1,"")&amp;IF(AND(L506&lt;&gt;"Accepted",L506&lt;&gt;"Not Needed",Settings!$H$15="Yes"),", "&amp;L$1,"")&amp;IF(AND(M506&lt;&gt;"Accepted",M506&lt;&gt;"Not Needed",Settings!$I$15="Yes"),", "&amp;M$1,"")&amp;IF(AND(N506&lt;&gt;"Accepted",N506&lt;&gt;"Not Needed",Settings!$J$15="Yes"),", "&amp;N$1,""),3,400))))</f>
        <v/>
      </c>
    </row>
    <row r="507" ht="15" customHeight="1" s="21">
      <c r="A507" s="31" t="n"/>
      <c r="B507" s="31" t="n"/>
      <c r="C507" s="31" t="n"/>
      <c r="D507" s="31" t="n"/>
      <c r="E507" s="31" t="n"/>
      <c r="F507" s="31" t="n"/>
      <c r="G507" s="31" t="n"/>
      <c r="H507" s="31" t="n"/>
      <c r="I507" s="31" t="n"/>
      <c r="J507" s="31" t="n"/>
      <c r="K507" s="31" t="n"/>
      <c r="L507" s="31" t="n"/>
      <c r="M507" s="31" t="n"/>
      <c r="N507" s="31" t="n"/>
      <c r="O507" s="32">
        <f>IF($B507="","",COUNTIF(G507:N507,"Accepted")+COUNTIF(G507:N507,"Received")+COUNTIF(G507:N507,"Needs Correction"))</f>
        <v/>
      </c>
      <c r="P507" s="32">
        <f>IF($B507="","",SUMPRODUCT(((G507:N507="Accepted")+(G507:N507="Not Needed"))*(Settings!$C$11:$J$11="Yes")))</f>
        <v/>
      </c>
      <c r="Q507" s="32">
        <f>IF($B507="","",SUMPRODUCT(((G507:N507="Accepted")+(G507:N507="Not Needed"))*(Settings!$C$15:$J$15="Yes")))</f>
        <v/>
      </c>
      <c r="R507" s="33">
        <f>IF($B507="","",IF($D507="No","No PTO/PTA",IF($D507&lt;&gt;"Yes","Not Yet Confirmed",IF($Q507&gt;=Settings!$C$13,"Legalized",IF($P507&gt;=Settings!$C$12,"Registered",IF($O507&gt;0,"In Progress","Not Started"))))))</f>
        <v/>
      </c>
      <c r="S507" s="32">
        <f>IF($B507="","",COUNTIF(G507:N507,"Received"))</f>
        <v/>
      </c>
      <c r="T507" s="32">
        <f>IF($B507="","",COUNTIF(G507:N507,"Needs Correction"))</f>
        <v/>
      </c>
      <c r="U507" s="33">
        <f>IF($B507="","",IF($D507&lt;&gt;"Yes","",IF($Q507&gt;=Settings!$C$13,"None",MID(IF(AND(G507&lt;&gt;"Accepted",G507&lt;&gt;"Not Needed",Settings!$C$15="Yes"),", "&amp;G$1,"")&amp;IF(AND(H507&lt;&gt;"Accepted",H507&lt;&gt;"Not Needed",Settings!$D$15="Yes"),", "&amp;H$1,"")&amp;IF(AND(I507&lt;&gt;"Accepted",I507&lt;&gt;"Not Needed",Settings!$E$15="Yes"),", "&amp;I$1,"")&amp;IF(AND(J507&lt;&gt;"Accepted",J507&lt;&gt;"Not Needed",Settings!$F$15="Yes"),", "&amp;J$1,"")&amp;IF(AND(K507&lt;&gt;"Accepted",K507&lt;&gt;"Not Needed",Settings!$G$15="Yes"),", "&amp;K$1,"")&amp;IF(AND(L507&lt;&gt;"Accepted",L507&lt;&gt;"Not Needed",Settings!$H$15="Yes"),", "&amp;L$1,"")&amp;IF(AND(M507&lt;&gt;"Accepted",M507&lt;&gt;"Not Needed",Settings!$I$15="Yes"),", "&amp;M$1,"")&amp;IF(AND(N507&lt;&gt;"Accepted",N507&lt;&gt;"Not Needed",Settings!$J$15="Yes"),", "&amp;N$1,""),3,400))))</f>
        <v/>
      </c>
    </row>
    <row r="508" ht="15" customHeight="1" s="21">
      <c r="A508" s="31" t="n"/>
      <c r="B508" s="31" t="n"/>
      <c r="C508" s="31" t="n"/>
      <c r="D508" s="31" t="n"/>
      <c r="E508" s="31" t="n"/>
      <c r="F508" s="31" t="n"/>
      <c r="G508" s="31" t="n"/>
      <c r="H508" s="31" t="n"/>
      <c r="I508" s="31" t="n"/>
      <c r="J508" s="31" t="n"/>
      <c r="K508" s="31" t="n"/>
      <c r="L508" s="31" t="n"/>
      <c r="M508" s="31" t="n"/>
      <c r="N508" s="31" t="n"/>
      <c r="O508" s="32">
        <f>IF($B508="","",COUNTIF(G508:N508,"Accepted")+COUNTIF(G508:N508,"Received")+COUNTIF(G508:N508,"Needs Correction"))</f>
        <v/>
      </c>
      <c r="P508" s="32">
        <f>IF($B508="","",SUMPRODUCT(((G508:N508="Accepted")+(G508:N508="Not Needed"))*(Settings!$C$11:$J$11="Yes")))</f>
        <v/>
      </c>
      <c r="Q508" s="32">
        <f>IF($B508="","",SUMPRODUCT(((G508:N508="Accepted")+(G508:N508="Not Needed"))*(Settings!$C$15:$J$15="Yes")))</f>
        <v/>
      </c>
      <c r="R508" s="33">
        <f>IF($B508="","",IF($D508="No","No PTO/PTA",IF($D508&lt;&gt;"Yes","Not Yet Confirmed",IF($Q508&gt;=Settings!$C$13,"Legalized",IF($P508&gt;=Settings!$C$12,"Registered",IF($O508&gt;0,"In Progress","Not Started"))))))</f>
        <v/>
      </c>
      <c r="S508" s="32">
        <f>IF($B508="","",COUNTIF(G508:N508,"Received"))</f>
        <v/>
      </c>
      <c r="T508" s="32">
        <f>IF($B508="","",COUNTIF(G508:N508,"Needs Correction"))</f>
        <v/>
      </c>
      <c r="U508" s="33">
        <f>IF($B508="","",IF($D508&lt;&gt;"Yes","",IF($Q508&gt;=Settings!$C$13,"None",MID(IF(AND(G508&lt;&gt;"Accepted",G508&lt;&gt;"Not Needed",Settings!$C$15="Yes"),", "&amp;G$1,"")&amp;IF(AND(H508&lt;&gt;"Accepted",H508&lt;&gt;"Not Needed",Settings!$D$15="Yes"),", "&amp;H$1,"")&amp;IF(AND(I508&lt;&gt;"Accepted",I508&lt;&gt;"Not Needed",Settings!$E$15="Yes"),", "&amp;I$1,"")&amp;IF(AND(J508&lt;&gt;"Accepted",J508&lt;&gt;"Not Needed",Settings!$F$15="Yes"),", "&amp;J$1,"")&amp;IF(AND(K508&lt;&gt;"Accepted",K508&lt;&gt;"Not Needed",Settings!$G$15="Yes"),", "&amp;K$1,"")&amp;IF(AND(L508&lt;&gt;"Accepted",L508&lt;&gt;"Not Needed",Settings!$H$15="Yes"),", "&amp;L$1,"")&amp;IF(AND(M508&lt;&gt;"Accepted",M508&lt;&gt;"Not Needed",Settings!$I$15="Yes"),", "&amp;M$1,"")&amp;IF(AND(N508&lt;&gt;"Accepted",N508&lt;&gt;"Not Needed",Settings!$J$15="Yes"),", "&amp;N$1,""),3,400))))</f>
        <v/>
      </c>
    </row>
    <row r="509" ht="15" customHeight="1" s="21">
      <c r="A509" s="31" t="n"/>
      <c r="B509" s="31" t="n"/>
      <c r="C509" s="31" t="n"/>
      <c r="D509" s="31" t="n"/>
      <c r="E509" s="31" t="n"/>
      <c r="F509" s="31" t="n"/>
      <c r="G509" s="31" t="n"/>
      <c r="H509" s="31" t="n"/>
      <c r="I509" s="31" t="n"/>
      <c r="J509" s="31" t="n"/>
      <c r="K509" s="31" t="n"/>
      <c r="L509" s="31" t="n"/>
      <c r="M509" s="31" t="n"/>
      <c r="N509" s="31" t="n"/>
      <c r="O509" s="32">
        <f>IF($B509="","",COUNTIF(G509:N509,"Accepted")+COUNTIF(G509:N509,"Received")+COUNTIF(G509:N509,"Needs Correction"))</f>
        <v/>
      </c>
      <c r="P509" s="32">
        <f>IF($B509="","",SUMPRODUCT(((G509:N509="Accepted")+(G509:N509="Not Needed"))*(Settings!$C$11:$J$11="Yes")))</f>
        <v/>
      </c>
      <c r="Q509" s="32">
        <f>IF($B509="","",SUMPRODUCT(((G509:N509="Accepted")+(G509:N509="Not Needed"))*(Settings!$C$15:$J$15="Yes")))</f>
        <v/>
      </c>
      <c r="R509" s="33">
        <f>IF($B509="","",IF($D509="No","No PTO/PTA",IF($D509&lt;&gt;"Yes","Not Yet Confirmed",IF($Q509&gt;=Settings!$C$13,"Legalized",IF($P509&gt;=Settings!$C$12,"Registered",IF($O509&gt;0,"In Progress","Not Started"))))))</f>
        <v/>
      </c>
      <c r="S509" s="32">
        <f>IF($B509="","",COUNTIF(G509:N509,"Received"))</f>
        <v/>
      </c>
      <c r="T509" s="32">
        <f>IF($B509="","",COUNTIF(G509:N509,"Needs Correction"))</f>
        <v/>
      </c>
      <c r="U509" s="33">
        <f>IF($B509="","",IF($D509&lt;&gt;"Yes","",IF($Q509&gt;=Settings!$C$13,"None",MID(IF(AND(G509&lt;&gt;"Accepted",G509&lt;&gt;"Not Needed",Settings!$C$15="Yes"),", "&amp;G$1,"")&amp;IF(AND(H509&lt;&gt;"Accepted",H509&lt;&gt;"Not Needed",Settings!$D$15="Yes"),", "&amp;H$1,"")&amp;IF(AND(I509&lt;&gt;"Accepted",I509&lt;&gt;"Not Needed",Settings!$E$15="Yes"),", "&amp;I$1,"")&amp;IF(AND(J509&lt;&gt;"Accepted",J509&lt;&gt;"Not Needed",Settings!$F$15="Yes"),", "&amp;J$1,"")&amp;IF(AND(K509&lt;&gt;"Accepted",K509&lt;&gt;"Not Needed",Settings!$G$15="Yes"),", "&amp;K$1,"")&amp;IF(AND(L509&lt;&gt;"Accepted",L509&lt;&gt;"Not Needed",Settings!$H$15="Yes"),", "&amp;L$1,"")&amp;IF(AND(M509&lt;&gt;"Accepted",M509&lt;&gt;"Not Needed",Settings!$I$15="Yes"),", "&amp;M$1,"")&amp;IF(AND(N509&lt;&gt;"Accepted",N509&lt;&gt;"Not Needed",Settings!$J$15="Yes"),", "&amp;N$1,""),3,400))))</f>
        <v/>
      </c>
    </row>
    <row r="510" ht="15" customHeight="1" s="21">
      <c r="A510" s="31" t="n"/>
      <c r="B510" s="31" t="n"/>
      <c r="C510" s="31" t="n"/>
      <c r="D510" s="31" t="n"/>
      <c r="E510" s="31" t="n"/>
      <c r="F510" s="31" t="n"/>
      <c r="G510" s="31" t="n"/>
      <c r="H510" s="31" t="n"/>
      <c r="I510" s="31" t="n"/>
      <c r="J510" s="31" t="n"/>
      <c r="K510" s="31" t="n"/>
      <c r="L510" s="31" t="n"/>
      <c r="M510" s="31" t="n"/>
      <c r="N510" s="31" t="n"/>
      <c r="O510" s="32">
        <f>IF($B510="","",COUNTIF(G510:N510,"Accepted")+COUNTIF(G510:N510,"Received")+COUNTIF(G510:N510,"Needs Correction"))</f>
        <v/>
      </c>
      <c r="P510" s="32">
        <f>IF($B510="","",SUMPRODUCT(((G510:N510="Accepted")+(G510:N510="Not Needed"))*(Settings!$C$11:$J$11="Yes")))</f>
        <v/>
      </c>
      <c r="Q510" s="32">
        <f>IF($B510="","",SUMPRODUCT(((G510:N510="Accepted")+(G510:N510="Not Needed"))*(Settings!$C$15:$J$15="Yes")))</f>
        <v/>
      </c>
      <c r="R510" s="33">
        <f>IF($B510="","",IF($D510="No","No PTO/PTA",IF($D510&lt;&gt;"Yes","Not Yet Confirmed",IF($Q510&gt;=Settings!$C$13,"Legalized",IF($P510&gt;=Settings!$C$12,"Registered",IF($O510&gt;0,"In Progress","Not Started"))))))</f>
        <v/>
      </c>
      <c r="S510" s="32">
        <f>IF($B510="","",COUNTIF(G510:N510,"Received"))</f>
        <v/>
      </c>
      <c r="T510" s="32">
        <f>IF($B510="","",COUNTIF(G510:N510,"Needs Correction"))</f>
        <v/>
      </c>
      <c r="U510" s="33">
        <f>IF($B510="","",IF($D510&lt;&gt;"Yes","",IF($Q510&gt;=Settings!$C$13,"None",MID(IF(AND(G510&lt;&gt;"Accepted",G510&lt;&gt;"Not Needed",Settings!$C$15="Yes"),", "&amp;G$1,"")&amp;IF(AND(H510&lt;&gt;"Accepted",H510&lt;&gt;"Not Needed",Settings!$D$15="Yes"),", "&amp;H$1,"")&amp;IF(AND(I510&lt;&gt;"Accepted",I510&lt;&gt;"Not Needed",Settings!$E$15="Yes"),", "&amp;I$1,"")&amp;IF(AND(J510&lt;&gt;"Accepted",J510&lt;&gt;"Not Needed",Settings!$F$15="Yes"),", "&amp;J$1,"")&amp;IF(AND(K510&lt;&gt;"Accepted",K510&lt;&gt;"Not Needed",Settings!$G$15="Yes"),", "&amp;K$1,"")&amp;IF(AND(L510&lt;&gt;"Accepted",L510&lt;&gt;"Not Needed",Settings!$H$15="Yes"),", "&amp;L$1,"")&amp;IF(AND(M510&lt;&gt;"Accepted",M510&lt;&gt;"Not Needed",Settings!$I$15="Yes"),", "&amp;M$1,"")&amp;IF(AND(N510&lt;&gt;"Accepted",N510&lt;&gt;"Not Needed",Settings!$J$15="Yes"),", "&amp;N$1,""),3,400))))</f>
        <v/>
      </c>
    </row>
    <row r="511" ht="15" customHeight="1" s="21">
      <c r="A511" s="31" t="n"/>
      <c r="B511" s="31" t="n"/>
      <c r="C511" s="31" t="n"/>
      <c r="D511" s="31" t="n"/>
      <c r="E511" s="31" t="n"/>
      <c r="F511" s="31" t="n"/>
      <c r="G511" s="31" t="n"/>
      <c r="H511" s="31" t="n"/>
      <c r="I511" s="31" t="n"/>
      <c r="J511" s="31" t="n"/>
      <c r="K511" s="31" t="n"/>
      <c r="L511" s="31" t="n"/>
      <c r="M511" s="31" t="n"/>
      <c r="N511" s="31" t="n"/>
      <c r="O511" s="32">
        <f>IF($B511="","",COUNTIF(G511:N511,"Accepted")+COUNTIF(G511:N511,"Received")+COUNTIF(G511:N511,"Needs Correction"))</f>
        <v/>
      </c>
      <c r="P511" s="32">
        <f>IF($B511="","",SUMPRODUCT(((G511:N511="Accepted")+(G511:N511="Not Needed"))*(Settings!$C$11:$J$11="Yes")))</f>
        <v/>
      </c>
      <c r="Q511" s="32">
        <f>IF($B511="","",SUMPRODUCT(((G511:N511="Accepted")+(G511:N511="Not Needed"))*(Settings!$C$15:$J$15="Yes")))</f>
        <v/>
      </c>
      <c r="R511" s="33">
        <f>IF($B511="","",IF($D511="No","No PTO/PTA",IF($D511&lt;&gt;"Yes","Not Yet Confirmed",IF($Q511&gt;=Settings!$C$13,"Legalized",IF($P511&gt;=Settings!$C$12,"Registered",IF($O511&gt;0,"In Progress","Not Started"))))))</f>
        <v/>
      </c>
      <c r="S511" s="32">
        <f>IF($B511="","",COUNTIF(G511:N511,"Received"))</f>
        <v/>
      </c>
      <c r="T511" s="32">
        <f>IF($B511="","",COUNTIF(G511:N511,"Needs Correction"))</f>
        <v/>
      </c>
      <c r="U511" s="33">
        <f>IF($B511="","",IF($D511&lt;&gt;"Yes","",IF($Q511&gt;=Settings!$C$13,"None",MID(IF(AND(G511&lt;&gt;"Accepted",G511&lt;&gt;"Not Needed",Settings!$C$15="Yes"),", "&amp;G$1,"")&amp;IF(AND(H511&lt;&gt;"Accepted",H511&lt;&gt;"Not Needed",Settings!$D$15="Yes"),", "&amp;H$1,"")&amp;IF(AND(I511&lt;&gt;"Accepted",I511&lt;&gt;"Not Needed",Settings!$E$15="Yes"),", "&amp;I$1,"")&amp;IF(AND(J511&lt;&gt;"Accepted",J511&lt;&gt;"Not Needed",Settings!$F$15="Yes"),", "&amp;J$1,"")&amp;IF(AND(K511&lt;&gt;"Accepted",K511&lt;&gt;"Not Needed",Settings!$G$15="Yes"),", "&amp;K$1,"")&amp;IF(AND(L511&lt;&gt;"Accepted",L511&lt;&gt;"Not Needed",Settings!$H$15="Yes"),", "&amp;L$1,"")&amp;IF(AND(M511&lt;&gt;"Accepted",M511&lt;&gt;"Not Needed",Settings!$I$15="Yes"),", "&amp;M$1,"")&amp;IF(AND(N511&lt;&gt;"Accepted",N511&lt;&gt;"Not Needed",Settings!$J$15="Yes"),", "&amp;N$1,""),3,400))))</f>
        <v/>
      </c>
    </row>
    <row r="512" ht="15" customHeight="1" s="21">
      <c r="A512" s="31" t="n"/>
      <c r="B512" s="31" t="n"/>
      <c r="C512" s="31" t="n"/>
      <c r="D512" s="31" t="n"/>
      <c r="E512" s="31" t="n"/>
      <c r="F512" s="31" t="n"/>
      <c r="G512" s="31" t="n"/>
      <c r="H512" s="31" t="n"/>
      <c r="I512" s="31" t="n"/>
      <c r="J512" s="31" t="n"/>
      <c r="K512" s="31" t="n"/>
      <c r="L512" s="31" t="n"/>
      <c r="M512" s="31" t="n"/>
      <c r="N512" s="31" t="n"/>
      <c r="O512" s="32">
        <f>IF($B512="","",COUNTIF(G512:N512,"Accepted")+COUNTIF(G512:N512,"Received")+COUNTIF(G512:N512,"Needs Correction"))</f>
        <v/>
      </c>
      <c r="P512" s="32">
        <f>IF($B512="","",SUMPRODUCT(((G512:N512="Accepted")+(G512:N512="Not Needed"))*(Settings!$C$11:$J$11="Yes")))</f>
        <v/>
      </c>
      <c r="Q512" s="32">
        <f>IF($B512="","",SUMPRODUCT(((G512:N512="Accepted")+(G512:N512="Not Needed"))*(Settings!$C$15:$J$15="Yes")))</f>
        <v/>
      </c>
      <c r="R512" s="33">
        <f>IF($B512="","",IF($D512="No","No PTO/PTA",IF($D512&lt;&gt;"Yes","Not Yet Confirmed",IF($Q512&gt;=Settings!$C$13,"Legalized",IF($P512&gt;=Settings!$C$12,"Registered",IF($O512&gt;0,"In Progress","Not Started"))))))</f>
        <v/>
      </c>
      <c r="S512" s="32">
        <f>IF($B512="","",COUNTIF(G512:N512,"Received"))</f>
        <v/>
      </c>
      <c r="T512" s="32">
        <f>IF($B512="","",COUNTIF(G512:N512,"Needs Correction"))</f>
        <v/>
      </c>
      <c r="U512" s="33">
        <f>IF($B512="","",IF($D512&lt;&gt;"Yes","",IF($Q512&gt;=Settings!$C$13,"None",MID(IF(AND(G512&lt;&gt;"Accepted",G512&lt;&gt;"Not Needed",Settings!$C$15="Yes"),", "&amp;G$1,"")&amp;IF(AND(H512&lt;&gt;"Accepted",H512&lt;&gt;"Not Needed",Settings!$D$15="Yes"),", "&amp;H$1,"")&amp;IF(AND(I512&lt;&gt;"Accepted",I512&lt;&gt;"Not Needed",Settings!$E$15="Yes"),", "&amp;I$1,"")&amp;IF(AND(J512&lt;&gt;"Accepted",J512&lt;&gt;"Not Needed",Settings!$F$15="Yes"),", "&amp;J$1,"")&amp;IF(AND(K512&lt;&gt;"Accepted",K512&lt;&gt;"Not Needed",Settings!$G$15="Yes"),", "&amp;K$1,"")&amp;IF(AND(L512&lt;&gt;"Accepted",L512&lt;&gt;"Not Needed",Settings!$H$15="Yes"),", "&amp;L$1,"")&amp;IF(AND(M512&lt;&gt;"Accepted",M512&lt;&gt;"Not Needed",Settings!$I$15="Yes"),", "&amp;M$1,"")&amp;IF(AND(N512&lt;&gt;"Accepted",N512&lt;&gt;"Not Needed",Settings!$J$15="Yes"),", "&amp;N$1,""),3,400))))</f>
        <v/>
      </c>
    </row>
    <row r="513" ht="15" customHeight="1" s="21">
      <c r="A513" s="31" t="n"/>
      <c r="B513" s="31" t="n"/>
      <c r="C513" s="31" t="n"/>
      <c r="D513" s="31" t="n"/>
      <c r="E513" s="31" t="n"/>
      <c r="F513" s="31" t="n"/>
      <c r="G513" s="31" t="n"/>
      <c r="H513" s="31" t="n"/>
      <c r="I513" s="31" t="n"/>
      <c r="J513" s="31" t="n"/>
      <c r="K513" s="31" t="n"/>
      <c r="L513" s="31" t="n"/>
      <c r="M513" s="31" t="n"/>
      <c r="N513" s="31" t="n"/>
      <c r="O513" s="32">
        <f>IF($B513="","",COUNTIF(G513:N513,"Accepted")+COUNTIF(G513:N513,"Received")+COUNTIF(G513:N513,"Needs Correction"))</f>
        <v/>
      </c>
      <c r="P513" s="32">
        <f>IF($B513="","",SUMPRODUCT(((G513:N513="Accepted")+(G513:N513="Not Needed"))*(Settings!$C$11:$J$11="Yes")))</f>
        <v/>
      </c>
      <c r="Q513" s="32">
        <f>IF($B513="","",SUMPRODUCT(((G513:N513="Accepted")+(G513:N513="Not Needed"))*(Settings!$C$15:$J$15="Yes")))</f>
        <v/>
      </c>
      <c r="R513" s="33">
        <f>IF($B513="","",IF($D513="No","No PTO/PTA",IF($D513&lt;&gt;"Yes","Not Yet Confirmed",IF($Q513&gt;=Settings!$C$13,"Legalized",IF($P513&gt;=Settings!$C$12,"Registered",IF($O513&gt;0,"In Progress","Not Started"))))))</f>
        <v/>
      </c>
      <c r="S513" s="32">
        <f>IF($B513="","",COUNTIF(G513:N513,"Received"))</f>
        <v/>
      </c>
      <c r="T513" s="32">
        <f>IF($B513="","",COUNTIF(G513:N513,"Needs Correction"))</f>
        <v/>
      </c>
      <c r="U513" s="33">
        <f>IF($B513="","",IF($D513&lt;&gt;"Yes","",IF($Q513&gt;=Settings!$C$13,"None",MID(IF(AND(G513&lt;&gt;"Accepted",G513&lt;&gt;"Not Needed",Settings!$C$15="Yes"),", "&amp;G$1,"")&amp;IF(AND(H513&lt;&gt;"Accepted",H513&lt;&gt;"Not Needed",Settings!$D$15="Yes"),", "&amp;H$1,"")&amp;IF(AND(I513&lt;&gt;"Accepted",I513&lt;&gt;"Not Needed",Settings!$E$15="Yes"),", "&amp;I$1,"")&amp;IF(AND(J513&lt;&gt;"Accepted",J513&lt;&gt;"Not Needed",Settings!$F$15="Yes"),", "&amp;J$1,"")&amp;IF(AND(K513&lt;&gt;"Accepted",K513&lt;&gt;"Not Needed",Settings!$G$15="Yes"),", "&amp;K$1,"")&amp;IF(AND(L513&lt;&gt;"Accepted",L513&lt;&gt;"Not Needed",Settings!$H$15="Yes"),", "&amp;L$1,"")&amp;IF(AND(M513&lt;&gt;"Accepted",M513&lt;&gt;"Not Needed",Settings!$I$15="Yes"),", "&amp;M$1,"")&amp;IF(AND(N513&lt;&gt;"Accepted",N513&lt;&gt;"Not Needed",Settings!$J$15="Yes"),", "&amp;N$1,""),3,400))))</f>
        <v/>
      </c>
    </row>
    <row r="514" ht="15" customHeight="1" s="21">
      <c r="A514" s="31" t="n"/>
      <c r="B514" s="31" t="n"/>
      <c r="C514" s="31" t="n"/>
      <c r="D514" s="31" t="n"/>
      <c r="E514" s="31" t="n"/>
      <c r="F514" s="31" t="n"/>
      <c r="G514" s="31" t="n"/>
      <c r="H514" s="31" t="n"/>
      <c r="I514" s="31" t="n"/>
      <c r="J514" s="31" t="n"/>
      <c r="K514" s="31" t="n"/>
      <c r="L514" s="31" t="n"/>
      <c r="M514" s="31" t="n"/>
      <c r="N514" s="31" t="n"/>
      <c r="O514" s="32">
        <f>IF($B514="","",COUNTIF(G514:N514,"Accepted")+COUNTIF(G514:N514,"Received")+COUNTIF(G514:N514,"Needs Correction"))</f>
        <v/>
      </c>
      <c r="P514" s="32">
        <f>IF($B514="","",SUMPRODUCT(((G514:N514="Accepted")+(G514:N514="Not Needed"))*(Settings!$C$11:$J$11="Yes")))</f>
        <v/>
      </c>
      <c r="Q514" s="32">
        <f>IF($B514="","",SUMPRODUCT(((G514:N514="Accepted")+(G514:N514="Not Needed"))*(Settings!$C$15:$J$15="Yes")))</f>
        <v/>
      </c>
      <c r="R514" s="33">
        <f>IF($B514="","",IF($D514="No","No PTO/PTA",IF($D514&lt;&gt;"Yes","Not Yet Confirmed",IF($Q514&gt;=Settings!$C$13,"Legalized",IF($P514&gt;=Settings!$C$12,"Registered",IF($O514&gt;0,"In Progress","Not Started"))))))</f>
        <v/>
      </c>
      <c r="S514" s="32">
        <f>IF($B514="","",COUNTIF(G514:N514,"Received"))</f>
        <v/>
      </c>
      <c r="T514" s="32">
        <f>IF($B514="","",COUNTIF(G514:N514,"Needs Correction"))</f>
        <v/>
      </c>
      <c r="U514" s="33">
        <f>IF($B514="","",IF($D514&lt;&gt;"Yes","",IF($Q514&gt;=Settings!$C$13,"None",MID(IF(AND(G514&lt;&gt;"Accepted",G514&lt;&gt;"Not Needed",Settings!$C$15="Yes"),", "&amp;G$1,"")&amp;IF(AND(H514&lt;&gt;"Accepted",H514&lt;&gt;"Not Needed",Settings!$D$15="Yes"),", "&amp;H$1,"")&amp;IF(AND(I514&lt;&gt;"Accepted",I514&lt;&gt;"Not Needed",Settings!$E$15="Yes"),", "&amp;I$1,"")&amp;IF(AND(J514&lt;&gt;"Accepted",J514&lt;&gt;"Not Needed",Settings!$F$15="Yes"),", "&amp;J$1,"")&amp;IF(AND(K514&lt;&gt;"Accepted",K514&lt;&gt;"Not Needed",Settings!$G$15="Yes"),", "&amp;K$1,"")&amp;IF(AND(L514&lt;&gt;"Accepted",L514&lt;&gt;"Not Needed",Settings!$H$15="Yes"),", "&amp;L$1,"")&amp;IF(AND(M514&lt;&gt;"Accepted",M514&lt;&gt;"Not Needed",Settings!$I$15="Yes"),", "&amp;M$1,"")&amp;IF(AND(N514&lt;&gt;"Accepted",N514&lt;&gt;"Not Needed",Settings!$J$15="Yes"),", "&amp;N$1,""),3,400))))</f>
        <v/>
      </c>
    </row>
    <row r="515" ht="15" customHeight="1" s="21">
      <c r="A515" s="31" t="n"/>
      <c r="B515" s="31" t="n"/>
      <c r="C515" s="31" t="n"/>
      <c r="D515" s="31" t="n"/>
      <c r="E515" s="31" t="n"/>
      <c r="F515" s="31" t="n"/>
      <c r="G515" s="31" t="n"/>
      <c r="H515" s="31" t="n"/>
      <c r="I515" s="31" t="n"/>
      <c r="J515" s="31" t="n"/>
      <c r="K515" s="31" t="n"/>
      <c r="L515" s="31" t="n"/>
      <c r="M515" s="31" t="n"/>
      <c r="N515" s="31" t="n"/>
      <c r="O515" s="32">
        <f>IF($B515="","",COUNTIF(G515:N515,"Accepted")+COUNTIF(G515:N515,"Received")+COUNTIF(G515:N515,"Needs Correction"))</f>
        <v/>
      </c>
      <c r="P515" s="32">
        <f>IF($B515="","",SUMPRODUCT(((G515:N515="Accepted")+(G515:N515="Not Needed"))*(Settings!$C$11:$J$11="Yes")))</f>
        <v/>
      </c>
      <c r="Q515" s="32">
        <f>IF($B515="","",SUMPRODUCT(((G515:N515="Accepted")+(G515:N515="Not Needed"))*(Settings!$C$15:$J$15="Yes")))</f>
        <v/>
      </c>
      <c r="R515" s="33">
        <f>IF($B515="","",IF($D515="No","No PTO/PTA",IF($D515&lt;&gt;"Yes","Not Yet Confirmed",IF($Q515&gt;=Settings!$C$13,"Legalized",IF($P515&gt;=Settings!$C$12,"Registered",IF($O515&gt;0,"In Progress","Not Started"))))))</f>
        <v/>
      </c>
      <c r="S515" s="32">
        <f>IF($B515="","",COUNTIF(G515:N515,"Received"))</f>
        <v/>
      </c>
      <c r="T515" s="32">
        <f>IF($B515="","",COUNTIF(G515:N515,"Needs Correction"))</f>
        <v/>
      </c>
      <c r="U515" s="33">
        <f>IF($B515="","",IF($D515&lt;&gt;"Yes","",IF($Q515&gt;=Settings!$C$13,"None",MID(IF(AND(G515&lt;&gt;"Accepted",G515&lt;&gt;"Not Needed",Settings!$C$15="Yes"),", "&amp;G$1,"")&amp;IF(AND(H515&lt;&gt;"Accepted",H515&lt;&gt;"Not Needed",Settings!$D$15="Yes"),", "&amp;H$1,"")&amp;IF(AND(I515&lt;&gt;"Accepted",I515&lt;&gt;"Not Needed",Settings!$E$15="Yes"),", "&amp;I$1,"")&amp;IF(AND(J515&lt;&gt;"Accepted",J515&lt;&gt;"Not Needed",Settings!$F$15="Yes"),", "&amp;J$1,"")&amp;IF(AND(K515&lt;&gt;"Accepted",K515&lt;&gt;"Not Needed",Settings!$G$15="Yes"),", "&amp;K$1,"")&amp;IF(AND(L515&lt;&gt;"Accepted",L515&lt;&gt;"Not Needed",Settings!$H$15="Yes"),", "&amp;L$1,"")&amp;IF(AND(M515&lt;&gt;"Accepted",M515&lt;&gt;"Not Needed",Settings!$I$15="Yes"),", "&amp;M$1,"")&amp;IF(AND(N515&lt;&gt;"Accepted",N515&lt;&gt;"Not Needed",Settings!$J$15="Yes"),", "&amp;N$1,""),3,400))))</f>
        <v/>
      </c>
    </row>
    <row r="516" ht="15" customHeight="1" s="21">
      <c r="A516" s="31" t="n"/>
      <c r="B516" s="31" t="n"/>
      <c r="C516" s="31" t="n"/>
      <c r="D516" s="31" t="n"/>
      <c r="E516" s="31" t="n"/>
      <c r="F516" s="31" t="n"/>
      <c r="G516" s="31" t="n"/>
      <c r="H516" s="31" t="n"/>
      <c r="I516" s="31" t="n"/>
      <c r="J516" s="31" t="n"/>
      <c r="K516" s="31" t="n"/>
      <c r="L516" s="31" t="n"/>
      <c r="M516" s="31" t="n"/>
      <c r="N516" s="31" t="n"/>
      <c r="O516" s="32">
        <f>IF($B516="","",COUNTIF(G516:N516,"Accepted")+COUNTIF(G516:N516,"Received")+COUNTIF(G516:N516,"Needs Correction"))</f>
        <v/>
      </c>
      <c r="P516" s="32">
        <f>IF($B516="","",SUMPRODUCT(((G516:N516="Accepted")+(G516:N516="Not Needed"))*(Settings!$C$11:$J$11="Yes")))</f>
        <v/>
      </c>
      <c r="Q516" s="32">
        <f>IF($B516="","",SUMPRODUCT(((G516:N516="Accepted")+(G516:N516="Not Needed"))*(Settings!$C$15:$J$15="Yes")))</f>
        <v/>
      </c>
      <c r="R516" s="33">
        <f>IF($B516="","",IF($D516="No","No PTO/PTA",IF($D516&lt;&gt;"Yes","Not Yet Confirmed",IF($Q516&gt;=Settings!$C$13,"Legalized",IF($P516&gt;=Settings!$C$12,"Registered",IF($O516&gt;0,"In Progress","Not Started"))))))</f>
        <v/>
      </c>
      <c r="S516" s="32">
        <f>IF($B516="","",COUNTIF(G516:N516,"Received"))</f>
        <v/>
      </c>
      <c r="T516" s="32">
        <f>IF($B516="","",COUNTIF(G516:N516,"Needs Correction"))</f>
        <v/>
      </c>
      <c r="U516" s="33">
        <f>IF($B516="","",IF($D516&lt;&gt;"Yes","",IF($Q516&gt;=Settings!$C$13,"None",MID(IF(AND(G516&lt;&gt;"Accepted",G516&lt;&gt;"Not Needed",Settings!$C$15="Yes"),", "&amp;G$1,"")&amp;IF(AND(H516&lt;&gt;"Accepted",H516&lt;&gt;"Not Needed",Settings!$D$15="Yes"),", "&amp;H$1,"")&amp;IF(AND(I516&lt;&gt;"Accepted",I516&lt;&gt;"Not Needed",Settings!$E$15="Yes"),", "&amp;I$1,"")&amp;IF(AND(J516&lt;&gt;"Accepted",J516&lt;&gt;"Not Needed",Settings!$F$15="Yes"),", "&amp;J$1,"")&amp;IF(AND(K516&lt;&gt;"Accepted",K516&lt;&gt;"Not Needed",Settings!$G$15="Yes"),", "&amp;K$1,"")&amp;IF(AND(L516&lt;&gt;"Accepted",L516&lt;&gt;"Not Needed",Settings!$H$15="Yes"),", "&amp;L$1,"")&amp;IF(AND(M516&lt;&gt;"Accepted",M516&lt;&gt;"Not Needed",Settings!$I$15="Yes"),", "&amp;M$1,"")&amp;IF(AND(N516&lt;&gt;"Accepted",N516&lt;&gt;"Not Needed",Settings!$J$15="Yes"),", "&amp;N$1,""),3,400))))</f>
        <v/>
      </c>
    </row>
    <row r="517" ht="15" customHeight="1" s="21">
      <c r="A517" s="31" t="n"/>
      <c r="B517" s="31" t="n"/>
      <c r="C517" s="31" t="n"/>
      <c r="D517" s="31" t="n"/>
      <c r="E517" s="31" t="n"/>
      <c r="F517" s="31" t="n"/>
      <c r="G517" s="31" t="n"/>
      <c r="H517" s="31" t="n"/>
      <c r="I517" s="31" t="n"/>
      <c r="J517" s="31" t="n"/>
      <c r="K517" s="31" t="n"/>
      <c r="L517" s="31" t="n"/>
      <c r="M517" s="31" t="n"/>
      <c r="N517" s="31" t="n"/>
      <c r="O517" s="32">
        <f>IF($B517="","",COUNTIF(G517:N517,"Accepted")+COUNTIF(G517:N517,"Received")+COUNTIF(G517:N517,"Needs Correction"))</f>
        <v/>
      </c>
      <c r="P517" s="32">
        <f>IF($B517="","",SUMPRODUCT(((G517:N517="Accepted")+(G517:N517="Not Needed"))*(Settings!$C$11:$J$11="Yes")))</f>
        <v/>
      </c>
      <c r="Q517" s="32">
        <f>IF($B517="","",SUMPRODUCT(((G517:N517="Accepted")+(G517:N517="Not Needed"))*(Settings!$C$15:$J$15="Yes")))</f>
        <v/>
      </c>
      <c r="R517" s="33">
        <f>IF($B517="","",IF($D517="No","No PTO/PTA",IF($D517&lt;&gt;"Yes","Not Yet Confirmed",IF($Q517&gt;=Settings!$C$13,"Legalized",IF($P517&gt;=Settings!$C$12,"Registered",IF($O517&gt;0,"In Progress","Not Started"))))))</f>
        <v/>
      </c>
      <c r="S517" s="32">
        <f>IF($B517="","",COUNTIF(G517:N517,"Received"))</f>
        <v/>
      </c>
      <c r="T517" s="32">
        <f>IF($B517="","",COUNTIF(G517:N517,"Needs Correction"))</f>
        <v/>
      </c>
      <c r="U517" s="33">
        <f>IF($B517="","",IF($D517&lt;&gt;"Yes","",IF($Q517&gt;=Settings!$C$13,"None",MID(IF(AND(G517&lt;&gt;"Accepted",G517&lt;&gt;"Not Needed",Settings!$C$15="Yes"),", "&amp;G$1,"")&amp;IF(AND(H517&lt;&gt;"Accepted",H517&lt;&gt;"Not Needed",Settings!$D$15="Yes"),", "&amp;H$1,"")&amp;IF(AND(I517&lt;&gt;"Accepted",I517&lt;&gt;"Not Needed",Settings!$E$15="Yes"),", "&amp;I$1,"")&amp;IF(AND(J517&lt;&gt;"Accepted",J517&lt;&gt;"Not Needed",Settings!$F$15="Yes"),", "&amp;J$1,"")&amp;IF(AND(K517&lt;&gt;"Accepted",K517&lt;&gt;"Not Needed",Settings!$G$15="Yes"),", "&amp;K$1,"")&amp;IF(AND(L517&lt;&gt;"Accepted",L517&lt;&gt;"Not Needed",Settings!$H$15="Yes"),", "&amp;L$1,"")&amp;IF(AND(M517&lt;&gt;"Accepted",M517&lt;&gt;"Not Needed",Settings!$I$15="Yes"),", "&amp;M$1,"")&amp;IF(AND(N517&lt;&gt;"Accepted",N517&lt;&gt;"Not Needed",Settings!$J$15="Yes"),", "&amp;N$1,""),3,400))))</f>
        <v/>
      </c>
    </row>
    <row r="518" ht="15" customHeight="1" s="21">
      <c r="A518" s="31" t="n"/>
      <c r="B518" s="31" t="n"/>
      <c r="C518" s="31" t="n"/>
      <c r="D518" s="31" t="n"/>
      <c r="E518" s="31" t="n"/>
      <c r="F518" s="31" t="n"/>
      <c r="G518" s="31" t="n"/>
      <c r="H518" s="31" t="n"/>
      <c r="I518" s="31" t="n"/>
      <c r="J518" s="31" t="n"/>
      <c r="K518" s="31" t="n"/>
      <c r="L518" s="31" t="n"/>
      <c r="M518" s="31" t="n"/>
      <c r="N518" s="31" t="n"/>
      <c r="O518" s="32">
        <f>IF($B518="","",COUNTIF(G518:N518,"Accepted")+COUNTIF(G518:N518,"Received")+COUNTIF(G518:N518,"Needs Correction"))</f>
        <v/>
      </c>
      <c r="P518" s="32">
        <f>IF($B518="","",SUMPRODUCT(((G518:N518="Accepted")+(G518:N518="Not Needed"))*(Settings!$C$11:$J$11="Yes")))</f>
        <v/>
      </c>
      <c r="Q518" s="32">
        <f>IF($B518="","",SUMPRODUCT(((G518:N518="Accepted")+(G518:N518="Not Needed"))*(Settings!$C$15:$J$15="Yes")))</f>
        <v/>
      </c>
      <c r="R518" s="33">
        <f>IF($B518="","",IF($D518="No","No PTO/PTA",IF($D518&lt;&gt;"Yes","Not Yet Confirmed",IF($Q518&gt;=Settings!$C$13,"Legalized",IF($P518&gt;=Settings!$C$12,"Registered",IF($O518&gt;0,"In Progress","Not Started"))))))</f>
        <v/>
      </c>
      <c r="S518" s="32">
        <f>IF($B518="","",COUNTIF(G518:N518,"Received"))</f>
        <v/>
      </c>
      <c r="T518" s="32">
        <f>IF($B518="","",COUNTIF(G518:N518,"Needs Correction"))</f>
        <v/>
      </c>
      <c r="U518" s="33">
        <f>IF($B518="","",IF($D518&lt;&gt;"Yes","",IF($Q518&gt;=Settings!$C$13,"None",MID(IF(AND(G518&lt;&gt;"Accepted",G518&lt;&gt;"Not Needed",Settings!$C$15="Yes"),", "&amp;G$1,"")&amp;IF(AND(H518&lt;&gt;"Accepted",H518&lt;&gt;"Not Needed",Settings!$D$15="Yes"),", "&amp;H$1,"")&amp;IF(AND(I518&lt;&gt;"Accepted",I518&lt;&gt;"Not Needed",Settings!$E$15="Yes"),", "&amp;I$1,"")&amp;IF(AND(J518&lt;&gt;"Accepted",J518&lt;&gt;"Not Needed",Settings!$F$15="Yes"),", "&amp;J$1,"")&amp;IF(AND(K518&lt;&gt;"Accepted",K518&lt;&gt;"Not Needed",Settings!$G$15="Yes"),", "&amp;K$1,"")&amp;IF(AND(L518&lt;&gt;"Accepted",L518&lt;&gt;"Not Needed",Settings!$H$15="Yes"),", "&amp;L$1,"")&amp;IF(AND(M518&lt;&gt;"Accepted",M518&lt;&gt;"Not Needed",Settings!$I$15="Yes"),", "&amp;M$1,"")&amp;IF(AND(N518&lt;&gt;"Accepted",N518&lt;&gt;"Not Needed",Settings!$J$15="Yes"),", "&amp;N$1,""),3,400))))</f>
        <v/>
      </c>
    </row>
    <row r="519" ht="15" customHeight="1" s="21">
      <c r="A519" s="31" t="n"/>
      <c r="B519" s="31" t="n"/>
      <c r="C519" s="31" t="n"/>
      <c r="D519" s="31" t="n"/>
      <c r="E519" s="31" t="n"/>
      <c r="F519" s="31" t="n"/>
      <c r="G519" s="31" t="n"/>
      <c r="H519" s="31" t="n"/>
      <c r="I519" s="31" t="n"/>
      <c r="J519" s="31" t="n"/>
      <c r="K519" s="31" t="n"/>
      <c r="L519" s="31" t="n"/>
      <c r="M519" s="31" t="n"/>
      <c r="N519" s="31" t="n"/>
      <c r="O519" s="32">
        <f>IF($B519="","",COUNTIF(G519:N519,"Accepted")+COUNTIF(G519:N519,"Received")+COUNTIF(G519:N519,"Needs Correction"))</f>
        <v/>
      </c>
      <c r="P519" s="32">
        <f>IF($B519="","",SUMPRODUCT(((G519:N519="Accepted")+(G519:N519="Not Needed"))*(Settings!$C$11:$J$11="Yes")))</f>
        <v/>
      </c>
      <c r="Q519" s="32">
        <f>IF($B519="","",SUMPRODUCT(((G519:N519="Accepted")+(G519:N519="Not Needed"))*(Settings!$C$15:$J$15="Yes")))</f>
        <v/>
      </c>
      <c r="R519" s="33">
        <f>IF($B519="","",IF($D519="No","No PTO/PTA",IF($D519&lt;&gt;"Yes","Not Yet Confirmed",IF($Q519&gt;=Settings!$C$13,"Legalized",IF($P519&gt;=Settings!$C$12,"Registered",IF($O519&gt;0,"In Progress","Not Started"))))))</f>
        <v/>
      </c>
      <c r="S519" s="32">
        <f>IF($B519="","",COUNTIF(G519:N519,"Received"))</f>
        <v/>
      </c>
      <c r="T519" s="32">
        <f>IF($B519="","",COUNTIF(G519:N519,"Needs Correction"))</f>
        <v/>
      </c>
      <c r="U519" s="33">
        <f>IF($B519="","",IF($D519&lt;&gt;"Yes","",IF($Q519&gt;=Settings!$C$13,"None",MID(IF(AND(G519&lt;&gt;"Accepted",G519&lt;&gt;"Not Needed",Settings!$C$15="Yes"),", "&amp;G$1,"")&amp;IF(AND(H519&lt;&gt;"Accepted",H519&lt;&gt;"Not Needed",Settings!$D$15="Yes"),", "&amp;H$1,"")&amp;IF(AND(I519&lt;&gt;"Accepted",I519&lt;&gt;"Not Needed",Settings!$E$15="Yes"),", "&amp;I$1,"")&amp;IF(AND(J519&lt;&gt;"Accepted",J519&lt;&gt;"Not Needed",Settings!$F$15="Yes"),", "&amp;J$1,"")&amp;IF(AND(K519&lt;&gt;"Accepted",K519&lt;&gt;"Not Needed",Settings!$G$15="Yes"),", "&amp;K$1,"")&amp;IF(AND(L519&lt;&gt;"Accepted",L519&lt;&gt;"Not Needed",Settings!$H$15="Yes"),", "&amp;L$1,"")&amp;IF(AND(M519&lt;&gt;"Accepted",M519&lt;&gt;"Not Needed",Settings!$I$15="Yes"),", "&amp;M$1,"")&amp;IF(AND(N519&lt;&gt;"Accepted",N519&lt;&gt;"Not Needed",Settings!$J$15="Yes"),", "&amp;N$1,""),3,400))))</f>
        <v/>
      </c>
    </row>
    <row r="520" ht="15" customHeight="1" s="21">
      <c r="A520" s="31" t="n"/>
      <c r="B520" s="31" t="n"/>
      <c r="C520" s="31" t="n"/>
      <c r="D520" s="31" t="n"/>
      <c r="E520" s="31" t="n"/>
      <c r="F520" s="31" t="n"/>
      <c r="G520" s="31" t="n"/>
      <c r="H520" s="31" t="n"/>
      <c r="I520" s="31" t="n"/>
      <c r="J520" s="31" t="n"/>
      <c r="K520" s="31" t="n"/>
      <c r="L520" s="31" t="n"/>
      <c r="M520" s="31" t="n"/>
      <c r="N520" s="31" t="n"/>
      <c r="O520" s="32">
        <f>IF($B520="","",COUNTIF(G520:N520,"Accepted")+COUNTIF(G520:N520,"Received")+COUNTIF(G520:N520,"Needs Correction"))</f>
        <v/>
      </c>
      <c r="P520" s="32">
        <f>IF($B520="","",SUMPRODUCT(((G520:N520="Accepted")+(G520:N520="Not Needed"))*(Settings!$C$11:$J$11="Yes")))</f>
        <v/>
      </c>
      <c r="Q520" s="32">
        <f>IF($B520="","",SUMPRODUCT(((G520:N520="Accepted")+(G520:N520="Not Needed"))*(Settings!$C$15:$J$15="Yes")))</f>
        <v/>
      </c>
      <c r="R520" s="33">
        <f>IF($B520="","",IF($D520="No","No PTO/PTA",IF($D520&lt;&gt;"Yes","Not Yet Confirmed",IF($Q520&gt;=Settings!$C$13,"Legalized",IF($P520&gt;=Settings!$C$12,"Registered",IF($O520&gt;0,"In Progress","Not Started"))))))</f>
        <v/>
      </c>
      <c r="S520" s="32">
        <f>IF($B520="","",COUNTIF(G520:N520,"Received"))</f>
        <v/>
      </c>
      <c r="T520" s="32">
        <f>IF($B520="","",COUNTIF(G520:N520,"Needs Correction"))</f>
        <v/>
      </c>
      <c r="U520" s="33">
        <f>IF($B520="","",IF($D520&lt;&gt;"Yes","",IF($Q520&gt;=Settings!$C$13,"None",MID(IF(AND(G520&lt;&gt;"Accepted",G520&lt;&gt;"Not Needed",Settings!$C$15="Yes"),", "&amp;G$1,"")&amp;IF(AND(H520&lt;&gt;"Accepted",H520&lt;&gt;"Not Needed",Settings!$D$15="Yes"),", "&amp;H$1,"")&amp;IF(AND(I520&lt;&gt;"Accepted",I520&lt;&gt;"Not Needed",Settings!$E$15="Yes"),", "&amp;I$1,"")&amp;IF(AND(J520&lt;&gt;"Accepted",J520&lt;&gt;"Not Needed",Settings!$F$15="Yes"),", "&amp;J$1,"")&amp;IF(AND(K520&lt;&gt;"Accepted",K520&lt;&gt;"Not Needed",Settings!$G$15="Yes"),", "&amp;K$1,"")&amp;IF(AND(L520&lt;&gt;"Accepted",L520&lt;&gt;"Not Needed",Settings!$H$15="Yes"),", "&amp;L$1,"")&amp;IF(AND(M520&lt;&gt;"Accepted",M520&lt;&gt;"Not Needed",Settings!$I$15="Yes"),", "&amp;M$1,"")&amp;IF(AND(N520&lt;&gt;"Accepted",N520&lt;&gt;"Not Needed",Settings!$J$15="Yes"),", "&amp;N$1,""),3,400))))</f>
        <v/>
      </c>
    </row>
    <row r="521" ht="15" customHeight="1" s="21">
      <c r="A521" s="31" t="n"/>
      <c r="B521" s="31" t="n"/>
      <c r="C521" s="31" t="n"/>
      <c r="D521" s="31" t="n"/>
      <c r="E521" s="31" t="n"/>
      <c r="F521" s="31" t="n"/>
      <c r="G521" s="31" t="n"/>
      <c r="H521" s="31" t="n"/>
      <c r="I521" s="31" t="n"/>
      <c r="J521" s="31" t="n"/>
      <c r="K521" s="31" t="n"/>
      <c r="L521" s="31" t="n"/>
      <c r="M521" s="31" t="n"/>
      <c r="N521" s="31" t="n"/>
      <c r="O521" s="32">
        <f>IF($B521="","",COUNTIF(G521:N521,"Accepted")+COUNTIF(G521:N521,"Received")+COUNTIF(G521:N521,"Needs Correction"))</f>
        <v/>
      </c>
      <c r="P521" s="32">
        <f>IF($B521="","",SUMPRODUCT(((G521:N521="Accepted")+(G521:N521="Not Needed"))*(Settings!$C$11:$J$11="Yes")))</f>
        <v/>
      </c>
      <c r="Q521" s="32">
        <f>IF($B521="","",SUMPRODUCT(((G521:N521="Accepted")+(G521:N521="Not Needed"))*(Settings!$C$15:$J$15="Yes")))</f>
        <v/>
      </c>
      <c r="R521" s="33">
        <f>IF($B521="","",IF($D521="No","No PTO/PTA",IF($D521&lt;&gt;"Yes","Not Yet Confirmed",IF($Q521&gt;=Settings!$C$13,"Legalized",IF($P521&gt;=Settings!$C$12,"Registered",IF($O521&gt;0,"In Progress","Not Started"))))))</f>
        <v/>
      </c>
      <c r="S521" s="32">
        <f>IF($B521="","",COUNTIF(G521:N521,"Received"))</f>
        <v/>
      </c>
      <c r="T521" s="32">
        <f>IF($B521="","",COUNTIF(G521:N521,"Needs Correction"))</f>
        <v/>
      </c>
      <c r="U521" s="33">
        <f>IF($B521="","",IF($D521&lt;&gt;"Yes","",IF($Q521&gt;=Settings!$C$13,"None",MID(IF(AND(G521&lt;&gt;"Accepted",G521&lt;&gt;"Not Needed",Settings!$C$15="Yes"),", "&amp;G$1,"")&amp;IF(AND(H521&lt;&gt;"Accepted",H521&lt;&gt;"Not Needed",Settings!$D$15="Yes"),", "&amp;H$1,"")&amp;IF(AND(I521&lt;&gt;"Accepted",I521&lt;&gt;"Not Needed",Settings!$E$15="Yes"),", "&amp;I$1,"")&amp;IF(AND(J521&lt;&gt;"Accepted",J521&lt;&gt;"Not Needed",Settings!$F$15="Yes"),", "&amp;J$1,"")&amp;IF(AND(K521&lt;&gt;"Accepted",K521&lt;&gt;"Not Needed",Settings!$G$15="Yes"),", "&amp;K$1,"")&amp;IF(AND(L521&lt;&gt;"Accepted",L521&lt;&gt;"Not Needed",Settings!$H$15="Yes"),", "&amp;L$1,"")&amp;IF(AND(M521&lt;&gt;"Accepted",M521&lt;&gt;"Not Needed",Settings!$I$15="Yes"),", "&amp;M$1,"")&amp;IF(AND(N521&lt;&gt;"Accepted",N521&lt;&gt;"Not Needed",Settings!$J$15="Yes"),", "&amp;N$1,""),3,400))))</f>
        <v/>
      </c>
    </row>
    <row r="522" ht="15" customHeight="1" s="21">
      <c r="A522" s="31" t="n"/>
      <c r="B522" s="31" t="n"/>
      <c r="C522" s="31" t="n"/>
      <c r="D522" s="31" t="n"/>
      <c r="E522" s="31" t="n"/>
      <c r="F522" s="31" t="n"/>
      <c r="G522" s="31" t="n"/>
      <c r="H522" s="31" t="n"/>
      <c r="I522" s="31" t="n"/>
      <c r="J522" s="31" t="n"/>
      <c r="K522" s="31" t="n"/>
      <c r="L522" s="31" t="n"/>
      <c r="M522" s="31" t="n"/>
      <c r="N522" s="31" t="n"/>
      <c r="O522" s="32">
        <f>IF($B522="","",COUNTIF(G522:N522,"Accepted")+COUNTIF(G522:N522,"Received")+COUNTIF(G522:N522,"Needs Correction"))</f>
        <v/>
      </c>
      <c r="P522" s="32">
        <f>IF($B522="","",SUMPRODUCT(((G522:N522="Accepted")+(G522:N522="Not Needed"))*(Settings!$C$11:$J$11="Yes")))</f>
        <v/>
      </c>
      <c r="Q522" s="32">
        <f>IF($B522="","",SUMPRODUCT(((G522:N522="Accepted")+(G522:N522="Not Needed"))*(Settings!$C$15:$J$15="Yes")))</f>
        <v/>
      </c>
      <c r="R522" s="33">
        <f>IF($B522="","",IF($D522="No","No PTO/PTA",IF($D522&lt;&gt;"Yes","Not Yet Confirmed",IF($Q522&gt;=Settings!$C$13,"Legalized",IF($P522&gt;=Settings!$C$12,"Registered",IF($O522&gt;0,"In Progress","Not Started"))))))</f>
        <v/>
      </c>
      <c r="S522" s="32">
        <f>IF($B522="","",COUNTIF(G522:N522,"Received"))</f>
        <v/>
      </c>
      <c r="T522" s="32">
        <f>IF($B522="","",COUNTIF(G522:N522,"Needs Correction"))</f>
        <v/>
      </c>
      <c r="U522" s="33">
        <f>IF($B522="","",IF($D522&lt;&gt;"Yes","",IF($Q522&gt;=Settings!$C$13,"None",MID(IF(AND(G522&lt;&gt;"Accepted",G522&lt;&gt;"Not Needed",Settings!$C$15="Yes"),", "&amp;G$1,"")&amp;IF(AND(H522&lt;&gt;"Accepted",H522&lt;&gt;"Not Needed",Settings!$D$15="Yes"),", "&amp;H$1,"")&amp;IF(AND(I522&lt;&gt;"Accepted",I522&lt;&gt;"Not Needed",Settings!$E$15="Yes"),", "&amp;I$1,"")&amp;IF(AND(J522&lt;&gt;"Accepted",J522&lt;&gt;"Not Needed",Settings!$F$15="Yes"),", "&amp;J$1,"")&amp;IF(AND(K522&lt;&gt;"Accepted",K522&lt;&gt;"Not Needed",Settings!$G$15="Yes"),", "&amp;K$1,"")&amp;IF(AND(L522&lt;&gt;"Accepted",L522&lt;&gt;"Not Needed",Settings!$H$15="Yes"),", "&amp;L$1,"")&amp;IF(AND(M522&lt;&gt;"Accepted",M522&lt;&gt;"Not Needed",Settings!$I$15="Yes"),", "&amp;M$1,"")&amp;IF(AND(N522&lt;&gt;"Accepted",N522&lt;&gt;"Not Needed",Settings!$J$15="Yes"),", "&amp;N$1,""),3,400))))</f>
        <v/>
      </c>
    </row>
    <row r="523" ht="15" customHeight="1" s="21">
      <c r="A523" s="31" t="n"/>
      <c r="B523" s="31" t="n"/>
      <c r="C523" s="31" t="n"/>
      <c r="D523" s="31" t="n"/>
      <c r="E523" s="31" t="n"/>
      <c r="F523" s="31" t="n"/>
      <c r="G523" s="31" t="n"/>
      <c r="H523" s="31" t="n"/>
      <c r="I523" s="31" t="n"/>
      <c r="J523" s="31" t="n"/>
      <c r="K523" s="31" t="n"/>
      <c r="L523" s="31" t="n"/>
      <c r="M523" s="31" t="n"/>
      <c r="N523" s="31" t="n"/>
      <c r="O523" s="32">
        <f>IF($B523="","",COUNTIF(G523:N523,"Accepted")+COUNTIF(G523:N523,"Received")+COUNTIF(G523:N523,"Needs Correction"))</f>
        <v/>
      </c>
      <c r="P523" s="32">
        <f>IF($B523="","",SUMPRODUCT(((G523:N523="Accepted")+(G523:N523="Not Needed"))*(Settings!$C$11:$J$11="Yes")))</f>
        <v/>
      </c>
      <c r="Q523" s="32">
        <f>IF($B523="","",SUMPRODUCT(((G523:N523="Accepted")+(G523:N523="Not Needed"))*(Settings!$C$15:$J$15="Yes")))</f>
        <v/>
      </c>
      <c r="R523" s="33">
        <f>IF($B523="","",IF($D523="No","No PTO/PTA",IF($D523&lt;&gt;"Yes","Not Yet Confirmed",IF($Q523&gt;=Settings!$C$13,"Legalized",IF($P523&gt;=Settings!$C$12,"Registered",IF($O523&gt;0,"In Progress","Not Started"))))))</f>
        <v/>
      </c>
      <c r="S523" s="32">
        <f>IF($B523="","",COUNTIF(G523:N523,"Received"))</f>
        <v/>
      </c>
      <c r="T523" s="32">
        <f>IF($B523="","",COUNTIF(G523:N523,"Needs Correction"))</f>
        <v/>
      </c>
      <c r="U523" s="33">
        <f>IF($B523="","",IF($D523&lt;&gt;"Yes","",IF($Q523&gt;=Settings!$C$13,"None",MID(IF(AND(G523&lt;&gt;"Accepted",G523&lt;&gt;"Not Needed",Settings!$C$15="Yes"),", "&amp;G$1,"")&amp;IF(AND(H523&lt;&gt;"Accepted",H523&lt;&gt;"Not Needed",Settings!$D$15="Yes"),", "&amp;H$1,"")&amp;IF(AND(I523&lt;&gt;"Accepted",I523&lt;&gt;"Not Needed",Settings!$E$15="Yes"),", "&amp;I$1,"")&amp;IF(AND(J523&lt;&gt;"Accepted",J523&lt;&gt;"Not Needed",Settings!$F$15="Yes"),", "&amp;J$1,"")&amp;IF(AND(K523&lt;&gt;"Accepted",K523&lt;&gt;"Not Needed",Settings!$G$15="Yes"),", "&amp;K$1,"")&amp;IF(AND(L523&lt;&gt;"Accepted",L523&lt;&gt;"Not Needed",Settings!$H$15="Yes"),", "&amp;L$1,"")&amp;IF(AND(M523&lt;&gt;"Accepted",M523&lt;&gt;"Not Needed",Settings!$I$15="Yes"),", "&amp;M$1,"")&amp;IF(AND(N523&lt;&gt;"Accepted",N523&lt;&gt;"Not Needed",Settings!$J$15="Yes"),", "&amp;N$1,""),3,400))))</f>
        <v/>
      </c>
    </row>
    <row r="524" ht="15" customHeight="1" s="21">
      <c r="A524" s="31" t="n"/>
      <c r="B524" s="31" t="n"/>
      <c r="C524" s="31" t="n"/>
      <c r="D524" s="31" t="n"/>
      <c r="E524" s="31" t="n"/>
      <c r="F524" s="31" t="n"/>
      <c r="G524" s="31" t="n"/>
      <c r="H524" s="31" t="n"/>
      <c r="I524" s="31" t="n"/>
      <c r="J524" s="31" t="n"/>
      <c r="K524" s="31" t="n"/>
      <c r="L524" s="31" t="n"/>
      <c r="M524" s="31" t="n"/>
      <c r="N524" s="31" t="n"/>
      <c r="O524" s="32">
        <f>IF($B524="","",COUNTIF(G524:N524,"Accepted")+COUNTIF(G524:N524,"Received")+COUNTIF(G524:N524,"Needs Correction"))</f>
        <v/>
      </c>
      <c r="P524" s="32">
        <f>IF($B524="","",SUMPRODUCT(((G524:N524="Accepted")+(G524:N524="Not Needed"))*(Settings!$C$11:$J$11="Yes")))</f>
        <v/>
      </c>
      <c r="Q524" s="32">
        <f>IF($B524="","",SUMPRODUCT(((G524:N524="Accepted")+(G524:N524="Not Needed"))*(Settings!$C$15:$J$15="Yes")))</f>
        <v/>
      </c>
      <c r="R524" s="33">
        <f>IF($B524="","",IF($D524="No","No PTO/PTA",IF($D524&lt;&gt;"Yes","Not Yet Confirmed",IF($Q524&gt;=Settings!$C$13,"Legalized",IF($P524&gt;=Settings!$C$12,"Registered",IF($O524&gt;0,"In Progress","Not Started"))))))</f>
        <v/>
      </c>
      <c r="S524" s="32">
        <f>IF($B524="","",COUNTIF(G524:N524,"Received"))</f>
        <v/>
      </c>
      <c r="T524" s="32">
        <f>IF($B524="","",COUNTIF(G524:N524,"Needs Correction"))</f>
        <v/>
      </c>
      <c r="U524" s="33">
        <f>IF($B524="","",IF($D524&lt;&gt;"Yes","",IF($Q524&gt;=Settings!$C$13,"None",MID(IF(AND(G524&lt;&gt;"Accepted",G524&lt;&gt;"Not Needed",Settings!$C$15="Yes"),", "&amp;G$1,"")&amp;IF(AND(H524&lt;&gt;"Accepted",H524&lt;&gt;"Not Needed",Settings!$D$15="Yes"),", "&amp;H$1,"")&amp;IF(AND(I524&lt;&gt;"Accepted",I524&lt;&gt;"Not Needed",Settings!$E$15="Yes"),", "&amp;I$1,"")&amp;IF(AND(J524&lt;&gt;"Accepted",J524&lt;&gt;"Not Needed",Settings!$F$15="Yes"),", "&amp;J$1,"")&amp;IF(AND(K524&lt;&gt;"Accepted",K524&lt;&gt;"Not Needed",Settings!$G$15="Yes"),", "&amp;K$1,"")&amp;IF(AND(L524&lt;&gt;"Accepted",L524&lt;&gt;"Not Needed",Settings!$H$15="Yes"),", "&amp;L$1,"")&amp;IF(AND(M524&lt;&gt;"Accepted",M524&lt;&gt;"Not Needed",Settings!$I$15="Yes"),", "&amp;M$1,"")&amp;IF(AND(N524&lt;&gt;"Accepted",N524&lt;&gt;"Not Needed",Settings!$J$15="Yes"),", "&amp;N$1,""),3,400))))</f>
        <v/>
      </c>
    </row>
    <row r="525" ht="15" customHeight="1" s="21">
      <c r="A525" s="31" t="n"/>
      <c r="B525" s="31" t="n"/>
      <c r="C525" s="31" t="n"/>
      <c r="D525" s="31" t="n"/>
      <c r="E525" s="31" t="n"/>
      <c r="F525" s="31" t="n"/>
      <c r="G525" s="31" t="n"/>
      <c r="H525" s="31" t="n"/>
      <c r="I525" s="31" t="n"/>
      <c r="J525" s="31" t="n"/>
      <c r="K525" s="31" t="n"/>
      <c r="L525" s="31" t="n"/>
      <c r="M525" s="31" t="n"/>
      <c r="N525" s="31" t="n"/>
      <c r="O525" s="32">
        <f>IF($B525="","",COUNTIF(G525:N525,"Accepted")+COUNTIF(G525:N525,"Received")+COUNTIF(G525:N525,"Needs Correction"))</f>
        <v/>
      </c>
      <c r="P525" s="32">
        <f>IF($B525="","",SUMPRODUCT(((G525:N525="Accepted")+(G525:N525="Not Needed"))*(Settings!$C$11:$J$11="Yes")))</f>
        <v/>
      </c>
      <c r="Q525" s="32">
        <f>IF($B525="","",SUMPRODUCT(((G525:N525="Accepted")+(G525:N525="Not Needed"))*(Settings!$C$15:$J$15="Yes")))</f>
        <v/>
      </c>
      <c r="R525" s="33">
        <f>IF($B525="","",IF($D525="No","No PTO/PTA",IF($D525&lt;&gt;"Yes","Not Yet Confirmed",IF($Q525&gt;=Settings!$C$13,"Legalized",IF($P525&gt;=Settings!$C$12,"Registered",IF($O525&gt;0,"In Progress","Not Started"))))))</f>
        <v/>
      </c>
      <c r="S525" s="32">
        <f>IF($B525="","",COUNTIF(G525:N525,"Received"))</f>
        <v/>
      </c>
      <c r="T525" s="32">
        <f>IF($B525="","",COUNTIF(G525:N525,"Needs Correction"))</f>
        <v/>
      </c>
      <c r="U525" s="33">
        <f>IF($B525="","",IF($D525&lt;&gt;"Yes","",IF($Q525&gt;=Settings!$C$13,"None",MID(IF(AND(G525&lt;&gt;"Accepted",G525&lt;&gt;"Not Needed",Settings!$C$15="Yes"),", "&amp;G$1,"")&amp;IF(AND(H525&lt;&gt;"Accepted",H525&lt;&gt;"Not Needed",Settings!$D$15="Yes"),", "&amp;H$1,"")&amp;IF(AND(I525&lt;&gt;"Accepted",I525&lt;&gt;"Not Needed",Settings!$E$15="Yes"),", "&amp;I$1,"")&amp;IF(AND(J525&lt;&gt;"Accepted",J525&lt;&gt;"Not Needed",Settings!$F$15="Yes"),", "&amp;J$1,"")&amp;IF(AND(K525&lt;&gt;"Accepted",K525&lt;&gt;"Not Needed",Settings!$G$15="Yes"),", "&amp;K$1,"")&amp;IF(AND(L525&lt;&gt;"Accepted",L525&lt;&gt;"Not Needed",Settings!$H$15="Yes"),", "&amp;L$1,"")&amp;IF(AND(M525&lt;&gt;"Accepted",M525&lt;&gt;"Not Needed",Settings!$I$15="Yes"),", "&amp;M$1,"")&amp;IF(AND(N525&lt;&gt;"Accepted",N525&lt;&gt;"Not Needed",Settings!$J$15="Yes"),", "&amp;N$1,""),3,400))))</f>
        <v/>
      </c>
    </row>
    <row r="526" ht="15" customHeight="1" s="21">
      <c r="A526" s="31" t="n"/>
      <c r="B526" s="31" t="n"/>
      <c r="C526" s="31" t="n"/>
      <c r="D526" s="31" t="n"/>
      <c r="E526" s="31" t="n"/>
      <c r="F526" s="31" t="n"/>
      <c r="G526" s="31" t="n"/>
      <c r="H526" s="31" t="n"/>
      <c r="I526" s="31" t="n"/>
      <c r="J526" s="31" t="n"/>
      <c r="K526" s="31" t="n"/>
      <c r="L526" s="31" t="n"/>
      <c r="M526" s="31" t="n"/>
      <c r="N526" s="31" t="n"/>
      <c r="O526" s="32">
        <f>IF($B526="","",COUNTIF(G526:N526,"Accepted")+COUNTIF(G526:N526,"Received")+COUNTIF(G526:N526,"Needs Correction"))</f>
        <v/>
      </c>
      <c r="P526" s="32">
        <f>IF($B526="","",SUMPRODUCT(((G526:N526="Accepted")+(G526:N526="Not Needed"))*(Settings!$C$11:$J$11="Yes")))</f>
        <v/>
      </c>
      <c r="Q526" s="32">
        <f>IF($B526="","",SUMPRODUCT(((G526:N526="Accepted")+(G526:N526="Not Needed"))*(Settings!$C$15:$J$15="Yes")))</f>
        <v/>
      </c>
      <c r="R526" s="33">
        <f>IF($B526="","",IF($D526="No","No PTO/PTA",IF($D526&lt;&gt;"Yes","Not Yet Confirmed",IF($Q526&gt;=Settings!$C$13,"Legalized",IF($P526&gt;=Settings!$C$12,"Registered",IF($O526&gt;0,"In Progress","Not Started"))))))</f>
        <v/>
      </c>
      <c r="S526" s="32">
        <f>IF($B526="","",COUNTIF(G526:N526,"Received"))</f>
        <v/>
      </c>
      <c r="T526" s="32">
        <f>IF($B526="","",COUNTIF(G526:N526,"Needs Correction"))</f>
        <v/>
      </c>
      <c r="U526" s="33">
        <f>IF($B526="","",IF($D526&lt;&gt;"Yes","",IF($Q526&gt;=Settings!$C$13,"None",MID(IF(AND(G526&lt;&gt;"Accepted",G526&lt;&gt;"Not Needed",Settings!$C$15="Yes"),", "&amp;G$1,"")&amp;IF(AND(H526&lt;&gt;"Accepted",H526&lt;&gt;"Not Needed",Settings!$D$15="Yes"),", "&amp;H$1,"")&amp;IF(AND(I526&lt;&gt;"Accepted",I526&lt;&gt;"Not Needed",Settings!$E$15="Yes"),", "&amp;I$1,"")&amp;IF(AND(J526&lt;&gt;"Accepted",J526&lt;&gt;"Not Needed",Settings!$F$15="Yes"),", "&amp;J$1,"")&amp;IF(AND(K526&lt;&gt;"Accepted",K526&lt;&gt;"Not Needed",Settings!$G$15="Yes"),", "&amp;K$1,"")&amp;IF(AND(L526&lt;&gt;"Accepted",L526&lt;&gt;"Not Needed",Settings!$H$15="Yes"),", "&amp;L$1,"")&amp;IF(AND(M526&lt;&gt;"Accepted",M526&lt;&gt;"Not Needed",Settings!$I$15="Yes"),", "&amp;M$1,"")&amp;IF(AND(N526&lt;&gt;"Accepted",N526&lt;&gt;"Not Needed",Settings!$J$15="Yes"),", "&amp;N$1,""),3,400))))</f>
        <v/>
      </c>
    </row>
    <row r="527" ht="15" customHeight="1" s="21">
      <c r="A527" s="31" t="n"/>
      <c r="B527" s="31" t="n"/>
      <c r="C527" s="31" t="n"/>
      <c r="D527" s="31" t="n"/>
      <c r="E527" s="31" t="n"/>
      <c r="F527" s="31" t="n"/>
      <c r="G527" s="31" t="n"/>
      <c r="H527" s="31" t="n"/>
      <c r="I527" s="31" t="n"/>
      <c r="J527" s="31" t="n"/>
      <c r="K527" s="31" t="n"/>
      <c r="L527" s="31" t="n"/>
      <c r="M527" s="31" t="n"/>
      <c r="N527" s="31" t="n"/>
      <c r="O527" s="32">
        <f>IF($B527="","",COUNTIF(G527:N527,"Accepted")+COUNTIF(G527:N527,"Received")+COUNTIF(G527:N527,"Needs Correction"))</f>
        <v/>
      </c>
      <c r="P527" s="32">
        <f>IF($B527="","",SUMPRODUCT(((G527:N527="Accepted")+(G527:N527="Not Needed"))*(Settings!$C$11:$J$11="Yes")))</f>
        <v/>
      </c>
      <c r="Q527" s="32">
        <f>IF($B527="","",SUMPRODUCT(((G527:N527="Accepted")+(G527:N527="Not Needed"))*(Settings!$C$15:$J$15="Yes")))</f>
        <v/>
      </c>
      <c r="R527" s="33">
        <f>IF($B527="","",IF($D527="No","No PTO/PTA",IF($D527&lt;&gt;"Yes","Not Yet Confirmed",IF($Q527&gt;=Settings!$C$13,"Legalized",IF($P527&gt;=Settings!$C$12,"Registered",IF($O527&gt;0,"In Progress","Not Started"))))))</f>
        <v/>
      </c>
      <c r="S527" s="32">
        <f>IF($B527="","",COUNTIF(G527:N527,"Received"))</f>
        <v/>
      </c>
      <c r="T527" s="32">
        <f>IF($B527="","",COUNTIF(G527:N527,"Needs Correction"))</f>
        <v/>
      </c>
      <c r="U527" s="33">
        <f>IF($B527="","",IF($D527&lt;&gt;"Yes","",IF($Q527&gt;=Settings!$C$13,"None",MID(IF(AND(G527&lt;&gt;"Accepted",G527&lt;&gt;"Not Needed",Settings!$C$15="Yes"),", "&amp;G$1,"")&amp;IF(AND(H527&lt;&gt;"Accepted",H527&lt;&gt;"Not Needed",Settings!$D$15="Yes"),", "&amp;H$1,"")&amp;IF(AND(I527&lt;&gt;"Accepted",I527&lt;&gt;"Not Needed",Settings!$E$15="Yes"),", "&amp;I$1,"")&amp;IF(AND(J527&lt;&gt;"Accepted",J527&lt;&gt;"Not Needed",Settings!$F$15="Yes"),", "&amp;J$1,"")&amp;IF(AND(K527&lt;&gt;"Accepted",K527&lt;&gt;"Not Needed",Settings!$G$15="Yes"),", "&amp;K$1,"")&amp;IF(AND(L527&lt;&gt;"Accepted",L527&lt;&gt;"Not Needed",Settings!$H$15="Yes"),", "&amp;L$1,"")&amp;IF(AND(M527&lt;&gt;"Accepted",M527&lt;&gt;"Not Needed",Settings!$I$15="Yes"),", "&amp;M$1,"")&amp;IF(AND(N527&lt;&gt;"Accepted",N527&lt;&gt;"Not Needed",Settings!$J$15="Yes"),", "&amp;N$1,""),3,400))))</f>
        <v/>
      </c>
    </row>
    <row r="528" ht="15" customHeight="1" s="21">
      <c r="A528" s="31" t="n"/>
      <c r="B528" s="31" t="n"/>
      <c r="C528" s="31" t="n"/>
      <c r="D528" s="31" t="n"/>
      <c r="E528" s="31" t="n"/>
      <c r="F528" s="31" t="n"/>
      <c r="G528" s="31" t="n"/>
      <c r="H528" s="31" t="n"/>
      <c r="I528" s="31" t="n"/>
      <c r="J528" s="31" t="n"/>
      <c r="K528" s="31" t="n"/>
      <c r="L528" s="31" t="n"/>
      <c r="M528" s="31" t="n"/>
      <c r="N528" s="31" t="n"/>
      <c r="O528" s="32">
        <f>IF($B528="","",COUNTIF(G528:N528,"Accepted")+COUNTIF(G528:N528,"Received")+COUNTIF(G528:N528,"Needs Correction"))</f>
        <v/>
      </c>
      <c r="P528" s="32">
        <f>IF($B528="","",SUMPRODUCT(((G528:N528="Accepted")+(G528:N528="Not Needed"))*(Settings!$C$11:$J$11="Yes")))</f>
        <v/>
      </c>
      <c r="Q528" s="32">
        <f>IF($B528="","",SUMPRODUCT(((G528:N528="Accepted")+(G528:N528="Not Needed"))*(Settings!$C$15:$J$15="Yes")))</f>
        <v/>
      </c>
      <c r="R528" s="33">
        <f>IF($B528="","",IF($D528="No","No PTO/PTA",IF($D528&lt;&gt;"Yes","Not Yet Confirmed",IF($Q528&gt;=Settings!$C$13,"Legalized",IF($P528&gt;=Settings!$C$12,"Registered",IF($O528&gt;0,"In Progress","Not Started"))))))</f>
        <v/>
      </c>
      <c r="S528" s="32">
        <f>IF($B528="","",COUNTIF(G528:N528,"Received"))</f>
        <v/>
      </c>
      <c r="T528" s="32">
        <f>IF($B528="","",COUNTIF(G528:N528,"Needs Correction"))</f>
        <v/>
      </c>
      <c r="U528" s="33">
        <f>IF($B528="","",IF($D528&lt;&gt;"Yes","",IF($Q528&gt;=Settings!$C$13,"None",MID(IF(AND(G528&lt;&gt;"Accepted",G528&lt;&gt;"Not Needed",Settings!$C$15="Yes"),", "&amp;G$1,"")&amp;IF(AND(H528&lt;&gt;"Accepted",H528&lt;&gt;"Not Needed",Settings!$D$15="Yes"),", "&amp;H$1,"")&amp;IF(AND(I528&lt;&gt;"Accepted",I528&lt;&gt;"Not Needed",Settings!$E$15="Yes"),", "&amp;I$1,"")&amp;IF(AND(J528&lt;&gt;"Accepted",J528&lt;&gt;"Not Needed",Settings!$F$15="Yes"),", "&amp;J$1,"")&amp;IF(AND(K528&lt;&gt;"Accepted",K528&lt;&gt;"Not Needed",Settings!$G$15="Yes"),", "&amp;K$1,"")&amp;IF(AND(L528&lt;&gt;"Accepted",L528&lt;&gt;"Not Needed",Settings!$H$15="Yes"),", "&amp;L$1,"")&amp;IF(AND(M528&lt;&gt;"Accepted",M528&lt;&gt;"Not Needed",Settings!$I$15="Yes"),", "&amp;M$1,"")&amp;IF(AND(N528&lt;&gt;"Accepted",N528&lt;&gt;"Not Needed",Settings!$J$15="Yes"),", "&amp;N$1,""),3,400))))</f>
        <v/>
      </c>
    </row>
    <row r="529" ht="15" customHeight="1" s="21">
      <c r="A529" s="31" t="n"/>
      <c r="B529" s="31" t="n"/>
      <c r="C529" s="31" t="n"/>
      <c r="D529" s="31" t="n"/>
      <c r="E529" s="31" t="n"/>
      <c r="F529" s="31" t="n"/>
      <c r="G529" s="31" t="n"/>
      <c r="H529" s="31" t="n"/>
      <c r="I529" s="31" t="n"/>
      <c r="J529" s="31" t="n"/>
      <c r="K529" s="31" t="n"/>
      <c r="L529" s="31" t="n"/>
      <c r="M529" s="31" t="n"/>
      <c r="N529" s="31" t="n"/>
      <c r="O529" s="32">
        <f>IF($B529="","",COUNTIF(G529:N529,"Accepted")+COUNTIF(G529:N529,"Received")+COUNTIF(G529:N529,"Needs Correction"))</f>
        <v/>
      </c>
      <c r="P529" s="32">
        <f>IF($B529="","",SUMPRODUCT(((G529:N529="Accepted")+(G529:N529="Not Needed"))*(Settings!$C$11:$J$11="Yes")))</f>
        <v/>
      </c>
      <c r="Q529" s="32">
        <f>IF($B529="","",SUMPRODUCT(((G529:N529="Accepted")+(G529:N529="Not Needed"))*(Settings!$C$15:$J$15="Yes")))</f>
        <v/>
      </c>
      <c r="R529" s="33">
        <f>IF($B529="","",IF($D529="No","No PTO/PTA",IF($D529&lt;&gt;"Yes","Not Yet Confirmed",IF($Q529&gt;=Settings!$C$13,"Legalized",IF($P529&gt;=Settings!$C$12,"Registered",IF($O529&gt;0,"In Progress","Not Started"))))))</f>
        <v/>
      </c>
      <c r="S529" s="32">
        <f>IF($B529="","",COUNTIF(G529:N529,"Received"))</f>
        <v/>
      </c>
      <c r="T529" s="32">
        <f>IF($B529="","",COUNTIF(G529:N529,"Needs Correction"))</f>
        <v/>
      </c>
      <c r="U529" s="33">
        <f>IF($B529="","",IF($D529&lt;&gt;"Yes","",IF($Q529&gt;=Settings!$C$13,"None",MID(IF(AND(G529&lt;&gt;"Accepted",G529&lt;&gt;"Not Needed",Settings!$C$15="Yes"),", "&amp;G$1,"")&amp;IF(AND(H529&lt;&gt;"Accepted",H529&lt;&gt;"Not Needed",Settings!$D$15="Yes"),", "&amp;H$1,"")&amp;IF(AND(I529&lt;&gt;"Accepted",I529&lt;&gt;"Not Needed",Settings!$E$15="Yes"),", "&amp;I$1,"")&amp;IF(AND(J529&lt;&gt;"Accepted",J529&lt;&gt;"Not Needed",Settings!$F$15="Yes"),", "&amp;J$1,"")&amp;IF(AND(K529&lt;&gt;"Accepted",K529&lt;&gt;"Not Needed",Settings!$G$15="Yes"),", "&amp;K$1,"")&amp;IF(AND(L529&lt;&gt;"Accepted",L529&lt;&gt;"Not Needed",Settings!$H$15="Yes"),", "&amp;L$1,"")&amp;IF(AND(M529&lt;&gt;"Accepted",M529&lt;&gt;"Not Needed",Settings!$I$15="Yes"),", "&amp;M$1,"")&amp;IF(AND(N529&lt;&gt;"Accepted",N529&lt;&gt;"Not Needed",Settings!$J$15="Yes"),", "&amp;N$1,""),3,400))))</f>
        <v/>
      </c>
    </row>
    <row r="530" ht="15" customHeight="1" s="21">
      <c r="A530" s="31" t="n"/>
      <c r="B530" s="31" t="n"/>
      <c r="C530" s="31" t="n"/>
      <c r="D530" s="31" t="n"/>
      <c r="E530" s="31" t="n"/>
      <c r="F530" s="31" t="n"/>
      <c r="G530" s="31" t="n"/>
      <c r="H530" s="31" t="n"/>
      <c r="I530" s="31" t="n"/>
      <c r="J530" s="31" t="n"/>
      <c r="K530" s="31" t="n"/>
      <c r="L530" s="31" t="n"/>
      <c r="M530" s="31" t="n"/>
      <c r="N530" s="31" t="n"/>
      <c r="O530" s="32">
        <f>IF($B530="","",COUNTIF(G530:N530,"Accepted")+COUNTIF(G530:N530,"Received")+COUNTIF(G530:N530,"Needs Correction"))</f>
        <v/>
      </c>
      <c r="P530" s="32">
        <f>IF($B530="","",SUMPRODUCT(((G530:N530="Accepted")+(G530:N530="Not Needed"))*(Settings!$C$11:$J$11="Yes")))</f>
        <v/>
      </c>
      <c r="Q530" s="32">
        <f>IF($B530="","",SUMPRODUCT(((G530:N530="Accepted")+(G530:N530="Not Needed"))*(Settings!$C$15:$J$15="Yes")))</f>
        <v/>
      </c>
      <c r="R530" s="33">
        <f>IF($B530="","",IF($D530="No","No PTO/PTA",IF($D530&lt;&gt;"Yes","Not Yet Confirmed",IF($Q530&gt;=Settings!$C$13,"Legalized",IF($P530&gt;=Settings!$C$12,"Registered",IF($O530&gt;0,"In Progress","Not Started"))))))</f>
        <v/>
      </c>
      <c r="S530" s="32">
        <f>IF($B530="","",COUNTIF(G530:N530,"Received"))</f>
        <v/>
      </c>
      <c r="T530" s="32">
        <f>IF($B530="","",COUNTIF(G530:N530,"Needs Correction"))</f>
        <v/>
      </c>
      <c r="U530" s="33">
        <f>IF($B530="","",IF($D530&lt;&gt;"Yes","",IF($Q530&gt;=Settings!$C$13,"None",MID(IF(AND(G530&lt;&gt;"Accepted",G530&lt;&gt;"Not Needed",Settings!$C$15="Yes"),", "&amp;G$1,"")&amp;IF(AND(H530&lt;&gt;"Accepted",H530&lt;&gt;"Not Needed",Settings!$D$15="Yes"),", "&amp;H$1,"")&amp;IF(AND(I530&lt;&gt;"Accepted",I530&lt;&gt;"Not Needed",Settings!$E$15="Yes"),", "&amp;I$1,"")&amp;IF(AND(J530&lt;&gt;"Accepted",J530&lt;&gt;"Not Needed",Settings!$F$15="Yes"),", "&amp;J$1,"")&amp;IF(AND(K530&lt;&gt;"Accepted",K530&lt;&gt;"Not Needed",Settings!$G$15="Yes"),", "&amp;K$1,"")&amp;IF(AND(L530&lt;&gt;"Accepted",L530&lt;&gt;"Not Needed",Settings!$H$15="Yes"),", "&amp;L$1,"")&amp;IF(AND(M530&lt;&gt;"Accepted",M530&lt;&gt;"Not Needed",Settings!$I$15="Yes"),", "&amp;M$1,"")&amp;IF(AND(N530&lt;&gt;"Accepted",N530&lt;&gt;"Not Needed",Settings!$J$15="Yes"),", "&amp;N$1,""),3,400))))</f>
        <v/>
      </c>
    </row>
    <row r="531" ht="15" customHeight="1" s="21">
      <c r="A531" s="31" t="n"/>
      <c r="B531" s="31" t="n"/>
      <c r="C531" s="31" t="n"/>
      <c r="D531" s="31" t="n"/>
      <c r="E531" s="31" t="n"/>
      <c r="F531" s="31" t="n"/>
      <c r="G531" s="31" t="n"/>
      <c r="H531" s="31" t="n"/>
      <c r="I531" s="31" t="n"/>
      <c r="J531" s="31" t="n"/>
      <c r="K531" s="31" t="n"/>
      <c r="L531" s="31" t="n"/>
      <c r="M531" s="31" t="n"/>
      <c r="N531" s="31" t="n"/>
      <c r="O531" s="32">
        <f>IF($B531="","",COUNTIF(G531:N531,"Accepted")+COUNTIF(G531:N531,"Received")+COUNTIF(G531:N531,"Needs Correction"))</f>
        <v/>
      </c>
      <c r="P531" s="32">
        <f>IF($B531="","",SUMPRODUCT(((G531:N531="Accepted")+(G531:N531="Not Needed"))*(Settings!$C$11:$J$11="Yes")))</f>
        <v/>
      </c>
      <c r="Q531" s="32">
        <f>IF($B531="","",SUMPRODUCT(((G531:N531="Accepted")+(G531:N531="Not Needed"))*(Settings!$C$15:$J$15="Yes")))</f>
        <v/>
      </c>
      <c r="R531" s="33">
        <f>IF($B531="","",IF($D531="No","No PTO/PTA",IF($D531&lt;&gt;"Yes","Not Yet Confirmed",IF($Q531&gt;=Settings!$C$13,"Legalized",IF($P531&gt;=Settings!$C$12,"Registered",IF($O531&gt;0,"In Progress","Not Started"))))))</f>
        <v/>
      </c>
      <c r="S531" s="32">
        <f>IF($B531="","",COUNTIF(G531:N531,"Received"))</f>
        <v/>
      </c>
      <c r="T531" s="32">
        <f>IF($B531="","",COUNTIF(G531:N531,"Needs Correction"))</f>
        <v/>
      </c>
      <c r="U531" s="33">
        <f>IF($B531="","",IF($D531&lt;&gt;"Yes","",IF($Q531&gt;=Settings!$C$13,"None",MID(IF(AND(G531&lt;&gt;"Accepted",G531&lt;&gt;"Not Needed",Settings!$C$15="Yes"),", "&amp;G$1,"")&amp;IF(AND(H531&lt;&gt;"Accepted",H531&lt;&gt;"Not Needed",Settings!$D$15="Yes"),", "&amp;H$1,"")&amp;IF(AND(I531&lt;&gt;"Accepted",I531&lt;&gt;"Not Needed",Settings!$E$15="Yes"),", "&amp;I$1,"")&amp;IF(AND(J531&lt;&gt;"Accepted",J531&lt;&gt;"Not Needed",Settings!$F$15="Yes"),", "&amp;J$1,"")&amp;IF(AND(K531&lt;&gt;"Accepted",K531&lt;&gt;"Not Needed",Settings!$G$15="Yes"),", "&amp;K$1,"")&amp;IF(AND(L531&lt;&gt;"Accepted",L531&lt;&gt;"Not Needed",Settings!$H$15="Yes"),", "&amp;L$1,"")&amp;IF(AND(M531&lt;&gt;"Accepted",M531&lt;&gt;"Not Needed",Settings!$I$15="Yes"),", "&amp;M$1,"")&amp;IF(AND(N531&lt;&gt;"Accepted",N531&lt;&gt;"Not Needed",Settings!$J$15="Yes"),", "&amp;N$1,""),3,400))))</f>
        <v/>
      </c>
    </row>
    <row r="532" ht="15" customHeight="1" s="21">
      <c r="A532" s="31" t="n"/>
      <c r="B532" s="31" t="n"/>
      <c r="C532" s="31" t="n"/>
      <c r="D532" s="31" t="n"/>
      <c r="E532" s="31" t="n"/>
      <c r="F532" s="31" t="n"/>
      <c r="G532" s="31" t="n"/>
      <c r="H532" s="31" t="n"/>
      <c r="I532" s="31" t="n"/>
      <c r="J532" s="31" t="n"/>
      <c r="K532" s="31" t="n"/>
      <c r="L532" s="31" t="n"/>
      <c r="M532" s="31" t="n"/>
      <c r="N532" s="31" t="n"/>
      <c r="O532" s="32">
        <f>IF($B532="","",COUNTIF(G532:N532,"Accepted")+COUNTIF(G532:N532,"Received")+COUNTIF(G532:N532,"Needs Correction"))</f>
        <v/>
      </c>
      <c r="P532" s="32">
        <f>IF($B532="","",SUMPRODUCT(((G532:N532="Accepted")+(G532:N532="Not Needed"))*(Settings!$C$11:$J$11="Yes")))</f>
        <v/>
      </c>
      <c r="Q532" s="32">
        <f>IF($B532="","",SUMPRODUCT(((G532:N532="Accepted")+(G532:N532="Not Needed"))*(Settings!$C$15:$J$15="Yes")))</f>
        <v/>
      </c>
      <c r="R532" s="33">
        <f>IF($B532="","",IF($D532="No","No PTO/PTA",IF($D532&lt;&gt;"Yes","Not Yet Confirmed",IF($Q532&gt;=Settings!$C$13,"Legalized",IF($P532&gt;=Settings!$C$12,"Registered",IF($O532&gt;0,"In Progress","Not Started"))))))</f>
        <v/>
      </c>
      <c r="S532" s="32">
        <f>IF($B532="","",COUNTIF(G532:N532,"Received"))</f>
        <v/>
      </c>
      <c r="T532" s="32">
        <f>IF($B532="","",COUNTIF(G532:N532,"Needs Correction"))</f>
        <v/>
      </c>
      <c r="U532" s="33">
        <f>IF($B532="","",IF($D532&lt;&gt;"Yes","",IF($Q532&gt;=Settings!$C$13,"None",MID(IF(AND(G532&lt;&gt;"Accepted",G532&lt;&gt;"Not Needed",Settings!$C$15="Yes"),", "&amp;G$1,"")&amp;IF(AND(H532&lt;&gt;"Accepted",H532&lt;&gt;"Not Needed",Settings!$D$15="Yes"),", "&amp;H$1,"")&amp;IF(AND(I532&lt;&gt;"Accepted",I532&lt;&gt;"Not Needed",Settings!$E$15="Yes"),", "&amp;I$1,"")&amp;IF(AND(J532&lt;&gt;"Accepted",J532&lt;&gt;"Not Needed",Settings!$F$15="Yes"),", "&amp;J$1,"")&amp;IF(AND(K532&lt;&gt;"Accepted",K532&lt;&gt;"Not Needed",Settings!$G$15="Yes"),", "&amp;K$1,"")&amp;IF(AND(L532&lt;&gt;"Accepted",L532&lt;&gt;"Not Needed",Settings!$H$15="Yes"),", "&amp;L$1,"")&amp;IF(AND(M532&lt;&gt;"Accepted",M532&lt;&gt;"Not Needed",Settings!$I$15="Yes"),", "&amp;M$1,"")&amp;IF(AND(N532&lt;&gt;"Accepted",N532&lt;&gt;"Not Needed",Settings!$J$15="Yes"),", "&amp;N$1,""),3,400))))</f>
        <v/>
      </c>
    </row>
    <row r="533" ht="15" customHeight="1" s="21">
      <c r="A533" s="31" t="n"/>
      <c r="B533" s="31" t="n"/>
      <c r="C533" s="31" t="n"/>
      <c r="D533" s="31" t="n"/>
      <c r="E533" s="31" t="n"/>
      <c r="F533" s="31" t="n"/>
      <c r="G533" s="31" t="n"/>
      <c r="H533" s="31" t="n"/>
      <c r="I533" s="31" t="n"/>
      <c r="J533" s="31" t="n"/>
      <c r="K533" s="31" t="n"/>
      <c r="L533" s="31" t="n"/>
      <c r="M533" s="31" t="n"/>
      <c r="N533" s="31" t="n"/>
      <c r="O533" s="32">
        <f>IF($B533="","",COUNTIF(G533:N533,"Accepted")+COUNTIF(G533:N533,"Received")+COUNTIF(G533:N533,"Needs Correction"))</f>
        <v/>
      </c>
      <c r="P533" s="32">
        <f>IF($B533="","",SUMPRODUCT(((G533:N533="Accepted")+(G533:N533="Not Needed"))*(Settings!$C$11:$J$11="Yes")))</f>
        <v/>
      </c>
      <c r="Q533" s="32">
        <f>IF($B533="","",SUMPRODUCT(((G533:N533="Accepted")+(G533:N533="Not Needed"))*(Settings!$C$15:$J$15="Yes")))</f>
        <v/>
      </c>
      <c r="R533" s="33">
        <f>IF($B533="","",IF($D533="No","No PTO/PTA",IF($D533&lt;&gt;"Yes","Not Yet Confirmed",IF($Q533&gt;=Settings!$C$13,"Legalized",IF($P533&gt;=Settings!$C$12,"Registered",IF($O533&gt;0,"In Progress","Not Started"))))))</f>
        <v/>
      </c>
      <c r="S533" s="32">
        <f>IF($B533="","",COUNTIF(G533:N533,"Received"))</f>
        <v/>
      </c>
      <c r="T533" s="32">
        <f>IF($B533="","",COUNTIF(G533:N533,"Needs Correction"))</f>
        <v/>
      </c>
      <c r="U533" s="33">
        <f>IF($B533="","",IF($D533&lt;&gt;"Yes","",IF($Q533&gt;=Settings!$C$13,"None",MID(IF(AND(G533&lt;&gt;"Accepted",G533&lt;&gt;"Not Needed",Settings!$C$15="Yes"),", "&amp;G$1,"")&amp;IF(AND(H533&lt;&gt;"Accepted",H533&lt;&gt;"Not Needed",Settings!$D$15="Yes"),", "&amp;H$1,"")&amp;IF(AND(I533&lt;&gt;"Accepted",I533&lt;&gt;"Not Needed",Settings!$E$15="Yes"),", "&amp;I$1,"")&amp;IF(AND(J533&lt;&gt;"Accepted",J533&lt;&gt;"Not Needed",Settings!$F$15="Yes"),", "&amp;J$1,"")&amp;IF(AND(K533&lt;&gt;"Accepted",K533&lt;&gt;"Not Needed",Settings!$G$15="Yes"),", "&amp;K$1,"")&amp;IF(AND(L533&lt;&gt;"Accepted",L533&lt;&gt;"Not Needed",Settings!$H$15="Yes"),", "&amp;L$1,"")&amp;IF(AND(M533&lt;&gt;"Accepted",M533&lt;&gt;"Not Needed",Settings!$I$15="Yes"),", "&amp;M$1,"")&amp;IF(AND(N533&lt;&gt;"Accepted",N533&lt;&gt;"Not Needed",Settings!$J$15="Yes"),", "&amp;N$1,""),3,400))))</f>
        <v/>
      </c>
    </row>
    <row r="534" ht="15" customHeight="1" s="21">
      <c r="A534" s="31" t="n"/>
      <c r="B534" s="31" t="n"/>
      <c r="C534" s="31" t="n"/>
      <c r="D534" s="31" t="n"/>
      <c r="E534" s="31" t="n"/>
      <c r="F534" s="31" t="n"/>
      <c r="G534" s="31" t="n"/>
      <c r="H534" s="31" t="n"/>
      <c r="I534" s="31" t="n"/>
      <c r="J534" s="31" t="n"/>
      <c r="K534" s="31" t="n"/>
      <c r="L534" s="31" t="n"/>
      <c r="M534" s="31" t="n"/>
      <c r="N534" s="31" t="n"/>
      <c r="O534" s="32">
        <f>IF($B534="","",COUNTIF(G534:N534,"Accepted")+COUNTIF(G534:N534,"Received")+COUNTIF(G534:N534,"Needs Correction"))</f>
        <v/>
      </c>
      <c r="P534" s="32">
        <f>IF($B534="","",SUMPRODUCT(((G534:N534="Accepted")+(G534:N534="Not Needed"))*(Settings!$C$11:$J$11="Yes")))</f>
        <v/>
      </c>
      <c r="Q534" s="32">
        <f>IF($B534="","",SUMPRODUCT(((G534:N534="Accepted")+(G534:N534="Not Needed"))*(Settings!$C$15:$J$15="Yes")))</f>
        <v/>
      </c>
      <c r="R534" s="33">
        <f>IF($B534="","",IF($D534="No","No PTO/PTA",IF($D534&lt;&gt;"Yes","Not Yet Confirmed",IF($Q534&gt;=Settings!$C$13,"Legalized",IF($P534&gt;=Settings!$C$12,"Registered",IF($O534&gt;0,"In Progress","Not Started"))))))</f>
        <v/>
      </c>
      <c r="S534" s="32">
        <f>IF($B534="","",COUNTIF(G534:N534,"Received"))</f>
        <v/>
      </c>
      <c r="T534" s="32">
        <f>IF($B534="","",COUNTIF(G534:N534,"Needs Correction"))</f>
        <v/>
      </c>
      <c r="U534" s="33">
        <f>IF($B534="","",IF($D534&lt;&gt;"Yes","",IF($Q534&gt;=Settings!$C$13,"None",MID(IF(AND(G534&lt;&gt;"Accepted",G534&lt;&gt;"Not Needed",Settings!$C$15="Yes"),", "&amp;G$1,"")&amp;IF(AND(H534&lt;&gt;"Accepted",H534&lt;&gt;"Not Needed",Settings!$D$15="Yes"),", "&amp;H$1,"")&amp;IF(AND(I534&lt;&gt;"Accepted",I534&lt;&gt;"Not Needed",Settings!$E$15="Yes"),", "&amp;I$1,"")&amp;IF(AND(J534&lt;&gt;"Accepted",J534&lt;&gt;"Not Needed",Settings!$F$15="Yes"),", "&amp;J$1,"")&amp;IF(AND(K534&lt;&gt;"Accepted",K534&lt;&gt;"Not Needed",Settings!$G$15="Yes"),", "&amp;K$1,"")&amp;IF(AND(L534&lt;&gt;"Accepted",L534&lt;&gt;"Not Needed",Settings!$H$15="Yes"),", "&amp;L$1,"")&amp;IF(AND(M534&lt;&gt;"Accepted",M534&lt;&gt;"Not Needed",Settings!$I$15="Yes"),", "&amp;M$1,"")&amp;IF(AND(N534&lt;&gt;"Accepted",N534&lt;&gt;"Not Needed",Settings!$J$15="Yes"),", "&amp;N$1,""),3,400))))</f>
        <v/>
      </c>
    </row>
    <row r="535" ht="15" customHeight="1" s="21">
      <c r="A535" s="31" t="n"/>
      <c r="B535" s="31" t="n"/>
      <c r="C535" s="31" t="n"/>
      <c r="D535" s="31" t="n"/>
      <c r="E535" s="31" t="n"/>
      <c r="F535" s="31" t="n"/>
      <c r="G535" s="31" t="n"/>
      <c r="H535" s="31" t="n"/>
      <c r="I535" s="31" t="n"/>
      <c r="J535" s="31" t="n"/>
      <c r="K535" s="31" t="n"/>
      <c r="L535" s="31" t="n"/>
      <c r="M535" s="31" t="n"/>
      <c r="N535" s="31" t="n"/>
      <c r="O535" s="32">
        <f>IF($B535="","",COUNTIF(G535:N535,"Accepted")+COUNTIF(G535:N535,"Received")+COUNTIF(G535:N535,"Needs Correction"))</f>
        <v/>
      </c>
      <c r="P535" s="32">
        <f>IF($B535="","",SUMPRODUCT(((G535:N535="Accepted")+(G535:N535="Not Needed"))*(Settings!$C$11:$J$11="Yes")))</f>
        <v/>
      </c>
      <c r="Q535" s="32">
        <f>IF($B535="","",SUMPRODUCT(((G535:N535="Accepted")+(G535:N535="Not Needed"))*(Settings!$C$15:$J$15="Yes")))</f>
        <v/>
      </c>
      <c r="R535" s="33">
        <f>IF($B535="","",IF($D535="No","No PTO/PTA",IF($D535&lt;&gt;"Yes","Not Yet Confirmed",IF($Q535&gt;=Settings!$C$13,"Legalized",IF($P535&gt;=Settings!$C$12,"Registered",IF($O535&gt;0,"In Progress","Not Started"))))))</f>
        <v/>
      </c>
      <c r="S535" s="32">
        <f>IF($B535="","",COUNTIF(G535:N535,"Received"))</f>
        <v/>
      </c>
      <c r="T535" s="32">
        <f>IF($B535="","",COUNTIF(G535:N535,"Needs Correction"))</f>
        <v/>
      </c>
      <c r="U535" s="33">
        <f>IF($B535="","",IF($D535&lt;&gt;"Yes","",IF($Q535&gt;=Settings!$C$13,"None",MID(IF(AND(G535&lt;&gt;"Accepted",G535&lt;&gt;"Not Needed",Settings!$C$15="Yes"),", "&amp;G$1,"")&amp;IF(AND(H535&lt;&gt;"Accepted",H535&lt;&gt;"Not Needed",Settings!$D$15="Yes"),", "&amp;H$1,"")&amp;IF(AND(I535&lt;&gt;"Accepted",I535&lt;&gt;"Not Needed",Settings!$E$15="Yes"),", "&amp;I$1,"")&amp;IF(AND(J535&lt;&gt;"Accepted",J535&lt;&gt;"Not Needed",Settings!$F$15="Yes"),", "&amp;J$1,"")&amp;IF(AND(K535&lt;&gt;"Accepted",K535&lt;&gt;"Not Needed",Settings!$G$15="Yes"),", "&amp;K$1,"")&amp;IF(AND(L535&lt;&gt;"Accepted",L535&lt;&gt;"Not Needed",Settings!$H$15="Yes"),", "&amp;L$1,"")&amp;IF(AND(M535&lt;&gt;"Accepted",M535&lt;&gt;"Not Needed",Settings!$I$15="Yes"),", "&amp;M$1,"")&amp;IF(AND(N535&lt;&gt;"Accepted",N535&lt;&gt;"Not Needed",Settings!$J$15="Yes"),", "&amp;N$1,""),3,400))))</f>
        <v/>
      </c>
    </row>
    <row r="536" ht="15" customHeight="1" s="21">
      <c r="A536" s="31" t="n"/>
      <c r="B536" s="31" t="n"/>
      <c r="C536" s="31" t="n"/>
      <c r="D536" s="31" t="n"/>
      <c r="E536" s="31" t="n"/>
      <c r="F536" s="31" t="n"/>
      <c r="G536" s="31" t="n"/>
      <c r="H536" s="31" t="n"/>
      <c r="I536" s="31" t="n"/>
      <c r="J536" s="31" t="n"/>
      <c r="K536" s="31" t="n"/>
      <c r="L536" s="31" t="n"/>
      <c r="M536" s="31" t="n"/>
      <c r="N536" s="31" t="n"/>
      <c r="O536" s="32">
        <f>IF($B536="","",COUNTIF(G536:N536,"Accepted")+COUNTIF(G536:N536,"Received")+COUNTIF(G536:N536,"Needs Correction"))</f>
        <v/>
      </c>
      <c r="P536" s="32">
        <f>IF($B536="","",SUMPRODUCT(((G536:N536="Accepted")+(G536:N536="Not Needed"))*(Settings!$C$11:$J$11="Yes")))</f>
        <v/>
      </c>
      <c r="Q536" s="32">
        <f>IF($B536="","",SUMPRODUCT(((G536:N536="Accepted")+(G536:N536="Not Needed"))*(Settings!$C$15:$J$15="Yes")))</f>
        <v/>
      </c>
      <c r="R536" s="33">
        <f>IF($B536="","",IF($D536="No","No PTO/PTA",IF($D536&lt;&gt;"Yes","Not Yet Confirmed",IF($Q536&gt;=Settings!$C$13,"Legalized",IF($P536&gt;=Settings!$C$12,"Registered",IF($O536&gt;0,"In Progress","Not Started"))))))</f>
        <v/>
      </c>
      <c r="S536" s="32">
        <f>IF($B536="","",COUNTIF(G536:N536,"Received"))</f>
        <v/>
      </c>
      <c r="T536" s="32">
        <f>IF($B536="","",COUNTIF(G536:N536,"Needs Correction"))</f>
        <v/>
      </c>
      <c r="U536" s="33">
        <f>IF($B536="","",IF($D536&lt;&gt;"Yes","",IF($Q536&gt;=Settings!$C$13,"None",MID(IF(AND(G536&lt;&gt;"Accepted",G536&lt;&gt;"Not Needed",Settings!$C$15="Yes"),", "&amp;G$1,"")&amp;IF(AND(H536&lt;&gt;"Accepted",H536&lt;&gt;"Not Needed",Settings!$D$15="Yes"),", "&amp;H$1,"")&amp;IF(AND(I536&lt;&gt;"Accepted",I536&lt;&gt;"Not Needed",Settings!$E$15="Yes"),", "&amp;I$1,"")&amp;IF(AND(J536&lt;&gt;"Accepted",J536&lt;&gt;"Not Needed",Settings!$F$15="Yes"),", "&amp;J$1,"")&amp;IF(AND(K536&lt;&gt;"Accepted",K536&lt;&gt;"Not Needed",Settings!$G$15="Yes"),", "&amp;K$1,"")&amp;IF(AND(L536&lt;&gt;"Accepted",L536&lt;&gt;"Not Needed",Settings!$H$15="Yes"),", "&amp;L$1,"")&amp;IF(AND(M536&lt;&gt;"Accepted",M536&lt;&gt;"Not Needed",Settings!$I$15="Yes"),", "&amp;M$1,"")&amp;IF(AND(N536&lt;&gt;"Accepted",N536&lt;&gt;"Not Needed",Settings!$J$15="Yes"),", "&amp;N$1,""),3,400))))</f>
        <v/>
      </c>
    </row>
    <row r="537" ht="15" customHeight="1" s="21">
      <c r="A537" s="31" t="n"/>
      <c r="B537" s="31" t="n"/>
      <c r="C537" s="31" t="n"/>
      <c r="D537" s="31" t="n"/>
      <c r="E537" s="31" t="n"/>
      <c r="F537" s="31" t="n"/>
      <c r="G537" s="31" t="n"/>
      <c r="H537" s="31" t="n"/>
      <c r="I537" s="31" t="n"/>
      <c r="J537" s="31" t="n"/>
      <c r="K537" s="31" t="n"/>
      <c r="L537" s="31" t="n"/>
      <c r="M537" s="31" t="n"/>
      <c r="N537" s="31" t="n"/>
      <c r="O537" s="32">
        <f>IF($B537="","",COUNTIF(G537:N537,"Accepted")+COUNTIF(G537:N537,"Received")+COUNTIF(G537:N537,"Needs Correction"))</f>
        <v/>
      </c>
      <c r="P537" s="32">
        <f>IF($B537="","",SUMPRODUCT(((G537:N537="Accepted")+(G537:N537="Not Needed"))*(Settings!$C$11:$J$11="Yes")))</f>
        <v/>
      </c>
      <c r="Q537" s="32">
        <f>IF($B537="","",SUMPRODUCT(((G537:N537="Accepted")+(G537:N537="Not Needed"))*(Settings!$C$15:$J$15="Yes")))</f>
        <v/>
      </c>
      <c r="R537" s="33">
        <f>IF($B537="","",IF($D537="No","No PTO/PTA",IF($D537&lt;&gt;"Yes","Not Yet Confirmed",IF($Q537&gt;=Settings!$C$13,"Legalized",IF($P537&gt;=Settings!$C$12,"Registered",IF($O537&gt;0,"In Progress","Not Started"))))))</f>
        <v/>
      </c>
      <c r="S537" s="32">
        <f>IF($B537="","",COUNTIF(G537:N537,"Received"))</f>
        <v/>
      </c>
      <c r="T537" s="32">
        <f>IF($B537="","",COUNTIF(G537:N537,"Needs Correction"))</f>
        <v/>
      </c>
      <c r="U537" s="33">
        <f>IF($B537="","",IF($D537&lt;&gt;"Yes","",IF($Q537&gt;=Settings!$C$13,"None",MID(IF(AND(G537&lt;&gt;"Accepted",G537&lt;&gt;"Not Needed",Settings!$C$15="Yes"),", "&amp;G$1,"")&amp;IF(AND(H537&lt;&gt;"Accepted",H537&lt;&gt;"Not Needed",Settings!$D$15="Yes"),", "&amp;H$1,"")&amp;IF(AND(I537&lt;&gt;"Accepted",I537&lt;&gt;"Not Needed",Settings!$E$15="Yes"),", "&amp;I$1,"")&amp;IF(AND(J537&lt;&gt;"Accepted",J537&lt;&gt;"Not Needed",Settings!$F$15="Yes"),", "&amp;J$1,"")&amp;IF(AND(K537&lt;&gt;"Accepted",K537&lt;&gt;"Not Needed",Settings!$G$15="Yes"),", "&amp;K$1,"")&amp;IF(AND(L537&lt;&gt;"Accepted",L537&lt;&gt;"Not Needed",Settings!$H$15="Yes"),", "&amp;L$1,"")&amp;IF(AND(M537&lt;&gt;"Accepted",M537&lt;&gt;"Not Needed",Settings!$I$15="Yes"),", "&amp;M$1,"")&amp;IF(AND(N537&lt;&gt;"Accepted",N537&lt;&gt;"Not Needed",Settings!$J$15="Yes"),", "&amp;N$1,""),3,400))))</f>
        <v/>
      </c>
    </row>
    <row r="538" ht="15" customHeight="1" s="21">
      <c r="A538" s="31" t="n"/>
      <c r="B538" s="31" t="n"/>
      <c r="C538" s="31" t="n"/>
      <c r="D538" s="31" t="n"/>
      <c r="E538" s="31" t="n"/>
      <c r="F538" s="31" t="n"/>
      <c r="G538" s="31" t="n"/>
      <c r="H538" s="31" t="n"/>
      <c r="I538" s="31" t="n"/>
      <c r="J538" s="31" t="n"/>
      <c r="K538" s="31" t="n"/>
      <c r="L538" s="31" t="n"/>
      <c r="M538" s="31" t="n"/>
      <c r="N538" s="31" t="n"/>
      <c r="O538" s="32">
        <f>IF($B538="","",COUNTIF(G538:N538,"Accepted")+COUNTIF(G538:N538,"Received")+COUNTIF(G538:N538,"Needs Correction"))</f>
        <v/>
      </c>
      <c r="P538" s="32">
        <f>IF($B538="","",SUMPRODUCT(((G538:N538="Accepted")+(G538:N538="Not Needed"))*(Settings!$C$11:$J$11="Yes")))</f>
        <v/>
      </c>
      <c r="Q538" s="32">
        <f>IF($B538="","",SUMPRODUCT(((G538:N538="Accepted")+(G538:N538="Not Needed"))*(Settings!$C$15:$J$15="Yes")))</f>
        <v/>
      </c>
      <c r="R538" s="33">
        <f>IF($B538="","",IF($D538="No","No PTO/PTA",IF($D538&lt;&gt;"Yes","Not Yet Confirmed",IF($Q538&gt;=Settings!$C$13,"Legalized",IF($P538&gt;=Settings!$C$12,"Registered",IF($O538&gt;0,"In Progress","Not Started"))))))</f>
        <v/>
      </c>
      <c r="S538" s="32">
        <f>IF($B538="","",COUNTIF(G538:N538,"Received"))</f>
        <v/>
      </c>
      <c r="T538" s="32">
        <f>IF($B538="","",COUNTIF(G538:N538,"Needs Correction"))</f>
        <v/>
      </c>
      <c r="U538" s="33">
        <f>IF($B538="","",IF($D538&lt;&gt;"Yes","",IF($Q538&gt;=Settings!$C$13,"None",MID(IF(AND(G538&lt;&gt;"Accepted",G538&lt;&gt;"Not Needed",Settings!$C$15="Yes"),", "&amp;G$1,"")&amp;IF(AND(H538&lt;&gt;"Accepted",H538&lt;&gt;"Not Needed",Settings!$D$15="Yes"),", "&amp;H$1,"")&amp;IF(AND(I538&lt;&gt;"Accepted",I538&lt;&gt;"Not Needed",Settings!$E$15="Yes"),", "&amp;I$1,"")&amp;IF(AND(J538&lt;&gt;"Accepted",J538&lt;&gt;"Not Needed",Settings!$F$15="Yes"),", "&amp;J$1,"")&amp;IF(AND(K538&lt;&gt;"Accepted",K538&lt;&gt;"Not Needed",Settings!$G$15="Yes"),", "&amp;K$1,"")&amp;IF(AND(L538&lt;&gt;"Accepted",L538&lt;&gt;"Not Needed",Settings!$H$15="Yes"),", "&amp;L$1,"")&amp;IF(AND(M538&lt;&gt;"Accepted",M538&lt;&gt;"Not Needed",Settings!$I$15="Yes"),", "&amp;M$1,"")&amp;IF(AND(N538&lt;&gt;"Accepted",N538&lt;&gt;"Not Needed",Settings!$J$15="Yes"),", "&amp;N$1,""),3,400))))</f>
        <v/>
      </c>
    </row>
    <row r="539" ht="15" customHeight="1" s="21">
      <c r="A539" s="31" t="n"/>
      <c r="B539" s="31" t="n"/>
      <c r="C539" s="31" t="n"/>
      <c r="D539" s="31" t="n"/>
      <c r="E539" s="31" t="n"/>
      <c r="F539" s="31" t="n"/>
      <c r="G539" s="31" t="n"/>
      <c r="H539" s="31" t="n"/>
      <c r="I539" s="31" t="n"/>
      <c r="J539" s="31" t="n"/>
      <c r="K539" s="31" t="n"/>
      <c r="L539" s="31" t="n"/>
      <c r="M539" s="31" t="n"/>
      <c r="N539" s="31" t="n"/>
      <c r="O539" s="32">
        <f>IF($B539="","",COUNTIF(G539:N539,"Accepted")+COUNTIF(G539:N539,"Received")+COUNTIF(G539:N539,"Needs Correction"))</f>
        <v/>
      </c>
      <c r="P539" s="32">
        <f>IF($B539="","",SUMPRODUCT(((G539:N539="Accepted")+(G539:N539="Not Needed"))*(Settings!$C$11:$J$11="Yes")))</f>
        <v/>
      </c>
      <c r="Q539" s="32">
        <f>IF($B539="","",SUMPRODUCT(((G539:N539="Accepted")+(G539:N539="Not Needed"))*(Settings!$C$15:$J$15="Yes")))</f>
        <v/>
      </c>
      <c r="R539" s="33">
        <f>IF($B539="","",IF($D539="No","No PTO/PTA",IF($D539&lt;&gt;"Yes","Not Yet Confirmed",IF($Q539&gt;=Settings!$C$13,"Legalized",IF($P539&gt;=Settings!$C$12,"Registered",IF($O539&gt;0,"In Progress","Not Started"))))))</f>
        <v/>
      </c>
      <c r="S539" s="32">
        <f>IF($B539="","",COUNTIF(G539:N539,"Received"))</f>
        <v/>
      </c>
      <c r="T539" s="32">
        <f>IF($B539="","",COUNTIF(G539:N539,"Needs Correction"))</f>
        <v/>
      </c>
      <c r="U539" s="33">
        <f>IF($B539="","",IF($D539&lt;&gt;"Yes","",IF($Q539&gt;=Settings!$C$13,"None",MID(IF(AND(G539&lt;&gt;"Accepted",G539&lt;&gt;"Not Needed",Settings!$C$15="Yes"),", "&amp;G$1,"")&amp;IF(AND(H539&lt;&gt;"Accepted",H539&lt;&gt;"Not Needed",Settings!$D$15="Yes"),", "&amp;H$1,"")&amp;IF(AND(I539&lt;&gt;"Accepted",I539&lt;&gt;"Not Needed",Settings!$E$15="Yes"),", "&amp;I$1,"")&amp;IF(AND(J539&lt;&gt;"Accepted",J539&lt;&gt;"Not Needed",Settings!$F$15="Yes"),", "&amp;J$1,"")&amp;IF(AND(K539&lt;&gt;"Accepted",K539&lt;&gt;"Not Needed",Settings!$G$15="Yes"),", "&amp;K$1,"")&amp;IF(AND(L539&lt;&gt;"Accepted",L539&lt;&gt;"Not Needed",Settings!$H$15="Yes"),", "&amp;L$1,"")&amp;IF(AND(M539&lt;&gt;"Accepted",M539&lt;&gt;"Not Needed",Settings!$I$15="Yes"),", "&amp;M$1,"")&amp;IF(AND(N539&lt;&gt;"Accepted",N539&lt;&gt;"Not Needed",Settings!$J$15="Yes"),", "&amp;N$1,""),3,400))))</f>
        <v/>
      </c>
    </row>
    <row r="540" ht="15" customHeight="1" s="21">
      <c r="A540" s="31" t="n"/>
      <c r="B540" s="31" t="n"/>
      <c r="C540" s="31" t="n"/>
      <c r="D540" s="31" t="n"/>
      <c r="E540" s="31" t="n"/>
      <c r="F540" s="31" t="n"/>
      <c r="G540" s="31" t="n"/>
      <c r="H540" s="31" t="n"/>
      <c r="I540" s="31" t="n"/>
      <c r="J540" s="31" t="n"/>
      <c r="K540" s="31" t="n"/>
      <c r="L540" s="31" t="n"/>
      <c r="M540" s="31" t="n"/>
      <c r="N540" s="31" t="n"/>
      <c r="O540" s="32">
        <f>IF($B540="","",COUNTIF(G540:N540,"Accepted")+COUNTIF(G540:N540,"Received")+COUNTIF(G540:N540,"Needs Correction"))</f>
        <v/>
      </c>
      <c r="P540" s="32">
        <f>IF($B540="","",SUMPRODUCT(((G540:N540="Accepted")+(G540:N540="Not Needed"))*(Settings!$C$11:$J$11="Yes")))</f>
        <v/>
      </c>
      <c r="Q540" s="32">
        <f>IF($B540="","",SUMPRODUCT(((G540:N540="Accepted")+(G540:N540="Not Needed"))*(Settings!$C$15:$J$15="Yes")))</f>
        <v/>
      </c>
      <c r="R540" s="33">
        <f>IF($B540="","",IF($D540="No","No PTO/PTA",IF($D540&lt;&gt;"Yes","Not Yet Confirmed",IF($Q540&gt;=Settings!$C$13,"Legalized",IF($P540&gt;=Settings!$C$12,"Registered",IF($O540&gt;0,"In Progress","Not Started"))))))</f>
        <v/>
      </c>
      <c r="S540" s="32">
        <f>IF($B540="","",COUNTIF(G540:N540,"Received"))</f>
        <v/>
      </c>
      <c r="T540" s="32">
        <f>IF($B540="","",COUNTIF(G540:N540,"Needs Correction"))</f>
        <v/>
      </c>
      <c r="U540" s="33">
        <f>IF($B540="","",IF($D540&lt;&gt;"Yes","",IF($Q540&gt;=Settings!$C$13,"None",MID(IF(AND(G540&lt;&gt;"Accepted",G540&lt;&gt;"Not Needed",Settings!$C$15="Yes"),", "&amp;G$1,"")&amp;IF(AND(H540&lt;&gt;"Accepted",H540&lt;&gt;"Not Needed",Settings!$D$15="Yes"),", "&amp;H$1,"")&amp;IF(AND(I540&lt;&gt;"Accepted",I540&lt;&gt;"Not Needed",Settings!$E$15="Yes"),", "&amp;I$1,"")&amp;IF(AND(J540&lt;&gt;"Accepted",J540&lt;&gt;"Not Needed",Settings!$F$15="Yes"),", "&amp;J$1,"")&amp;IF(AND(K540&lt;&gt;"Accepted",K540&lt;&gt;"Not Needed",Settings!$G$15="Yes"),", "&amp;K$1,"")&amp;IF(AND(L540&lt;&gt;"Accepted",L540&lt;&gt;"Not Needed",Settings!$H$15="Yes"),", "&amp;L$1,"")&amp;IF(AND(M540&lt;&gt;"Accepted",M540&lt;&gt;"Not Needed",Settings!$I$15="Yes"),", "&amp;M$1,"")&amp;IF(AND(N540&lt;&gt;"Accepted",N540&lt;&gt;"Not Needed",Settings!$J$15="Yes"),", "&amp;N$1,""),3,400))))</f>
        <v/>
      </c>
    </row>
    <row r="541" ht="15" customHeight="1" s="21">
      <c r="A541" s="31" t="n"/>
      <c r="B541" s="31" t="n"/>
      <c r="C541" s="31" t="n"/>
      <c r="D541" s="31" t="n"/>
      <c r="E541" s="31" t="n"/>
      <c r="F541" s="31" t="n"/>
      <c r="G541" s="31" t="n"/>
      <c r="H541" s="31" t="n"/>
      <c r="I541" s="31" t="n"/>
      <c r="J541" s="31" t="n"/>
      <c r="K541" s="31" t="n"/>
      <c r="L541" s="31" t="n"/>
      <c r="M541" s="31" t="n"/>
      <c r="N541" s="31" t="n"/>
      <c r="O541" s="32">
        <f>IF($B541="","",COUNTIF(G541:N541,"Accepted")+COUNTIF(G541:N541,"Received")+COUNTIF(G541:N541,"Needs Correction"))</f>
        <v/>
      </c>
      <c r="P541" s="32">
        <f>IF($B541="","",SUMPRODUCT(((G541:N541="Accepted")+(G541:N541="Not Needed"))*(Settings!$C$11:$J$11="Yes")))</f>
        <v/>
      </c>
      <c r="Q541" s="32">
        <f>IF($B541="","",SUMPRODUCT(((G541:N541="Accepted")+(G541:N541="Not Needed"))*(Settings!$C$15:$J$15="Yes")))</f>
        <v/>
      </c>
      <c r="R541" s="33">
        <f>IF($B541="","",IF($D541="No","No PTO/PTA",IF($D541&lt;&gt;"Yes","Not Yet Confirmed",IF($Q541&gt;=Settings!$C$13,"Legalized",IF($P541&gt;=Settings!$C$12,"Registered",IF($O541&gt;0,"In Progress","Not Started"))))))</f>
        <v/>
      </c>
      <c r="S541" s="32">
        <f>IF($B541="","",COUNTIF(G541:N541,"Received"))</f>
        <v/>
      </c>
      <c r="T541" s="32">
        <f>IF($B541="","",COUNTIF(G541:N541,"Needs Correction"))</f>
        <v/>
      </c>
      <c r="U541" s="33">
        <f>IF($B541="","",IF($D541&lt;&gt;"Yes","",IF($Q541&gt;=Settings!$C$13,"None",MID(IF(AND(G541&lt;&gt;"Accepted",G541&lt;&gt;"Not Needed",Settings!$C$15="Yes"),", "&amp;G$1,"")&amp;IF(AND(H541&lt;&gt;"Accepted",H541&lt;&gt;"Not Needed",Settings!$D$15="Yes"),", "&amp;H$1,"")&amp;IF(AND(I541&lt;&gt;"Accepted",I541&lt;&gt;"Not Needed",Settings!$E$15="Yes"),", "&amp;I$1,"")&amp;IF(AND(J541&lt;&gt;"Accepted",J541&lt;&gt;"Not Needed",Settings!$F$15="Yes"),", "&amp;J$1,"")&amp;IF(AND(K541&lt;&gt;"Accepted",K541&lt;&gt;"Not Needed",Settings!$G$15="Yes"),", "&amp;K$1,"")&amp;IF(AND(L541&lt;&gt;"Accepted",L541&lt;&gt;"Not Needed",Settings!$H$15="Yes"),", "&amp;L$1,"")&amp;IF(AND(M541&lt;&gt;"Accepted",M541&lt;&gt;"Not Needed",Settings!$I$15="Yes"),", "&amp;M$1,"")&amp;IF(AND(N541&lt;&gt;"Accepted",N541&lt;&gt;"Not Needed",Settings!$J$15="Yes"),", "&amp;N$1,""),3,400))))</f>
        <v/>
      </c>
    </row>
    <row r="542" ht="15" customHeight="1" s="21">
      <c r="A542" s="31" t="n"/>
      <c r="B542" s="31" t="n"/>
      <c r="C542" s="31" t="n"/>
      <c r="D542" s="31" t="n"/>
      <c r="E542" s="31" t="n"/>
      <c r="F542" s="31" t="n"/>
      <c r="G542" s="31" t="n"/>
      <c r="H542" s="31" t="n"/>
      <c r="I542" s="31" t="n"/>
      <c r="J542" s="31" t="n"/>
      <c r="K542" s="31" t="n"/>
      <c r="L542" s="31" t="n"/>
      <c r="M542" s="31" t="n"/>
      <c r="N542" s="31" t="n"/>
      <c r="O542" s="32">
        <f>IF($B542="","",COUNTIF(G542:N542,"Accepted")+COUNTIF(G542:N542,"Received")+COUNTIF(G542:N542,"Needs Correction"))</f>
        <v/>
      </c>
      <c r="P542" s="32">
        <f>IF($B542="","",SUMPRODUCT(((G542:N542="Accepted")+(G542:N542="Not Needed"))*(Settings!$C$11:$J$11="Yes")))</f>
        <v/>
      </c>
      <c r="Q542" s="32">
        <f>IF($B542="","",SUMPRODUCT(((G542:N542="Accepted")+(G542:N542="Not Needed"))*(Settings!$C$15:$J$15="Yes")))</f>
        <v/>
      </c>
      <c r="R542" s="33">
        <f>IF($B542="","",IF($D542="No","No PTO/PTA",IF($D542&lt;&gt;"Yes","Not Yet Confirmed",IF($Q542&gt;=Settings!$C$13,"Legalized",IF($P542&gt;=Settings!$C$12,"Registered",IF($O542&gt;0,"In Progress","Not Started"))))))</f>
        <v/>
      </c>
      <c r="S542" s="32">
        <f>IF($B542="","",COUNTIF(G542:N542,"Received"))</f>
        <v/>
      </c>
      <c r="T542" s="32">
        <f>IF($B542="","",COUNTIF(G542:N542,"Needs Correction"))</f>
        <v/>
      </c>
      <c r="U542" s="33">
        <f>IF($B542="","",IF($D542&lt;&gt;"Yes","",IF($Q542&gt;=Settings!$C$13,"None",MID(IF(AND(G542&lt;&gt;"Accepted",G542&lt;&gt;"Not Needed",Settings!$C$15="Yes"),", "&amp;G$1,"")&amp;IF(AND(H542&lt;&gt;"Accepted",H542&lt;&gt;"Not Needed",Settings!$D$15="Yes"),", "&amp;H$1,"")&amp;IF(AND(I542&lt;&gt;"Accepted",I542&lt;&gt;"Not Needed",Settings!$E$15="Yes"),", "&amp;I$1,"")&amp;IF(AND(J542&lt;&gt;"Accepted",J542&lt;&gt;"Not Needed",Settings!$F$15="Yes"),", "&amp;J$1,"")&amp;IF(AND(K542&lt;&gt;"Accepted",K542&lt;&gt;"Not Needed",Settings!$G$15="Yes"),", "&amp;K$1,"")&amp;IF(AND(L542&lt;&gt;"Accepted",L542&lt;&gt;"Not Needed",Settings!$H$15="Yes"),", "&amp;L$1,"")&amp;IF(AND(M542&lt;&gt;"Accepted",M542&lt;&gt;"Not Needed",Settings!$I$15="Yes"),", "&amp;M$1,"")&amp;IF(AND(N542&lt;&gt;"Accepted",N542&lt;&gt;"Not Needed",Settings!$J$15="Yes"),", "&amp;N$1,""),3,400))))</f>
        <v/>
      </c>
    </row>
    <row r="543" ht="15" customHeight="1" s="21">
      <c r="A543" s="31" t="n"/>
      <c r="B543" s="31" t="n"/>
      <c r="C543" s="31" t="n"/>
      <c r="D543" s="31" t="n"/>
      <c r="E543" s="31" t="n"/>
      <c r="F543" s="31" t="n"/>
      <c r="G543" s="31" t="n"/>
      <c r="H543" s="31" t="n"/>
      <c r="I543" s="31" t="n"/>
      <c r="J543" s="31" t="n"/>
      <c r="K543" s="31" t="n"/>
      <c r="L543" s="31" t="n"/>
      <c r="M543" s="31" t="n"/>
      <c r="N543" s="31" t="n"/>
      <c r="O543" s="32">
        <f>IF($B543="","",COUNTIF(G543:N543,"Accepted")+COUNTIF(G543:N543,"Received")+COUNTIF(G543:N543,"Needs Correction"))</f>
        <v/>
      </c>
      <c r="P543" s="32">
        <f>IF($B543="","",SUMPRODUCT(((G543:N543="Accepted")+(G543:N543="Not Needed"))*(Settings!$C$11:$J$11="Yes")))</f>
        <v/>
      </c>
      <c r="Q543" s="32">
        <f>IF($B543="","",SUMPRODUCT(((G543:N543="Accepted")+(G543:N543="Not Needed"))*(Settings!$C$15:$J$15="Yes")))</f>
        <v/>
      </c>
      <c r="R543" s="33">
        <f>IF($B543="","",IF($D543="No","No PTO/PTA",IF($D543&lt;&gt;"Yes","Not Yet Confirmed",IF($Q543&gt;=Settings!$C$13,"Legalized",IF($P543&gt;=Settings!$C$12,"Registered",IF($O543&gt;0,"In Progress","Not Started"))))))</f>
        <v/>
      </c>
      <c r="S543" s="32">
        <f>IF($B543="","",COUNTIF(G543:N543,"Received"))</f>
        <v/>
      </c>
      <c r="T543" s="32">
        <f>IF($B543="","",COUNTIF(G543:N543,"Needs Correction"))</f>
        <v/>
      </c>
      <c r="U543" s="33">
        <f>IF($B543="","",IF($D543&lt;&gt;"Yes","",IF($Q543&gt;=Settings!$C$13,"None",MID(IF(AND(G543&lt;&gt;"Accepted",G543&lt;&gt;"Not Needed",Settings!$C$15="Yes"),", "&amp;G$1,"")&amp;IF(AND(H543&lt;&gt;"Accepted",H543&lt;&gt;"Not Needed",Settings!$D$15="Yes"),", "&amp;H$1,"")&amp;IF(AND(I543&lt;&gt;"Accepted",I543&lt;&gt;"Not Needed",Settings!$E$15="Yes"),", "&amp;I$1,"")&amp;IF(AND(J543&lt;&gt;"Accepted",J543&lt;&gt;"Not Needed",Settings!$F$15="Yes"),", "&amp;J$1,"")&amp;IF(AND(K543&lt;&gt;"Accepted",K543&lt;&gt;"Not Needed",Settings!$G$15="Yes"),", "&amp;K$1,"")&amp;IF(AND(L543&lt;&gt;"Accepted",L543&lt;&gt;"Not Needed",Settings!$H$15="Yes"),", "&amp;L$1,"")&amp;IF(AND(M543&lt;&gt;"Accepted",M543&lt;&gt;"Not Needed",Settings!$I$15="Yes"),", "&amp;M$1,"")&amp;IF(AND(N543&lt;&gt;"Accepted",N543&lt;&gt;"Not Needed",Settings!$J$15="Yes"),", "&amp;N$1,""),3,400))))</f>
        <v/>
      </c>
    </row>
    <row r="544" ht="15" customHeight="1" s="21">
      <c r="A544" s="31" t="n"/>
      <c r="B544" s="31" t="n"/>
      <c r="C544" s="31" t="n"/>
      <c r="D544" s="31" t="n"/>
      <c r="E544" s="31" t="n"/>
      <c r="F544" s="31" t="n"/>
      <c r="G544" s="31" t="n"/>
      <c r="H544" s="31" t="n"/>
      <c r="I544" s="31" t="n"/>
      <c r="J544" s="31" t="n"/>
      <c r="K544" s="31" t="n"/>
      <c r="L544" s="31" t="n"/>
      <c r="M544" s="31" t="n"/>
      <c r="N544" s="31" t="n"/>
      <c r="O544" s="32">
        <f>IF($B544="","",COUNTIF(G544:N544,"Accepted")+COUNTIF(G544:N544,"Received")+COUNTIF(G544:N544,"Needs Correction"))</f>
        <v/>
      </c>
      <c r="P544" s="32">
        <f>IF($B544="","",SUMPRODUCT(((G544:N544="Accepted")+(G544:N544="Not Needed"))*(Settings!$C$11:$J$11="Yes")))</f>
        <v/>
      </c>
      <c r="Q544" s="32">
        <f>IF($B544="","",SUMPRODUCT(((G544:N544="Accepted")+(G544:N544="Not Needed"))*(Settings!$C$15:$J$15="Yes")))</f>
        <v/>
      </c>
      <c r="R544" s="33">
        <f>IF($B544="","",IF($D544="No","No PTO/PTA",IF($D544&lt;&gt;"Yes","Not Yet Confirmed",IF($Q544&gt;=Settings!$C$13,"Legalized",IF($P544&gt;=Settings!$C$12,"Registered",IF($O544&gt;0,"In Progress","Not Started"))))))</f>
        <v/>
      </c>
      <c r="S544" s="32">
        <f>IF($B544="","",COUNTIF(G544:N544,"Received"))</f>
        <v/>
      </c>
      <c r="T544" s="32">
        <f>IF($B544="","",COUNTIF(G544:N544,"Needs Correction"))</f>
        <v/>
      </c>
      <c r="U544" s="33">
        <f>IF($B544="","",IF($D544&lt;&gt;"Yes","",IF($Q544&gt;=Settings!$C$13,"None",MID(IF(AND(G544&lt;&gt;"Accepted",G544&lt;&gt;"Not Needed",Settings!$C$15="Yes"),", "&amp;G$1,"")&amp;IF(AND(H544&lt;&gt;"Accepted",H544&lt;&gt;"Not Needed",Settings!$D$15="Yes"),", "&amp;H$1,"")&amp;IF(AND(I544&lt;&gt;"Accepted",I544&lt;&gt;"Not Needed",Settings!$E$15="Yes"),", "&amp;I$1,"")&amp;IF(AND(J544&lt;&gt;"Accepted",J544&lt;&gt;"Not Needed",Settings!$F$15="Yes"),", "&amp;J$1,"")&amp;IF(AND(K544&lt;&gt;"Accepted",K544&lt;&gt;"Not Needed",Settings!$G$15="Yes"),", "&amp;K$1,"")&amp;IF(AND(L544&lt;&gt;"Accepted",L544&lt;&gt;"Not Needed",Settings!$H$15="Yes"),", "&amp;L$1,"")&amp;IF(AND(M544&lt;&gt;"Accepted",M544&lt;&gt;"Not Needed",Settings!$I$15="Yes"),", "&amp;M$1,"")&amp;IF(AND(N544&lt;&gt;"Accepted",N544&lt;&gt;"Not Needed",Settings!$J$15="Yes"),", "&amp;N$1,""),3,400))))</f>
        <v/>
      </c>
    </row>
    <row r="545" ht="15" customHeight="1" s="21">
      <c r="A545" s="31" t="n"/>
      <c r="B545" s="31" t="n"/>
      <c r="C545" s="31" t="n"/>
      <c r="D545" s="31" t="n"/>
      <c r="E545" s="31" t="n"/>
      <c r="F545" s="31" t="n"/>
      <c r="G545" s="31" t="n"/>
      <c r="H545" s="31" t="n"/>
      <c r="I545" s="31" t="n"/>
      <c r="J545" s="31" t="n"/>
      <c r="K545" s="31" t="n"/>
      <c r="L545" s="31" t="n"/>
      <c r="M545" s="31" t="n"/>
      <c r="N545" s="31" t="n"/>
      <c r="O545" s="32">
        <f>IF($B545="","",COUNTIF(G545:N545,"Accepted")+COUNTIF(G545:N545,"Received")+COUNTIF(G545:N545,"Needs Correction"))</f>
        <v/>
      </c>
      <c r="P545" s="32">
        <f>IF($B545="","",SUMPRODUCT(((G545:N545="Accepted")+(G545:N545="Not Needed"))*(Settings!$C$11:$J$11="Yes")))</f>
        <v/>
      </c>
      <c r="Q545" s="32">
        <f>IF($B545="","",SUMPRODUCT(((G545:N545="Accepted")+(G545:N545="Not Needed"))*(Settings!$C$15:$J$15="Yes")))</f>
        <v/>
      </c>
      <c r="R545" s="33">
        <f>IF($B545="","",IF($D545="No","No PTO/PTA",IF($D545&lt;&gt;"Yes","Not Yet Confirmed",IF($Q545&gt;=Settings!$C$13,"Legalized",IF($P545&gt;=Settings!$C$12,"Registered",IF($O545&gt;0,"In Progress","Not Started"))))))</f>
        <v/>
      </c>
      <c r="S545" s="32">
        <f>IF($B545="","",COUNTIF(G545:N545,"Received"))</f>
        <v/>
      </c>
      <c r="T545" s="32">
        <f>IF($B545="","",COUNTIF(G545:N545,"Needs Correction"))</f>
        <v/>
      </c>
      <c r="U545" s="33">
        <f>IF($B545="","",IF($D545&lt;&gt;"Yes","",IF($Q545&gt;=Settings!$C$13,"None",MID(IF(AND(G545&lt;&gt;"Accepted",G545&lt;&gt;"Not Needed",Settings!$C$15="Yes"),", "&amp;G$1,"")&amp;IF(AND(H545&lt;&gt;"Accepted",H545&lt;&gt;"Not Needed",Settings!$D$15="Yes"),", "&amp;H$1,"")&amp;IF(AND(I545&lt;&gt;"Accepted",I545&lt;&gt;"Not Needed",Settings!$E$15="Yes"),", "&amp;I$1,"")&amp;IF(AND(J545&lt;&gt;"Accepted",J545&lt;&gt;"Not Needed",Settings!$F$15="Yes"),", "&amp;J$1,"")&amp;IF(AND(K545&lt;&gt;"Accepted",K545&lt;&gt;"Not Needed",Settings!$G$15="Yes"),", "&amp;K$1,"")&amp;IF(AND(L545&lt;&gt;"Accepted",L545&lt;&gt;"Not Needed",Settings!$H$15="Yes"),", "&amp;L$1,"")&amp;IF(AND(M545&lt;&gt;"Accepted",M545&lt;&gt;"Not Needed",Settings!$I$15="Yes"),", "&amp;M$1,"")&amp;IF(AND(N545&lt;&gt;"Accepted",N545&lt;&gt;"Not Needed",Settings!$J$15="Yes"),", "&amp;N$1,""),3,400))))</f>
        <v/>
      </c>
    </row>
    <row r="546" ht="15" customHeight="1" s="21">
      <c r="A546" s="31" t="n"/>
      <c r="B546" s="31" t="n"/>
      <c r="C546" s="31" t="n"/>
      <c r="D546" s="31" t="n"/>
      <c r="E546" s="31" t="n"/>
      <c r="F546" s="31" t="n"/>
      <c r="G546" s="31" t="n"/>
      <c r="H546" s="31" t="n"/>
      <c r="I546" s="31" t="n"/>
      <c r="J546" s="31" t="n"/>
      <c r="K546" s="31" t="n"/>
      <c r="L546" s="31" t="n"/>
      <c r="M546" s="31" t="n"/>
      <c r="N546" s="31" t="n"/>
      <c r="O546" s="32">
        <f>IF($B546="","",COUNTIF(G546:N546,"Accepted")+COUNTIF(G546:N546,"Received")+COUNTIF(G546:N546,"Needs Correction"))</f>
        <v/>
      </c>
      <c r="P546" s="32">
        <f>IF($B546="","",SUMPRODUCT(((G546:N546="Accepted")+(G546:N546="Not Needed"))*(Settings!$C$11:$J$11="Yes")))</f>
        <v/>
      </c>
      <c r="Q546" s="32">
        <f>IF($B546="","",SUMPRODUCT(((G546:N546="Accepted")+(G546:N546="Not Needed"))*(Settings!$C$15:$J$15="Yes")))</f>
        <v/>
      </c>
      <c r="R546" s="33">
        <f>IF($B546="","",IF($D546="No","No PTO/PTA",IF($D546&lt;&gt;"Yes","Not Yet Confirmed",IF($Q546&gt;=Settings!$C$13,"Legalized",IF($P546&gt;=Settings!$C$12,"Registered",IF($O546&gt;0,"In Progress","Not Started"))))))</f>
        <v/>
      </c>
      <c r="S546" s="32">
        <f>IF($B546="","",COUNTIF(G546:N546,"Received"))</f>
        <v/>
      </c>
      <c r="T546" s="32">
        <f>IF($B546="","",COUNTIF(G546:N546,"Needs Correction"))</f>
        <v/>
      </c>
      <c r="U546" s="33">
        <f>IF($B546="","",IF($D546&lt;&gt;"Yes","",IF($Q546&gt;=Settings!$C$13,"None",MID(IF(AND(G546&lt;&gt;"Accepted",G546&lt;&gt;"Not Needed",Settings!$C$15="Yes"),", "&amp;G$1,"")&amp;IF(AND(H546&lt;&gt;"Accepted",H546&lt;&gt;"Not Needed",Settings!$D$15="Yes"),", "&amp;H$1,"")&amp;IF(AND(I546&lt;&gt;"Accepted",I546&lt;&gt;"Not Needed",Settings!$E$15="Yes"),", "&amp;I$1,"")&amp;IF(AND(J546&lt;&gt;"Accepted",J546&lt;&gt;"Not Needed",Settings!$F$15="Yes"),", "&amp;J$1,"")&amp;IF(AND(K546&lt;&gt;"Accepted",K546&lt;&gt;"Not Needed",Settings!$G$15="Yes"),", "&amp;K$1,"")&amp;IF(AND(L546&lt;&gt;"Accepted",L546&lt;&gt;"Not Needed",Settings!$H$15="Yes"),", "&amp;L$1,"")&amp;IF(AND(M546&lt;&gt;"Accepted",M546&lt;&gt;"Not Needed",Settings!$I$15="Yes"),", "&amp;M$1,"")&amp;IF(AND(N546&lt;&gt;"Accepted",N546&lt;&gt;"Not Needed",Settings!$J$15="Yes"),", "&amp;N$1,""),3,400))))</f>
        <v/>
      </c>
    </row>
    <row r="547" ht="15" customHeight="1" s="21">
      <c r="A547" s="31" t="n"/>
      <c r="B547" s="31" t="n"/>
      <c r="C547" s="31" t="n"/>
      <c r="D547" s="31" t="n"/>
      <c r="E547" s="31" t="n"/>
      <c r="F547" s="31" t="n"/>
      <c r="G547" s="31" t="n"/>
      <c r="H547" s="31" t="n"/>
      <c r="I547" s="31" t="n"/>
      <c r="J547" s="31" t="n"/>
      <c r="K547" s="31" t="n"/>
      <c r="L547" s="31" t="n"/>
      <c r="M547" s="31" t="n"/>
      <c r="N547" s="31" t="n"/>
      <c r="O547" s="32">
        <f>IF($B547="","",COUNTIF(G547:N547,"Accepted")+COUNTIF(G547:N547,"Received")+COUNTIF(G547:N547,"Needs Correction"))</f>
        <v/>
      </c>
      <c r="P547" s="32">
        <f>IF($B547="","",SUMPRODUCT(((G547:N547="Accepted")+(G547:N547="Not Needed"))*(Settings!$C$11:$J$11="Yes")))</f>
        <v/>
      </c>
      <c r="Q547" s="32">
        <f>IF($B547="","",SUMPRODUCT(((G547:N547="Accepted")+(G547:N547="Not Needed"))*(Settings!$C$15:$J$15="Yes")))</f>
        <v/>
      </c>
      <c r="R547" s="33">
        <f>IF($B547="","",IF($D547="No","No PTO/PTA",IF($D547&lt;&gt;"Yes","Not Yet Confirmed",IF($Q547&gt;=Settings!$C$13,"Legalized",IF($P547&gt;=Settings!$C$12,"Registered",IF($O547&gt;0,"In Progress","Not Started"))))))</f>
        <v/>
      </c>
      <c r="S547" s="32">
        <f>IF($B547="","",COUNTIF(G547:N547,"Received"))</f>
        <v/>
      </c>
      <c r="T547" s="32">
        <f>IF($B547="","",COUNTIF(G547:N547,"Needs Correction"))</f>
        <v/>
      </c>
      <c r="U547" s="33">
        <f>IF($B547="","",IF($D547&lt;&gt;"Yes","",IF($Q547&gt;=Settings!$C$13,"None",MID(IF(AND(G547&lt;&gt;"Accepted",G547&lt;&gt;"Not Needed",Settings!$C$15="Yes"),", "&amp;G$1,"")&amp;IF(AND(H547&lt;&gt;"Accepted",H547&lt;&gt;"Not Needed",Settings!$D$15="Yes"),", "&amp;H$1,"")&amp;IF(AND(I547&lt;&gt;"Accepted",I547&lt;&gt;"Not Needed",Settings!$E$15="Yes"),", "&amp;I$1,"")&amp;IF(AND(J547&lt;&gt;"Accepted",J547&lt;&gt;"Not Needed",Settings!$F$15="Yes"),", "&amp;J$1,"")&amp;IF(AND(K547&lt;&gt;"Accepted",K547&lt;&gt;"Not Needed",Settings!$G$15="Yes"),", "&amp;K$1,"")&amp;IF(AND(L547&lt;&gt;"Accepted",L547&lt;&gt;"Not Needed",Settings!$H$15="Yes"),", "&amp;L$1,"")&amp;IF(AND(M547&lt;&gt;"Accepted",M547&lt;&gt;"Not Needed",Settings!$I$15="Yes"),", "&amp;M$1,"")&amp;IF(AND(N547&lt;&gt;"Accepted",N547&lt;&gt;"Not Needed",Settings!$J$15="Yes"),", "&amp;N$1,""),3,400))))</f>
        <v/>
      </c>
    </row>
    <row r="548" ht="15" customHeight="1" s="21">
      <c r="A548" s="31" t="n"/>
      <c r="B548" s="31" t="n"/>
      <c r="C548" s="31" t="n"/>
      <c r="D548" s="31" t="n"/>
      <c r="E548" s="31" t="n"/>
      <c r="F548" s="31" t="n"/>
      <c r="G548" s="31" t="n"/>
      <c r="H548" s="31" t="n"/>
      <c r="I548" s="31" t="n"/>
      <c r="J548" s="31" t="n"/>
      <c r="K548" s="31" t="n"/>
      <c r="L548" s="31" t="n"/>
      <c r="M548" s="31" t="n"/>
      <c r="N548" s="31" t="n"/>
      <c r="O548" s="32">
        <f>IF($B548="","",COUNTIF(G548:N548,"Accepted")+COUNTIF(G548:N548,"Received")+COUNTIF(G548:N548,"Needs Correction"))</f>
        <v/>
      </c>
      <c r="P548" s="32">
        <f>IF($B548="","",SUMPRODUCT(((G548:N548="Accepted")+(G548:N548="Not Needed"))*(Settings!$C$11:$J$11="Yes")))</f>
        <v/>
      </c>
      <c r="Q548" s="32">
        <f>IF($B548="","",SUMPRODUCT(((G548:N548="Accepted")+(G548:N548="Not Needed"))*(Settings!$C$15:$J$15="Yes")))</f>
        <v/>
      </c>
      <c r="R548" s="33">
        <f>IF($B548="","",IF($D548="No","No PTO/PTA",IF($D548&lt;&gt;"Yes","Not Yet Confirmed",IF($Q548&gt;=Settings!$C$13,"Legalized",IF($P548&gt;=Settings!$C$12,"Registered",IF($O548&gt;0,"In Progress","Not Started"))))))</f>
        <v/>
      </c>
      <c r="S548" s="32">
        <f>IF($B548="","",COUNTIF(G548:N548,"Received"))</f>
        <v/>
      </c>
      <c r="T548" s="32">
        <f>IF($B548="","",COUNTIF(G548:N548,"Needs Correction"))</f>
        <v/>
      </c>
      <c r="U548" s="33">
        <f>IF($B548="","",IF($D548&lt;&gt;"Yes","",IF($Q548&gt;=Settings!$C$13,"None",MID(IF(AND(G548&lt;&gt;"Accepted",G548&lt;&gt;"Not Needed",Settings!$C$15="Yes"),", "&amp;G$1,"")&amp;IF(AND(H548&lt;&gt;"Accepted",H548&lt;&gt;"Not Needed",Settings!$D$15="Yes"),", "&amp;H$1,"")&amp;IF(AND(I548&lt;&gt;"Accepted",I548&lt;&gt;"Not Needed",Settings!$E$15="Yes"),", "&amp;I$1,"")&amp;IF(AND(J548&lt;&gt;"Accepted",J548&lt;&gt;"Not Needed",Settings!$F$15="Yes"),", "&amp;J$1,"")&amp;IF(AND(K548&lt;&gt;"Accepted",K548&lt;&gt;"Not Needed",Settings!$G$15="Yes"),", "&amp;K$1,"")&amp;IF(AND(L548&lt;&gt;"Accepted",L548&lt;&gt;"Not Needed",Settings!$H$15="Yes"),", "&amp;L$1,"")&amp;IF(AND(M548&lt;&gt;"Accepted",M548&lt;&gt;"Not Needed",Settings!$I$15="Yes"),", "&amp;M$1,"")&amp;IF(AND(N548&lt;&gt;"Accepted",N548&lt;&gt;"Not Needed",Settings!$J$15="Yes"),", "&amp;N$1,""),3,400))))</f>
        <v/>
      </c>
    </row>
    <row r="549" ht="15" customHeight="1" s="21">
      <c r="A549" s="31" t="n"/>
      <c r="B549" s="31" t="n"/>
      <c r="C549" s="31" t="n"/>
      <c r="D549" s="31" t="n"/>
      <c r="E549" s="31" t="n"/>
      <c r="F549" s="31" t="n"/>
      <c r="G549" s="31" t="n"/>
      <c r="H549" s="31" t="n"/>
      <c r="I549" s="31" t="n"/>
      <c r="J549" s="31" t="n"/>
      <c r="K549" s="31" t="n"/>
      <c r="L549" s="31" t="n"/>
      <c r="M549" s="31" t="n"/>
      <c r="N549" s="31" t="n"/>
      <c r="O549" s="32">
        <f>IF($B549="","",COUNTIF(G549:N549,"Accepted")+COUNTIF(G549:N549,"Received")+COUNTIF(G549:N549,"Needs Correction"))</f>
        <v/>
      </c>
      <c r="P549" s="32">
        <f>IF($B549="","",SUMPRODUCT(((G549:N549="Accepted")+(G549:N549="Not Needed"))*(Settings!$C$11:$J$11="Yes")))</f>
        <v/>
      </c>
      <c r="Q549" s="32">
        <f>IF($B549="","",SUMPRODUCT(((G549:N549="Accepted")+(G549:N549="Not Needed"))*(Settings!$C$15:$J$15="Yes")))</f>
        <v/>
      </c>
      <c r="R549" s="33">
        <f>IF($B549="","",IF($D549="No","No PTO/PTA",IF($D549&lt;&gt;"Yes","Not Yet Confirmed",IF($Q549&gt;=Settings!$C$13,"Legalized",IF($P549&gt;=Settings!$C$12,"Registered",IF($O549&gt;0,"In Progress","Not Started"))))))</f>
        <v/>
      </c>
      <c r="S549" s="32">
        <f>IF($B549="","",COUNTIF(G549:N549,"Received"))</f>
        <v/>
      </c>
      <c r="T549" s="32">
        <f>IF($B549="","",COUNTIF(G549:N549,"Needs Correction"))</f>
        <v/>
      </c>
      <c r="U549" s="33">
        <f>IF($B549="","",IF($D549&lt;&gt;"Yes","",IF($Q549&gt;=Settings!$C$13,"None",MID(IF(AND(G549&lt;&gt;"Accepted",G549&lt;&gt;"Not Needed",Settings!$C$15="Yes"),", "&amp;G$1,"")&amp;IF(AND(H549&lt;&gt;"Accepted",H549&lt;&gt;"Not Needed",Settings!$D$15="Yes"),", "&amp;H$1,"")&amp;IF(AND(I549&lt;&gt;"Accepted",I549&lt;&gt;"Not Needed",Settings!$E$15="Yes"),", "&amp;I$1,"")&amp;IF(AND(J549&lt;&gt;"Accepted",J549&lt;&gt;"Not Needed",Settings!$F$15="Yes"),", "&amp;J$1,"")&amp;IF(AND(K549&lt;&gt;"Accepted",K549&lt;&gt;"Not Needed",Settings!$G$15="Yes"),", "&amp;K$1,"")&amp;IF(AND(L549&lt;&gt;"Accepted",L549&lt;&gt;"Not Needed",Settings!$H$15="Yes"),", "&amp;L$1,"")&amp;IF(AND(M549&lt;&gt;"Accepted",M549&lt;&gt;"Not Needed",Settings!$I$15="Yes"),", "&amp;M$1,"")&amp;IF(AND(N549&lt;&gt;"Accepted",N549&lt;&gt;"Not Needed",Settings!$J$15="Yes"),", "&amp;N$1,""),3,400))))</f>
        <v/>
      </c>
    </row>
    <row r="550" ht="15" customHeight="1" s="21">
      <c r="A550" s="31" t="n"/>
      <c r="B550" s="31" t="n"/>
      <c r="C550" s="31" t="n"/>
      <c r="D550" s="31" t="n"/>
      <c r="E550" s="31" t="n"/>
      <c r="F550" s="31" t="n"/>
      <c r="G550" s="31" t="n"/>
      <c r="H550" s="31" t="n"/>
      <c r="I550" s="31" t="n"/>
      <c r="J550" s="31" t="n"/>
      <c r="K550" s="31" t="n"/>
      <c r="L550" s="31" t="n"/>
      <c r="M550" s="31" t="n"/>
      <c r="N550" s="31" t="n"/>
      <c r="O550" s="32">
        <f>IF($B550="","",COUNTIF(G550:N550,"Accepted")+COUNTIF(G550:N550,"Received")+COUNTIF(G550:N550,"Needs Correction"))</f>
        <v/>
      </c>
      <c r="P550" s="32">
        <f>IF($B550="","",SUMPRODUCT(((G550:N550="Accepted")+(G550:N550="Not Needed"))*(Settings!$C$11:$J$11="Yes")))</f>
        <v/>
      </c>
      <c r="Q550" s="32">
        <f>IF($B550="","",SUMPRODUCT(((G550:N550="Accepted")+(G550:N550="Not Needed"))*(Settings!$C$15:$J$15="Yes")))</f>
        <v/>
      </c>
      <c r="R550" s="33">
        <f>IF($B550="","",IF($D550="No","No PTO/PTA",IF($D550&lt;&gt;"Yes","Not Yet Confirmed",IF($Q550&gt;=Settings!$C$13,"Legalized",IF($P550&gt;=Settings!$C$12,"Registered",IF($O550&gt;0,"In Progress","Not Started"))))))</f>
        <v/>
      </c>
      <c r="S550" s="32">
        <f>IF($B550="","",COUNTIF(G550:N550,"Received"))</f>
        <v/>
      </c>
      <c r="T550" s="32">
        <f>IF($B550="","",COUNTIF(G550:N550,"Needs Correction"))</f>
        <v/>
      </c>
      <c r="U550" s="33">
        <f>IF($B550="","",IF($D550&lt;&gt;"Yes","",IF($Q550&gt;=Settings!$C$13,"None",MID(IF(AND(G550&lt;&gt;"Accepted",G550&lt;&gt;"Not Needed",Settings!$C$15="Yes"),", "&amp;G$1,"")&amp;IF(AND(H550&lt;&gt;"Accepted",H550&lt;&gt;"Not Needed",Settings!$D$15="Yes"),", "&amp;H$1,"")&amp;IF(AND(I550&lt;&gt;"Accepted",I550&lt;&gt;"Not Needed",Settings!$E$15="Yes"),", "&amp;I$1,"")&amp;IF(AND(J550&lt;&gt;"Accepted",J550&lt;&gt;"Not Needed",Settings!$F$15="Yes"),", "&amp;J$1,"")&amp;IF(AND(K550&lt;&gt;"Accepted",K550&lt;&gt;"Not Needed",Settings!$G$15="Yes"),", "&amp;K$1,"")&amp;IF(AND(L550&lt;&gt;"Accepted",L550&lt;&gt;"Not Needed",Settings!$H$15="Yes"),", "&amp;L$1,"")&amp;IF(AND(M550&lt;&gt;"Accepted",M550&lt;&gt;"Not Needed",Settings!$I$15="Yes"),", "&amp;M$1,"")&amp;IF(AND(N550&lt;&gt;"Accepted",N550&lt;&gt;"Not Needed",Settings!$J$15="Yes"),", "&amp;N$1,""),3,400))))</f>
        <v/>
      </c>
    </row>
    <row r="551" ht="15" customHeight="1" s="21">
      <c r="A551" s="31" t="n"/>
      <c r="B551" s="31" t="n"/>
      <c r="C551" s="31" t="n"/>
      <c r="D551" s="31" t="n"/>
      <c r="E551" s="31" t="n"/>
      <c r="F551" s="31" t="n"/>
      <c r="G551" s="31" t="n"/>
      <c r="H551" s="31" t="n"/>
      <c r="I551" s="31" t="n"/>
      <c r="J551" s="31" t="n"/>
      <c r="K551" s="31" t="n"/>
      <c r="L551" s="31" t="n"/>
      <c r="M551" s="31" t="n"/>
      <c r="N551" s="31" t="n"/>
      <c r="O551" s="32">
        <f>IF($B551="","",COUNTIF(G551:N551,"Accepted")+COUNTIF(G551:N551,"Received")+COUNTIF(G551:N551,"Needs Correction"))</f>
        <v/>
      </c>
      <c r="P551" s="32">
        <f>IF($B551="","",SUMPRODUCT(((G551:N551="Accepted")+(G551:N551="Not Needed"))*(Settings!$C$11:$J$11="Yes")))</f>
        <v/>
      </c>
      <c r="Q551" s="32">
        <f>IF($B551="","",SUMPRODUCT(((G551:N551="Accepted")+(G551:N551="Not Needed"))*(Settings!$C$15:$J$15="Yes")))</f>
        <v/>
      </c>
      <c r="R551" s="33">
        <f>IF($B551="","",IF($D551="No","No PTO/PTA",IF($D551&lt;&gt;"Yes","Not Yet Confirmed",IF($Q551&gt;=Settings!$C$13,"Legalized",IF($P551&gt;=Settings!$C$12,"Registered",IF($O551&gt;0,"In Progress","Not Started"))))))</f>
        <v/>
      </c>
      <c r="S551" s="32">
        <f>IF($B551="","",COUNTIF(G551:N551,"Received"))</f>
        <v/>
      </c>
      <c r="T551" s="32">
        <f>IF($B551="","",COUNTIF(G551:N551,"Needs Correction"))</f>
        <v/>
      </c>
      <c r="U551" s="33">
        <f>IF($B551="","",IF($D551&lt;&gt;"Yes","",IF($Q551&gt;=Settings!$C$13,"None",MID(IF(AND(G551&lt;&gt;"Accepted",G551&lt;&gt;"Not Needed",Settings!$C$15="Yes"),", "&amp;G$1,"")&amp;IF(AND(H551&lt;&gt;"Accepted",H551&lt;&gt;"Not Needed",Settings!$D$15="Yes"),", "&amp;H$1,"")&amp;IF(AND(I551&lt;&gt;"Accepted",I551&lt;&gt;"Not Needed",Settings!$E$15="Yes"),", "&amp;I$1,"")&amp;IF(AND(J551&lt;&gt;"Accepted",J551&lt;&gt;"Not Needed",Settings!$F$15="Yes"),", "&amp;J$1,"")&amp;IF(AND(K551&lt;&gt;"Accepted",K551&lt;&gt;"Not Needed",Settings!$G$15="Yes"),", "&amp;K$1,"")&amp;IF(AND(L551&lt;&gt;"Accepted",L551&lt;&gt;"Not Needed",Settings!$H$15="Yes"),", "&amp;L$1,"")&amp;IF(AND(M551&lt;&gt;"Accepted",M551&lt;&gt;"Not Needed",Settings!$I$15="Yes"),", "&amp;M$1,"")&amp;IF(AND(N551&lt;&gt;"Accepted",N551&lt;&gt;"Not Needed",Settings!$J$15="Yes"),", "&amp;N$1,""),3,400))))</f>
        <v/>
      </c>
    </row>
    <row r="552" ht="15" customHeight="1" s="21">
      <c r="A552" s="31" t="n"/>
      <c r="B552" s="31" t="n"/>
      <c r="C552" s="31" t="n"/>
      <c r="D552" s="31" t="n"/>
      <c r="E552" s="31" t="n"/>
      <c r="F552" s="31" t="n"/>
      <c r="G552" s="31" t="n"/>
      <c r="H552" s="31" t="n"/>
      <c r="I552" s="31" t="n"/>
      <c r="J552" s="31" t="n"/>
      <c r="K552" s="31" t="n"/>
      <c r="L552" s="31" t="n"/>
      <c r="M552" s="31" t="n"/>
      <c r="N552" s="31" t="n"/>
      <c r="O552" s="32">
        <f>IF($B552="","",COUNTIF(G552:N552,"Accepted")+COUNTIF(G552:N552,"Received")+COUNTIF(G552:N552,"Needs Correction"))</f>
        <v/>
      </c>
      <c r="P552" s="32">
        <f>IF($B552="","",SUMPRODUCT(((G552:N552="Accepted")+(G552:N552="Not Needed"))*(Settings!$C$11:$J$11="Yes")))</f>
        <v/>
      </c>
      <c r="Q552" s="32">
        <f>IF($B552="","",SUMPRODUCT(((G552:N552="Accepted")+(G552:N552="Not Needed"))*(Settings!$C$15:$J$15="Yes")))</f>
        <v/>
      </c>
      <c r="R552" s="33">
        <f>IF($B552="","",IF($D552="No","No PTO/PTA",IF($D552&lt;&gt;"Yes","Not Yet Confirmed",IF($Q552&gt;=Settings!$C$13,"Legalized",IF($P552&gt;=Settings!$C$12,"Registered",IF($O552&gt;0,"In Progress","Not Started"))))))</f>
        <v/>
      </c>
      <c r="S552" s="32">
        <f>IF($B552="","",COUNTIF(G552:N552,"Received"))</f>
        <v/>
      </c>
      <c r="T552" s="32">
        <f>IF($B552="","",COUNTIF(G552:N552,"Needs Correction"))</f>
        <v/>
      </c>
      <c r="U552" s="33">
        <f>IF($B552="","",IF($D552&lt;&gt;"Yes","",IF($Q552&gt;=Settings!$C$13,"None",MID(IF(AND(G552&lt;&gt;"Accepted",G552&lt;&gt;"Not Needed",Settings!$C$15="Yes"),", "&amp;G$1,"")&amp;IF(AND(H552&lt;&gt;"Accepted",H552&lt;&gt;"Not Needed",Settings!$D$15="Yes"),", "&amp;H$1,"")&amp;IF(AND(I552&lt;&gt;"Accepted",I552&lt;&gt;"Not Needed",Settings!$E$15="Yes"),", "&amp;I$1,"")&amp;IF(AND(J552&lt;&gt;"Accepted",J552&lt;&gt;"Not Needed",Settings!$F$15="Yes"),", "&amp;J$1,"")&amp;IF(AND(K552&lt;&gt;"Accepted",K552&lt;&gt;"Not Needed",Settings!$G$15="Yes"),", "&amp;K$1,"")&amp;IF(AND(L552&lt;&gt;"Accepted",L552&lt;&gt;"Not Needed",Settings!$H$15="Yes"),", "&amp;L$1,"")&amp;IF(AND(M552&lt;&gt;"Accepted",M552&lt;&gt;"Not Needed",Settings!$I$15="Yes"),", "&amp;M$1,"")&amp;IF(AND(N552&lt;&gt;"Accepted",N552&lt;&gt;"Not Needed",Settings!$J$15="Yes"),", "&amp;N$1,""),3,400))))</f>
        <v/>
      </c>
    </row>
    <row r="553" ht="15" customHeight="1" s="21">
      <c r="A553" s="31" t="n"/>
      <c r="B553" s="31" t="n"/>
      <c r="C553" s="31" t="n"/>
      <c r="D553" s="31" t="n"/>
      <c r="E553" s="31" t="n"/>
      <c r="F553" s="31" t="n"/>
      <c r="G553" s="31" t="n"/>
      <c r="H553" s="31" t="n"/>
      <c r="I553" s="31" t="n"/>
      <c r="J553" s="31" t="n"/>
      <c r="K553" s="31" t="n"/>
      <c r="L553" s="31" t="n"/>
      <c r="M553" s="31" t="n"/>
      <c r="N553" s="31" t="n"/>
      <c r="O553" s="32">
        <f>IF($B553="","",COUNTIF(G553:N553,"Accepted")+COUNTIF(G553:N553,"Received")+COUNTIF(G553:N553,"Needs Correction"))</f>
        <v/>
      </c>
      <c r="P553" s="32">
        <f>IF($B553="","",SUMPRODUCT(((G553:N553="Accepted")+(G553:N553="Not Needed"))*(Settings!$C$11:$J$11="Yes")))</f>
        <v/>
      </c>
      <c r="Q553" s="32">
        <f>IF($B553="","",SUMPRODUCT(((G553:N553="Accepted")+(G553:N553="Not Needed"))*(Settings!$C$15:$J$15="Yes")))</f>
        <v/>
      </c>
      <c r="R553" s="33">
        <f>IF($B553="","",IF($D553="No","No PTO/PTA",IF($D553&lt;&gt;"Yes","Not Yet Confirmed",IF($Q553&gt;=Settings!$C$13,"Legalized",IF($P553&gt;=Settings!$C$12,"Registered",IF($O553&gt;0,"In Progress","Not Started"))))))</f>
        <v/>
      </c>
      <c r="S553" s="32">
        <f>IF($B553="","",COUNTIF(G553:N553,"Received"))</f>
        <v/>
      </c>
      <c r="T553" s="32">
        <f>IF($B553="","",COUNTIF(G553:N553,"Needs Correction"))</f>
        <v/>
      </c>
      <c r="U553" s="33">
        <f>IF($B553="","",IF($D553&lt;&gt;"Yes","",IF($Q553&gt;=Settings!$C$13,"None",MID(IF(AND(G553&lt;&gt;"Accepted",G553&lt;&gt;"Not Needed",Settings!$C$15="Yes"),", "&amp;G$1,"")&amp;IF(AND(H553&lt;&gt;"Accepted",H553&lt;&gt;"Not Needed",Settings!$D$15="Yes"),", "&amp;H$1,"")&amp;IF(AND(I553&lt;&gt;"Accepted",I553&lt;&gt;"Not Needed",Settings!$E$15="Yes"),", "&amp;I$1,"")&amp;IF(AND(J553&lt;&gt;"Accepted",J553&lt;&gt;"Not Needed",Settings!$F$15="Yes"),", "&amp;J$1,"")&amp;IF(AND(K553&lt;&gt;"Accepted",K553&lt;&gt;"Not Needed",Settings!$G$15="Yes"),", "&amp;K$1,"")&amp;IF(AND(L553&lt;&gt;"Accepted",L553&lt;&gt;"Not Needed",Settings!$H$15="Yes"),", "&amp;L$1,"")&amp;IF(AND(M553&lt;&gt;"Accepted",M553&lt;&gt;"Not Needed",Settings!$I$15="Yes"),", "&amp;M$1,"")&amp;IF(AND(N553&lt;&gt;"Accepted",N553&lt;&gt;"Not Needed",Settings!$J$15="Yes"),", "&amp;N$1,""),3,400))))</f>
        <v/>
      </c>
    </row>
    <row r="554" ht="15" customHeight="1" s="21">
      <c r="A554" s="31" t="n"/>
      <c r="B554" s="31" t="n"/>
      <c r="C554" s="31" t="n"/>
      <c r="D554" s="31" t="n"/>
      <c r="E554" s="31" t="n"/>
      <c r="F554" s="31" t="n"/>
      <c r="G554" s="31" t="n"/>
      <c r="H554" s="31" t="n"/>
      <c r="I554" s="31" t="n"/>
      <c r="J554" s="31" t="n"/>
      <c r="K554" s="31" t="n"/>
      <c r="L554" s="31" t="n"/>
      <c r="M554" s="31" t="n"/>
      <c r="N554" s="31" t="n"/>
      <c r="O554" s="32">
        <f>IF($B554="","",COUNTIF(G554:N554,"Accepted")+COUNTIF(G554:N554,"Received")+COUNTIF(G554:N554,"Needs Correction"))</f>
        <v/>
      </c>
      <c r="P554" s="32">
        <f>IF($B554="","",SUMPRODUCT(((G554:N554="Accepted")+(G554:N554="Not Needed"))*(Settings!$C$11:$J$11="Yes")))</f>
        <v/>
      </c>
      <c r="Q554" s="32">
        <f>IF($B554="","",SUMPRODUCT(((G554:N554="Accepted")+(G554:N554="Not Needed"))*(Settings!$C$15:$J$15="Yes")))</f>
        <v/>
      </c>
      <c r="R554" s="33">
        <f>IF($B554="","",IF($D554="No","No PTO/PTA",IF($D554&lt;&gt;"Yes","Not Yet Confirmed",IF($Q554&gt;=Settings!$C$13,"Legalized",IF($P554&gt;=Settings!$C$12,"Registered",IF($O554&gt;0,"In Progress","Not Started"))))))</f>
        <v/>
      </c>
      <c r="S554" s="32">
        <f>IF($B554="","",COUNTIF(G554:N554,"Received"))</f>
        <v/>
      </c>
      <c r="T554" s="32">
        <f>IF($B554="","",COUNTIF(G554:N554,"Needs Correction"))</f>
        <v/>
      </c>
      <c r="U554" s="33">
        <f>IF($B554="","",IF($D554&lt;&gt;"Yes","",IF($Q554&gt;=Settings!$C$13,"None",MID(IF(AND(G554&lt;&gt;"Accepted",G554&lt;&gt;"Not Needed",Settings!$C$15="Yes"),", "&amp;G$1,"")&amp;IF(AND(H554&lt;&gt;"Accepted",H554&lt;&gt;"Not Needed",Settings!$D$15="Yes"),", "&amp;H$1,"")&amp;IF(AND(I554&lt;&gt;"Accepted",I554&lt;&gt;"Not Needed",Settings!$E$15="Yes"),", "&amp;I$1,"")&amp;IF(AND(J554&lt;&gt;"Accepted",J554&lt;&gt;"Not Needed",Settings!$F$15="Yes"),", "&amp;J$1,"")&amp;IF(AND(K554&lt;&gt;"Accepted",K554&lt;&gt;"Not Needed",Settings!$G$15="Yes"),", "&amp;K$1,"")&amp;IF(AND(L554&lt;&gt;"Accepted",L554&lt;&gt;"Not Needed",Settings!$H$15="Yes"),", "&amp;L$1,"")&amp;IF(AND(M554&lt;&gt;"Accepted",M554&lt;&gt;"Not Needed",Settings!$I$15="Yes"),", "&amp;M$1,"")&amp;IF(AND(N554&lt;&gt;"Accepted",N554&lt;&gt;"Not Needed",Settings!$J$15="Yes"),", "&amp;N$1,""),3,400))))</f>
        <v/>
      </c>
    </row>
    <row r="555" ht="15" customHeight="1" s="21">
      <c r="A555" s="31" t="n"/>
      <c r="B555" s="31" t="n"/>
      <c r="C555" s="31" t="n"/>
      <c r="D555" s="31" t="n"/>
      <c r="E555" s="31" t="n"/>
      <c r="F555" s="31" t="n"/>
      <c r="G555" s="31" t="n"/>
      <c r="H555" s="31" t="n"/>
      <c r="I555" s="31" t="n"/>
      <c r="J555" s="31" t="n"/>
      <c r="K555" s="31" t="n"/>
      <c r="L555" s="31" t="n"/>
      <c r="M555" s="31" t="n"/>
      <c r="N555" s="31" t="n"/>
      <c r="O555" s="32">
        <f>IF($B555="","",COUNTIF(G555:N555,"Accepted")+COUNTIF(G555:N555,"Received")+COUNTIF(G555:N555,"Needs Correction"))</f>
        <v/>
      </c>
      <c r="P555" s="32">
        <f>IF($B555="","",SUMPRODUCT(((G555:N555="Accepted")+(G555:N555="Not Needed"))*(Settings!$C$11:$J$11="Yes")))</f>
        <v/>
      </c>
      <c r="Q555" s="32">
        <f>IF($B555="","",SUMPRODUCT(((G555:N555="Accepted")+(G555:N555="Not Needed"))*(Settings!$C$15:$J$15="Yes")))</f>
        <v/>
      </c>
      <c r="R555" s="33">
        <f>IF($B555="","",IF($D555="No","No PTO/PTA",IF($D555&lt;&gt;"Yes","Not Yet Confirmed",IF($Q555&gt;=Settings!$C$13,"Legalized",IF($P555&gt;=Settings!$C$12,"Registered",IF($O555&gt;0,"In Progress","Not Started"))))))</f>
        <v/>
      </c>
      <c r="S555" s="32">
        <f>IF($B555="","",COUNTIF(G555:N555,"Received"))</f>
        <v/>
      </c>
      <c r="T555" s="32">
        <f>IF($B555="","",COUNTIF(G555:N555,"Needs Correction"))</f>
        <v/>
      </c>
      <c r="U555" s="33">
        <f>IF($B555="","",IF($D555&lt;&gt;"Yes","",IF($Q555&gt;=Settings!$C$13,"None",MID(IF(AND(G555&lt;&gt;"Accepted",G555&lt;&gt;"Not Needed",Settings!$C$15="Yes"),", "&amp;G$1,"")&amp;IF(AND(H555&lt;&gt;"Accepted",H555&lt;&gt;"Not Needed",Settings!$D$15="Yes"),", "&amp;H$1,"")&amp;IF(AND(I555&lt;&gt;"Accepted",I555&lt;&gt;"Not Needed",Settings!$E$15="Yes"),", "&amp;I$1,"")&amp;IF(AND(J555&lt;&gt;"Accepted",J555&lt;&gt;"Not Needed",Settings!$F$15="Yes"),", "&amp;J$1,"")&amp;IF(AND(K555&lt;&gt;"Accepted",K555&lt;&gt;"Not Needed",Settings!$G$15="Yes"),", "&amp;K$1,"")&amp;IF(AND(L555&lt;&gt;"Accepted",L555&lt;&gt;"Not Needed",Settings!$H$15="Yes"),", "&amp;L$1,"")&amp;IF(AND(M555&lt;&gt;"Accepted",M555&lt;&gt;"Not Needed",Settings!$I$15="Yes"),", "&amp;M$1,"")&amp;IF(AND(N555&lt;&gt;"Accepted",N555&lt;&gt;"Not Needed",Settings!$J$15="Yes"),", "&amp;N$1,""),3,400))))</f>
        <v/>
      </c>
    </row>
    <row r="556" ht="15" customHeight="1" s="21">
      <c r="A556" s="31" t="n"/>
      <c r="B556" s="31" t="n"/>
      <c r="C556" s="31" t="n"/>
      <c r="D556" s="31" t="n"/>
      <c r="E556" s="31" t="n"/>
      <c r="F556" s="31" t="n"/>
      <c r="G556" s="31" t="n"/>
      <c r="H556" s="31" t="n"/>
      <c r="I556" s="31" t="n"/>
      <c r="J556" s="31" t="n"/>
      <c r="K556" s="31" t="n"/>
      <c r="L556" s="31" t="n"/>
      <c r="M556" s="31" t="n"/>
      <c r="N556" s="31" t="n"/>
      <c r="O556" s="32">
        <f>IF($B556="","",COUNTIF(G556:N556,"Accepted")+COUNTIF(G556:N556,"Received")+COUNTIF(G556:N556,"Needs Correction"))</f>
        <v/>
      </c>
      <c r="P556" s="32">
        <f>IF($B556="","",SUMPRODUCT(((G556:N556="Accepted")+(G556:N556="Not Needed"))*(Settings!$C$11:$J$11="Yes")))</f>
        <v/>
      </c>
      <c r="Q556" s="32">
        <f>IF($B556="","",SUMPRODUCT(((G556:N556="Accepted")+(G556:N556="Not Needed"))*(Settings!$C$15:$J$15="Yes")))</f>
        <v/>
      </c>
      <c r="R556" s="33">
        <f>IF($B556="","",IF($D556="No","No PTO/PTA",IF($D556&lt;&gt;"Yes","Not Yet Confirmed",IF($Q556&gt;=Settings!$C$13,"Legalized",IF($P556&gt;=Settings!$C$12,"Registered",IF($O556&gt;0,"In Progress","Not Started"))))))</f>
        <v/>
      </c>
      <c r="S556" s="32">
        <f>IF($B556="","",COUNTIF(G556:N556,"Received"))</f>
        <v/>
      </c>
      <c r="T556" s="32">
        <f>IF($B556="","",COUNTIF(G556:N556,"Needs Correction"))</f>
        <v/>
      </c>
      <c r="U556" s="33">
        <f>IF($B556="","",IF($D556&lt;&gt;"Yes","",IF($Q556&gt;=Settings!$C$13,"None",MID(IF(AND(G556&lt;&gt;"Accepted",G556&lt;&gt;"Not Needed",Settings!$C$15="Yes"),", "&amp;G$1,"")&amp;IF(AND(H556&lt;&gt;"Accepted",H556&lt;&gt;"Not Needed",Settings!$D$15="Yes"),", "&amp;H$1,"")&amp;IF(AND(I556&lt;&gt;"Accepted",I556&lt;&gt;"Not Needed",Settings!$E$15="Yes"),", "&amp;I$1,"")&amp;IF(AND(J556&lt;&gt;"Accepted",J556&lt;&gt;"Not Needed",Settings!$F$15="Yes"),", "&amp;J$1,"")&amp;IF(AND(K556&lt;&gt;"Accepted",K556&lt;&gt;"Not Needed",Settings!$G$15="Yes"),", "&amp;K$1,"")&amp;IF(AND(L556&lt;&gt;"Accepted",L556&lt;&gt;"Not Needed",Settings!$H$15="Yes"),", "&amp;L$1,"")&amp;IF(AND(M556&lt;&gt;"Accepted",M556&lt;&gt;"Not Needed",Settings!$I$15="Yes"),", "&amp;M$1,"")&amp;IF(AND(N556&lt;&gt;"Accepted",N556&lt;&gt;"Not Needed",Settings!$J$15="Yes"),", "&amp;N$1,""),3,400))))</f>
        <v/>
      </c>
    </row>
    <row r="557" ht="15" customHeight="1" s="21">
      <c r="A557" s="31" t="n"/>
      <c r="B557" s="31" t="n"/>
      <c r="C557" s="31" t="n"/>
      <c r="D557" s="31" t="n"/>
      <c r="E557" s="31" t="n"/>
      <c r="F557" s="31" t="n"/>
      <c r="G557" s="31" t="n"/>
      <c r="H557" s="31" t="n"/>
      <c r="I557" s="31" t="n"/>
      <c r="J557" s="31" t="n"/>
      <c r="K557" s="31" t="n"/>
      <c r="L557" s="31" t="n"/>
      <c r="M557" s="31" t="n"/>
      <c r="N557" s="31" t="n"/>
      <c r="O557" s="32">
        <f>IF($B557="","",COUNTIF(G557:N557,"Accepted")+COUNTIF(G557:N557,"Received")+COUNTIF(G557:N557,"Needs Correction"))</f>
        <v/>
      </c>
      <c r="P557" s="32">
        <f>IF($B557="","",SUMPRODUCT(((G557:N557="Accepted")+(G557:N557="Not Needed"))*(Settings!$C$11:$J$11="Yes")))</f>
        <v/>
      </c>
      <c r="Q557" s="32">
        <f>IF($B557="","",SUMPRODUCT(((G557:N557="Accepted")+(G557:N557="Not Needed"))*(Settings!$C$15:$J$15="Yes")))</f>
        <v/>
      </c>
      <c r="R557" s="33">
        <f>IF($B557="","",IF($D557="No","No PTO/PTA",IF($D557&lt;&gt;"Yes","Not Yet Confirmed",IF($Q557&gt;=Settings!$C$13,"Legalized",IF($P557&gt;=Settings!$C$12,"Registered",IF($O557&gt;0,"In Progress","Not Started"))))))</f>
        <v/>
      </c>
      <c r="S557" s="32">
        <f>IF($B557="","",COUNTIF(G557:N557,"Received"))</f>
        <v/>
      </c>
      <c r="T557" s="32">
        <f>IF($B557="","",COUNTIF(G557:N557,"Needs Correction"))</f>
        <v/>
      </c>
      <c r="U557" s="33">
        <f>IF($B557="","",IF($D557&lt;&gt;"Yes","",IF($Q557&gt;=Settings!$C$13,"None",MID(IF(AND(G557&lt;&gt;"Accepted",G557&lt;&gt;"Not Needed",Settings!$C$15="Yes"),", "&amp;G$1,"")&amp;IF(AND(H557&lt;&gt;"Accepted",H557&lt;&gt;"Not Needed",Settings!$D$15="Yes"),", "&amp;H$1,"")&amp;IF(AND(I557&lt;&gt;"Accepted",I557&lt;&gt;"Not Needed",Settings!$E$15="Yes"),", "&amp;I$1,"")&amp;IF(AND(J557&lt;&gt;"Accepted",J557&lt;&gt;"Not Needed",Settings!$F$15="Yes"),", "&amp;J$1,"")&amp;IF(AND(K557&lt;&gt;"Accepted",K557&lt;&gt;"Not Needed",Settings!$G$15="Yes"),", "&amp;K$1,"")&amp;IF(AND(L557&lt;&gt;"Accepted",L557&lt;&gt;"Not Needed",Settings!$H$15="Yes"),", "&amp;L$1,"")&amp;IF(AND(M557&lt;&gt;"Accepted",M557&lt;&gt;"Not Needed",Settings!$I$15="Yes"),", "&amp;M$1,"")&amp;IF(AND(N557&lt;&gt;"Accepted",N557&lt;&gt;"Not Needed",Settings!$J$15="Yes"),", "&amp;N$1,""),3,400))))</f>
        <v/>
      </c>
    </row>
    <row r="558" ht="15" customHeight="1" s="21">
      <c r="A558" s="31" t="n"/>
      <c r="B558" s="31" t="n"/>
      <c r="C558" s="31" t="n"/>
      <c r="D558" s="31" t="n"/>
      <c r="E558" s="31" t="n"/>
      <c r="F558" s="31" t="n"/>
      <c r="G558" s="31" t="n"/>
      <c r="H558" s="31" t="n"/>
      <c r="I558" s="31" t="n"/>
      <c r="J558" s="31" t="n"/>
      <c r="K558" s="31" t="n"/>
      <c r="L558" s="31" t="n"/>
      <c r="M558" s="31" t="n"/>
      <c r="N558" s="31" t="n"/>
      <c r="O558" s="32">
        <f>IF($B558="","",COUNTIF(G558:N558,"Accepted")+COUNTIF(G558:N558,"Received")+COUNTIF(G558:N558,"Needs Correction"))</f>
        <v/>
      </c>
      <c r="P558" s="32">
        <f>IF($B558="","",SUMPRODUCT(((G558:N558="Accepted")+(G558:N558="Not Needed"))*(Settings!$C$11:$J$11="Yes")))</f>
        <v/>
      </c>
      <c r="Q558" s="32">
        <f>IF($B558="","",SUMPRODUCT(((G558:N558="Accepted")+(G558:N558="Not Needed"))*(Settings!$C$15:$J$15="Yes")))</f>
        <v/>
      </c>
      <c r="R558" s="33">
        <f>IF($B558="","",IF($D558="No","No PTO/PTA",IF($D558&lt;&gt;"Yes","Not Yet Confirmed",IF($Q558&gt;=Settings!$C$13,"Legalized",IF($P558&gt;=Settings!$C$12,"Registered",IF($O558&gt;0,"In Progress","Not Started"))))))</f>
        <v/>
      </c>
      <c r="S558" s="32">
        <f>IF($B558="","",COUNTIF(G558:N558,"Received"))</f>
        <v/>
      </c>
      <c r="T558" s="32">
        <f>IF($B558="","",COUNTIF(G558:N558,"Needs Correction"))</f>
        <v/>
      </c>
      <c r="U558" s="33">
        <f>IF($B558="","",IF($D558&lt;&gt;"Yes","",IF($Q558&gt;=Settings!$C$13,"None",MID(IF(AND(G558&lt;&gt;"Accepted",G558&lt;&gt;"Not Needed",Settings!$C$15="Yes"),", "&amp;G$1,"")&amp;IF(AND(H558&lt;&gt;"Accepted",H558&lt;&gt;"Not Needed",Settings!$D$15="Yes"),", "&amp;H$1,"")&amp;IF(AND(I558&lt;&gt;"Accepted",I558&lt;&gt;"Not Needed",Settings!$E$15="Yes"),", "&amp;I$1,"")&amp;IF(AND(J558&lt;&gt;"Accepted",J558&lt;&gt;"Not Needed",Settings!$F$15="Yes"),", "&amp;J$1,"")&amp;IF(AND(K558&lt;&gt;"Accepted",K558&lt;&gt;"Not Needed",Settings!$G$15="Yes"),", "&amp;K$1,"")&amp;IF(AND(L558&lt;&gt;"Accepted",L558&lt;&gt;"Not Needed",Settings!$H$15="Yes"),", "&amp;L$1,"")&amp;IF(AND(M558&lt;&gt;"Accepted",M558&lt;&gt;"Not Needed",Settings!$I$15="Yes"),", "&amp;M$1,"")&amp;IF(AND(N558&lt;&gt;"Accepted",N558&lt;&gt;"Not Needed",Settings!$J$15="Yes"),", "&amp;N$1,""),3,400))))</f>
        <v/>
      </c>
    </row>
    <row r="559" ht="15" customHeight="1" s="21">
      <c r="A559" s="31" t="n"/>
      <c r="B559" s="31" t="n"/>
      <c r="C559" s="31" t="n"/>
      <c r="D559" s="31" t="n"/>
      <c r="E559" s="31" t="n"/>
      <c r="F559" s="31" t="n"/>
      <c r="G559" s="31" t="n"/>
      <c r="H559" s="31" t="n"/>
      <c r="I559" s="31" t="n"/>
      <c r="J559" s="31" t="n"/>
      <c r="K559" s="31" t="n"/>
      <c r="L559" s="31" t="n"/>
      <c r="M559" s="31" t="n"/>
      <c r="N559" s="31" t="n"/>
      <c r="O559" s="32">
        <f>IF($B559="","",COUNTIF(G559:N559,"Accepted")+COUNTIF(G559:N559,"Received")+COUNTIF(G559:N559,"Needs Correction"))</f>
        <v/>
      </c>
      <c r="P559" s="32">
        <f>IF($B559="","",SUMPRODUCT(((G559:N559="Accepted")+(G559:N559="Not Needed"))*(Settings!$C$11:$J$11="Yes")))</f>
        <v/>
      </c>
      <c r="Q559" s="32">
        <f>IF($B559="","",SUMPRODUCT(((G559:N559="Accepted")+(G559:N559="Not Needed"))*(Settings!$C$15:$J$15="Yes")))</f>
        <v/>
      </c>
      <c r="R559" s="33">
        <f>IF($B559="","",IF($D559="No","No PTO/PTA",IF($D559&lt;&gt;"Yes","Not Yet Confirmed",IF($Q559&gt;=Settings!$C$13,"Legalized",IF($P559&gt;=Settings!$C$12,"Registered",IF($O559&gt;0,"In Progress","Not Started"))))))</f>
        <v/>
      </c>
      <c r="S559" s="32">
        <f>IF($B559="","",COUNTIF(G559:N559,"Received"))</f>
        <v/>
      </c>
      <c r="T559" s="32">
        <f>IF($B559="","",COUNTIF(G559:N559,"Needs Correction"))</f>
        <v/>
      </c>
      <c r="U559" s="33">
        <f>IF($B559="","",IF($D559&lt;&gt;"Yes","",IF($Q559&gt;=Settings!$C$13,"None",MID(IF(AND(G559&lt;&gt;"Accepted",G559&lt;&gt;"Not Needed",Settings!$C$15="Yes"),", "&amp;G$1,"")&amp;IF(AND(H559&lt;&gt;"Accepted",H559&lt;&gt;"Not Needed",Settings!$D$15="Yes"),", "&amp;H$1,"")&amp;IF(AND(I559&lt;&gt;"Accepted",I559&lt;&gt;"Not Needed",Settings!$E$15="Yes"),", "&amp;I$1,"")&amp;IF(AND(J559&lt;&gt;"Accepted",J559&lt;&gt;"Not Needed",Settings!$F$15="Yes"),", "&amp;J$1,"")&amp;IF(AND(K559&lt;&gt;"Accepted",K559&lt;&gt;"Not Needed",Settings!$G$15="Yes"),", "&amp;K$1,"")&amp;IF(AND(L559&lt;&gt;"Accepted",L559&lt;&gt;"Not Needed",Settings!$H$15="Yes"),", "&amp;L$1,"")&amp;IF(AND(M559&lt;&gt;"Accepted",M559&lt;&gt;"Not Needed",Settings!$I$15="Yes"),", "&amp;M$1,"")&amp;IF(AND(N559&lt;&gt;"Accepted",N559&lt;&gt;"Not Needed",Settings!$J$15="Yes"),", "&amp;N$1,""),3,400))))</f>
        <v/>
      </c>
    </row>
    <row r="560" ht="15" customHeight="1" s="21">
      <c r="A560" s="31" t="n"/>
      <c r="B560" s="31" t="n"/>
      <c r="C560" s="31" t="n"/>
      <c r="D560" s="31" t="n"/>
      <c r="E560" s="31" t="n"/>
      <c r="F560" s="31" t="n"/>
      <c r="G560" s="31" t="n"/>
      <c r="H560" s="31" t="n"/>
      <c r="I560" s="31" t="n"/>
      <c r="J560" s="31" t="n"/>
      <c r="K560" s="31" t="n"/>
      <c r="L560" s="31" t="n"/>
      <c r="M560" s="31" t="n"/>
      <c r="N560" s="31" t="n"/>
      <c r="O560" s="32">
        <f>IF($B560="","",COUNTIF(G560:N560,"Accepted")+COUNTIF(G560:N560,"Received")+COUNTIF(G560:N560,"Needs Correction"))</f>
        <v/>
      </c>
      <c r="P560" s="32">
        <f>IF($B560="","",SUMPRODUCT(((G560:N560="Accepted")+(G560:N560="Not Needed"))*(Settings!$C$11:$J$11="Yes")))</f>
        <v/>
      </c>
      <c r="Q560" s="32">
        <f>IF($B560="","",SUMPRODUCT(((G560:N560="Accepted")+(G560:N560="Not Needed"))*(Settings!$C$15:$J$15="Yes")))</f>
        <v/>
      </c>
      <c r="R560" s="33">
        <f>IF($B560="","",IF($D560="No","No PTO/PTA",IF($D560&lt;&gt;"Yes","Not Yet Confirmed",IF($Q560&gt;=Settings!$C$13,"Legalized",IF($P560&gt;=Settings!$C$12,"Registered",IF($O560&gt;0,"In Progress","Not Started"))))))</f>
        <v/>
      </c>
      <c r="S560" s="32">
        <f>IF($B560="","",COUNTIF(G560:N560,"Received"))</f>
        <v/>
      </c>
      <c r="T560" s="32">
        <f>IF($B560="","",COUNTIF(G560:N560,"Needs Correction"))</f>
        <v/>
      </c>
      <c r="U560" s="33">
        <f>IF($B560="","",IF($D560&lt;&gt;"Yes","",IF($Q560&gt;=Settings!$C$13,"None",MID(IF(AND(G560&lt;&gt;"Accepted",G560&lt;&gt;"Not Needed",Settings!$C$15="Yes"),", "&amp;G$1,"")&amp;IF(AND(H560&lt;&gt;"Accepted",H560&lt;&gt;"Not Needed",Settings!$D$15="Yes"),", "&amp;H$1,"")&amp;IF(AND(I560&lt;&gt;"Accepted",I560&lt;&gt;"Not Needed",Settings!$E$15="Yes"),", "&amp;I$1,"")&amp;IF(AND(J560&lt;&gt;"Accepted",J560&lt;&gt;"Not Needed",Settings!$F$15="Yes"),", "&amp;J$1,"")&amp;IF(AND(K560&lt;&gt;"Accepted",K560&lt;&gt;"Not Needed",Settings!$G$15="Yes"),", "&amp;K$1,"")&amp;IF(AND(L560&lt;&gt;"Accepted",L560&lt;&gt;"Not Needed",Settings!$H$15="Yes"),", "&amp;L$1,"")&amp;IF(AND(M560&lt;&gt;"Accepted",M560&lt;&gt;"Not Needed",Settings!$I$15="Yes"),", "&amp;M$1,"")&amp;IF(AND(N560&lt;&gt;"Accepted",N560&lt;&gt;"Not Needed",Settings!$J$15="Yes"),", "&amp;N$1,""),3,400))))</f>
        <v/>
      </c>
    </row>
    <row r="561" ht="15" customHeight="1" s="21">
      <c r="A561" s="31" t="n"/>
      <c r="B561" s="31" t="n"/>
      <c r="C561" s="31" t="n"/>
      <c r="D561" s="31" t="n"/>
      <c r="E561" s="31" t="n"/>
      <c r="F561" s="31" t="n"/>
      <c r="G561" s="31" t="n"/>
      <c r="H561" s="31" t="n"/>
      <c r="I561" s="31" t="n"/>
      <c r="J561" s="31" t="n"/>
      <c r="K561" s="31" t="n"/>
      <c r="L561" s="31" t="n"/>
      <c r="M561" s="31" t="n"/>
      <c r="N561" s="31" t="n"/>
      <c r="O561" s="32">
        <f>IF($B561="","",COUNTIF(G561:N561,"Accepted")+COUNTIF(G561:N561,"Received")+COUNTIF(G561:N561,"Needs Correction"))</f>
        <v/>
      </c>
      <c r="P561" s="32">
        <f>IF($B561="","",SUMPRODUCT(((G561:N561="Accepted")+(G561:N561="Not Needed"))*(Settings!$C$11:$J$11="Yes")))</f>
        <v/>
      </c>
      <c r="Q561" s="32">
        <f>IF($B561="","",SUMPRODUCT(((G561:N561="Accepted")+(G561:N561="Not Needed"))*(Settings!$C$15:$J$15="Yes")))</f>
        <v/>
      </c>
      <c r="R561" s="33">
        <f>IF($B561="","",IF($D561="No","No PTO/PTA",IF($D561&lt;&gt;"Yes","Not Yet Confirmed",IF($Q561&gt;=Settings!$C$13,"Legalized",IF($P561&gt;=Settings!$C$12,"Registered",IF($O561&gt;0,"In Progress","Not Started"))))))</f>
        <v/>
      </c>
      <c r="S561" s="32">
        <f>IF($B561="","",COUNTIF(G561:N561,"Received"))</f>
        <v/>
      </c>
      <c r="T561" s="32">
        <f>IF($B561="","",COUNTIF(G561:N561,"Needs Correction"))</f>
        <v/>
      </c>
      <c r="U561" s="33">
        <f>IF($B561="","",IF($D561&lt;&gt;"Yes","",IF($Q561&gt;=Settings!$C$13,"None",MID(IF(AND(G561&lt;&gt;"Accepted",G561&lt;&gt;"Not Needed",Settings!$C$15="Yes"),", "&amp;G$1,"")&amp;IF(AND(H561&lt;&gt;"Accepted",H561&lt;&gt;"Not Needed",Settings!$D$15="Yes"),", "&amp;H$1,"")&amp;IF(AND(I561&lt;&gt;"Accepted",I561&lt;&gt;"Not Needed",Settings!$E$15="Yes"),", "&amp;I$1,"")&amp;IF(AND(J561&lt;&gt;"Accepted",J561&lt;&gt;"Not Needed",Settings!$F$15="Yes"),", "&amp;J$1,"")&amp;IF(AND(K561&lt;&gt;"Accepted",K561&lt;&gt;"Not Needed",Settings!$G$15="Yes"),", "&amp;K$1,"")&amp;IF(AND(L561&lt;&gt;"Accepted",L561&lt;&gt;"Not Needed",Settings!$H$15="Yes"),", "&amp;L$1,"")&amp;IF(AND(M561&lt;&gt;"Accepted",M561&lt;&gt;"Not Needed",Settings!$I$15="Yes"),", "&amp;M$1,"")&amp;IF(AND(N561&lt;&gt;"Accepted",N561&lt;&gt;"Not Needed",Settings!$J$15="Yes"),", "&amp;N$1,""),3,400))))</f>
        <v/>
      </c>
    </row>
    <row r="562" ht="15" customHeight="1" s="21">
      <c r="A562" s="31" t="n"/>
      <c r="B562" s="31" t="n"/>
      <c r="C562" s="31" t="n"/>
      <c r="D562" s="31" t="n"/>
      <c r="E562" s="31" t="n"/>
      <c r="F562" s="31" t="n"/>
      <c r="G562" s="31" t="n"/>
      <c r="H562" s="31" t="n"/>
      <c r="I562" s="31" t="n"/>
      <c r="J562" s="31" t="n"/>
      <c r="K562" s="31" t="n"/>
      <c r="L562" s="31" t="n"/>
      <c r="M562" s="31" t="n"/>
      <c r="N562" s="31" t="n"/>
      <c r="O562" s="32">
        <f>IF($B562="","",COUNTIF(G562:N562,"Accepted")+COUNTIF(G562:N562,"Received")+COUNTIF(G562:N562,"Needs Correction"))</f>
        <v/>
      </c>
      <c r="P562" s="32">
        <f>IF($B562="","",SUMPRODUCT(((G562:N562="Accepted")+(G562:N562="Not Needed"))*(Settings!$C$11:$J$11="Yes")))</f>
        <v/>
      </c>
      <c r="Q562" s="32">
        <f>IF($B562="","",SUMPRODUCT(((G562:N562="Accepted")+(G562:N562="Not Needed"))*(Settings!$C$15:$J$15="Yes")))</f>
        <v/>
      </c>
      <c r="R562" s="33">
        <f>IF($B562="","",IF($D562="No","No PTO/PTA",IF($D562&lt;&gt;"Yes","Not Yet Confirmed",IF($Q562&gt;=Settings!$C$13,"Legalized",IF($P562&gt;=Settings!$C$12,"Registered",IF($O562&gt;0,"In Progress","Not Started"))))))</f>
        <v/>
      </c>
      <c r="S562" s="32">
        <f>IF($B562="","",COUNTIF(G562:N562,"Received"))</f>
        <v/>
      </c>
      <c r="T562" s="32">
        <f>IF($B562="","",COUNTIF(G562:N562,"Needs Correction"))</f>
        <v/>
      </c>
      <c r="U562" s="33">
        <f>IF($B562="","",IF($D562&lt;&gt;"Yes","",IF($Q562&gt;=Settings!$C$13,"None",MID(IF(AND(G562&lt;&gt;"Accepted",G562&lt;&gt;"Not Needed",Settings!$C$15="Yes"),", "&amp;G$1,"")&amp;IF(AND(H562&lt;&gt;"Accepted",H562&lt;&gt;"Not Needed",Settings!$D$15="Yes"),", "&amp;H$1,"")&amp;IF(AND(I562&lt;&gt;"Accepted",I562&lt;&gt;"Not Needed",Settings!$E$15="Yes"),", "&amp;I$1,"")&amp;IF(AND(J562&lt;&gt;"Accepted",J562&lt;&gt;"Not Needed",Settings!$F$15="Yes"),", "&amp;J$1,"")&amp;IF(AND(K562&lt;&gt;"Accepted",K562&lt;&gt;"Not Needed",Settings!$G$15="Yes"),", "&amp;K$1,"")&amp;IF(AND(L562&lt;&gt;"Accepted",L562&lt;&gt;"Not Needed",Settings!$H$15="Yes"),", "&amp;L$1,"")&amp;IF(AND(M562&lt;&gt;"Accepted",M562&lt;&gt;"Not Needed",Settings!$I$15="Yes"),", "&amp;M$1,"")&amp;IF(AND(N562&lt;&gt;"Accepted",N562&lt;&gt;"Not Needed",Settings!$J$15="Yes"),", "&amp;N$1,""),3,400))))</f>
        <v/>
      </c>
    </row>
    <row r="563" ht="15" customHeight="1" s="21">
      <c r="A563" s="31" t="n"/>
      <c r="B563" s="31" t="n"/>
      <c r="C563" s="31" t="n"/>
      <c r="D563" s="31" t="n"/>
      <c r="E563" s="31" t="n"/>
      <c r="F563" s="31" t="n"/>
      <c r="G563" s="31" t="n"/>
      <c r="H563" s="31" t="n"/>
      <c r="I563" s="31" t="n"/>
      <c r="J563" s="31" t="n"/>
      <c r="K563" s="31" t="n"/>
      <c r="L563" s="31" t="n"/>
      <c r="M563" s="31" t="n"/>
      <c r="N563" s="31" t="n"/>
      <c r="O563" s="32">
        <f>IF($B563="","",COUNTIF(G563:N563,"Accepted")+COUNTIF(G563:N563,"Received")+COUNTIF(G563:N563,"Needs Correction"))</f>
        <v/>
      </c>
      <c r="P563" s="32">
        <f>IF($B563="","",SUMPRODUCT(((G563:N563="Accepted")+(G563:N563="Not Needed"))*(Settings!$C$11:$J$11="Yes")))</f>
        <v/>
      </c>
      <c r="Q563" s="32">
        <f>IF($B563="","",SUMPRODUCT(((G563:N563="Accepted")+(G563:N563="Not Needed"))*(Settings!$C$15:$J$15="Yes")))</f>
        <v/>
      </c>
      <c r="R563" s="33">
        <f>IF($B563="","",IF($D563="No","No PTO/PTA",IF($D563&lt;&gt;"Yes","Not Yet Confirmed",IF($Q563&gt;=Settings!$C$13,"Legalized",IF($P563&gt;=Settings!$C$12,"Registered",IF($O563&gt;0,"In Progress","Not Started"))))))</f>
        <v/>
      </c>
      <c r="S563" s="32">
        <f>IF($B563="","",COUNTIF(G563:N563,"Received"))</f>
        <v/>
      </c>
      <c r="T563" s="32">
        <f>IF($B563="","",COUNTIF(G563:N563,"Needs Correction"))</f>
        <v/>
      </c>
      <c r="U563" s="33">
        <f>IF($B563="","",IF($D563&lt;&gt;"Yes","",IF($Q563&gt;=Settings!$C$13,"None",MID(IF(AND(G563&lt;&gt;"Accepted",G563&lt;&gt;"Not Needed",Settings!$C$15="Yes"),", "&amp;G$1,"")&amp;IF(AND(H563&lt;&gt;"Accepted",H563&lt;&gt;"Not Needed",Settings!$D$15="Yes"),", "&amp;H$1,"")&amp;IF(AND(I563&lt;&gt;"Accepted",I563&lt;&gt;"Not Needed",Settings!$E$15="Yes"),", "&amp;I$1,"")&amp;IF(AND(J563&lt;&gt;"Accepted",J563&lt;&gt;"Not Needed",Settings!$F$15="Yes"),", "&amp;J$1,"")&amp;IF(AND(K563&lt;&gt;"Accepted",K563&lt;&gt;"Not Needed",Settings!$G$15="Yes"),", "&amp;K$1,"")&amp;IF(AND(L563&lt;&gt;"Accepted",L563&lt;&gt;"Not Needed",Settings!$H$15="Yes"),", "&amp;L$1,"")&amp;IF(AND(M563&lt;&gt;"Accepted",M563&lt;&gt;"Not Needed",Settings!$I$15="Yes"),", "&amp;M$1,"")&amp;IF(AND(N563&lt;&gt;"Accepted",N563&lt;&gt;"Not Needed",Settings!$J$15="Yes"),", "&amp;N$1,""),3,400))))</f>
        <v/>
      </c>
    </row>
    <row r="564" ht="15" customHeight="1" s="21">
      <c r="A564" s="31" t="n"/>
      <c r="B564" s="31" t="n"/>
      <c r="C564" s="31" t="n"/>
      <c r="D564" s="31" t="n"/>
      <c r="E564" s="31" t="n"/>
      <c r="F564" s="31" t="n"/>
      <c r="G564" s="31" t="n"/>
      <c r="H564" s="31" t="n"/>
      <c r="I564" s="31" t="n"/>
      <c r="J564" s="31" t="n"/>
      <c r="K564" s="31" t="n"/>
      <c r="L564" s="31" t="n"/>
      <c r="M564" s="31" t="n"/>
      <c r="N564" s="31" t="n"/>
      <c r="O564" s="32">
        <f>IF($B564="","",COUNTIF(G564:N564,"Accepted")+COUNTIF(G564:N564,"Received")+COUNTIF(G564:N564,"Needs Correction"))</f>
        <v/>
      </c>
      <c r="P564" s="32">
        <f>IF($B564="","",SUMPRODUCT(((G564:N564="Accepted")+(G564:N564="Not Needed"))*(Settings!$C$11:$J$11="Yes")))</f>
        <v/>
      </c>
      <c r="Q564" s="32">
        <f>IF($B564="","",SUMPRODUCT(((G564:N564="Accepted")+(G564:N564="Not Needed"))*(Settings!$C$15:$J$15="Yes")))</f>
        <v/>
      </c>
      <c r="R564" s="33">
        <f>IF($B564="","",IF($D564="No","No PTO/PTA",IF($D564&lt;&gt;"Yes","Not Yet Confirmed",IF($Q564&gt;=Settings!$C$13,"Legalized",IF($P564&gt;=Settings!$C$12,"Registered",IF($O564&gt;0,"In Progress","Not Started"))))))</f>
        <v/>
      </c>
      <c r="S564" s="32">
        <f>IF($B564="","",COUNTIF(G564:N564,"Received"))</f>
        <v/>
      </c>
      <c r="T564" s="32">
        <f>IF($B564="","",COUNTIF(G564:N564,"Needs Correction"))</f>
        <v/>
      </c>
      <c r="U564" s="33">
        <f>IF($B564="","",IF($D564&lt;&gt;"Yes","",IF($Q564&gt;=Settings!$C$13,"None",MID(IF(AND(G564&lt;&gt;"Accepted",G564&lt;&gt;"Not Needed",Settings!$C$15="Yes"),", "&amp;G$1,"")&amp;IF(AND(H564&lt;&gt;"Accepted",H564&lt;&gt;"Not Needed",Settings!$D$15="Yes"),", "&amp;H$1,"")&amp;IF(AND(I564&lt;&gt;"Accepted",I564&lt;&gt;"Not Needed",Settings!$E$15="Yes"),", "&amp;I$1,"")&amp;IF(AND(J564&lt;&gt;"Accepted",J564&lt;&gt;"Not Needed",Settings!$F$15="Yes"),", "&amp;J$1,"")&amp;IF(AND(K564&lt;&gt;"Accepted",K564&lt;&gt;"Not Needed",Settings!$G$15="Yes"),", "&amp;K$1,"")&amp;IF(AND(L564&lt;&gt;"Accepted",L564&lt;&gt;"Not Needed",Settings!$H$15="Yes"),", "&amp;L$1,"")&amp;IF(AND(M564&lt;&gt;"Accepted",M564&lt;&gt;"Not Needed",Settings!$I$15="Yes"),", "&amp;M$1,"")&amp;IF(AND(N564&lt;&gt;"Accepted",N564&lt;&gt;"Not Needed",Settings!$J$15="Yes"),", "&amp;N$1,""),3,400))))</f>
        <v/>
      </c>
    </row>
    <row r="565" ht="15" customHeight="1" s="21">
      <c r="A565" s="31" t="n"/>
      <c r="B565" s="31" t="n"/>
      <c r="C565" s="31" t="n"/>
      <c r="D565" s="31" t="n"/>
      <c r="E565" s="31" t="n"/>
      <c r="F565" s="31" t="n"/>
      <c r="G565" s="31" t="n"/>
      <c r="H565" s="31" t="n"/>
      <c r="I565" s="31" t="n"/>
      <c r="J565" s="31" t="n"/>
      <c r="K565" s="31" t="n"/>
      <c r="L565" s="31" t="n"/>
      <c r="M565" s="31" t="n"/>
      <c r="N565" s="31" t="n"/>
      <c r="O565" s="32">
        <f>IF($B565="","",COUNTIF(G565:N565,"Accepted")+COUNTIF(G565:N565,"Received")+COUNTIF(G565:N565,"Needs Correction"))</f>
        <v/>
      </c>
      <c r="P565" s="32">
        <f>IF($B565="","",SUMPRODUCT(((G565:N565="Accepted")+(G565:N565="Not Needed"))*(Settings!$C$11:$J$11="Yes")))</f>
        <v/>
      </c>
      <c r="Q565" s="32">
        <f>IF($B565="","",SUMPRODUCT(((G565:N565="Accepted")+(G565:N565="Not Needed"))*(Settings!$C$15:$J$15="Yes")))</f>
        <v/>
      </c>
      <c r="R565" s="33">
        <f>IF($B565="","",IF($D565="No","No PTO/PTA",IF($D565&lt;&gt;"Yes","Not Yet Confirmed",IF($Q565&gt;=Settings!$C$13,"Legalized",IF($P565&gt;=Settings!$C$12,"Registered",IF($O565&gt;0,"In Progress","Not Started"))))))</f>
        <v/>
      </c>
      <c r="S565" s="32">
        <f>IF($B565="","",COUNTIF(G565:N565,"Received"))</f>
        <v/>
      </c>
      <c r="T565" s="32">
        <f>IF($B565="","",COUNTIF(G565:N565,"Needs Correction"))</f>
        <v/>
      </c>
      <c r="U565" s="33">
        <f>IF($B565="","",IF($D565&lt;&gt;"Yes","",IF($Q565&gt;=Settings!$C$13,"None",MID(IF(AND(G565&lt;&gt;"Accepted",G565&lt;&gt;"Not Needed",Settings!$C$15="Yes"),", "&amp;G$1,"")&amp;IF(AND(H565&lt;&gt;"Accepted",H565&lt;&gt;"Not Needed",Settings!$D$15="Yes"),", "&amp;H$1,"")&amp;IF(AND(I565&lt;&gt;"Accepted",I565&lt;&gt;"Not Needed",Settings!$E$15="Yes"),", "&amp;I$1,"")&amp;IF(AND(J565&lt;&gt;"Accepted",J565&lt;&gt;"Not Needed",Settings!$F$15="Yes"),", "&amp;J$1,"")&amp;IF(AND(K565&lt;&gt;"Accepted",K565&lt;&gt;"Not Needed",Settings!$G$15="Yes"),", "&amp;K$1,"")&amp;IF(AND(L565&lt;&gt;"Accepted",L565&lt;&gt;"Not Needed",Settings!$H$15="Yes"),", "&amp;L$1,"")&amp;IF(AND(M565&lt;&gt;"Accepted",M565&lt;&gt;"Not Needed",Settings!$I$15="Yes"),", "&amp;M$1,"")&amp;IF(AND(N565&lt;&gt;"Accepted",N565&lt;&gt;"Not Needed",Settings!$J$15="Yes"),", "&amp;N$1,""),3,400))))</f>
        <v/>
      </c>
    </row>
    <row r="566" ht="15" customHeight="1" s="21">
      <c r="A566" s="31" t="n"/>
      <c r="B566" s="31" t="n"/>
      <c r="C566" s="31" t="n"/>
      <c r="D566" s="31" t="n"/>
      <c r="E566" s="31" t="n"/>
      <c r="F566" s="31" t="n"/>
      <c r="G566" s="31" t="n"/>
      <c r="H566" s="31" t="n"/>
      <c r="I566" s="31" t="n"/>
      <c r="J566" s="31" t="n"/>
      <c r="K566" s="31" t="n"/>
      <c r="L566" s="31" t="n"/>
      <c r="M566" s="31" t="n"/>
      <c r="N566" s="31" t="n"/>
      <c r="O566" s="32">
        <f>IF($B566="","",COUNTIF(G566:N566,"Accepted")+COUNTIF(G566:N566,"Received")+COUNTIF(G566:N566,"Needs Correction"))</f>
        <v/>
      </c>
      <c r="P566" s="32">
        <f>IF($B566="","",SUMPRODUCT(((G566:N566="Accepted")+(G566:N566="Not Needed"))*(Settings!$C$11:$J$11="Yes")))</f>
        <v/>
      </c>
      <c r="Q566" s="32">
        <f>IF($B566="","",SUMPRODUCT(((G566:N566="Accepted")+(G566:N566="Not Needed"))*(Settings!$C$15:$J$15="Yes")))</f>
        <v/>
      </c>
      <c r="R566" s="33">
        <f>IF($B566="","",IF($D566="No","No PTO/PTA",IF($D566&lt;&gt;"Yes","Not Yet Confirmed",IF($Q566&gt;=Settings!$C$13,"Legalized",IF($P566&gt;=Settings!$C$12,"Registered",IF($O566&gt;0,"In Progress","Not Started"))))))</f>
        <v/>
      </c>
      <c r="S566" s="32">
        <f>IF($B566="","",COUNTIF(G566:N566,"Received"))</f>
        <v/>
      </c>
      <c r="T566" s="32">
        <f>IF($B566="","",COUNTIF(G566:N566,"Needs Correction"))</f>
        <v/>
      </c>
      <c r="U566" s="33">
        <f>IF($B566="","",IF($D566&lt;&gt;"Yes","",IF($Q566&gt;=Settings!$C$13,"None",MID(IF(AND(G566&lt;&gt;"Accepted",G566&lt;&gt;"Not Needed",Settings!$C$15="Yes"),", "&amp;G$1,"")&amp;IF(AND(H566&lt;&gt;"Accepted",H566&lt;&gt;"Not Needed",Settings!$D$15="Yes"),", "&amp;H$1,"")&amp;IF(AND(I566&lt;&gt;"Accepted",I566&lt;&gt;"Not Needed",Settings!$E$15="Yes"),", "&amp;I$1,"")&amp;IF(AND(J566&lt;&gt;"Accepted",J566&lt;&gt;"Not Needed",Settings!$F$15="Yes"),", "&amp;J$1,"")&amp;IF(AND(K566&lt;&gt;"Accepted",K566&lt;&gt;"Not Needed",Settings!$G$15="Yes"),", "&amp;K$1,"")&amp;IF(AND(L566&lt;&gt;"Accepted",L566&lt;&gt;"Not Needed",Settings!$H$15="Yes"),", "&amp;L$1,"")&amp;IF(AND(M566&lt;&gt;"Accepted",M566&lt;&gt;"Not Needed",Settings!$I$15="Yes"),", "&amp;M$1,"")&amp;IF(AND(N566&lt;&gt;"Accepted",N566&lt;&gt;"Not Needed",Settings!$J$15="Yes"),", "&amp;N$1,""),3,400))))</f>
        <v/>
      </c>
    </row>
    <row r="567" ht="15" customHeight="1" s="21">
      <c r="A567" s="31" t="n"/>
      <c r="B567" s="31" t="n"/>
      <c r="C567" s="31" t="n"/>
      <c r="D567" s="31" t="n"/>
      <c r="E567" s="31" t="n"/>
      <c r="F567" s="31" t="n"/>
      <c r="G567" s="31" t="n"/>
      <c r="H567" s="31" t="n"/>
      <c r="I567" s="31" t="n"/>
      <c r="J567" s="31" t="n"/>
      <c r="K567" s="31" t="n"/>
      <c r="L567" s="31" t="n"/>
      <c r="M567" s="31" t="n"/>
      <c r="N567" s="31" t="n"/>
      <c r="O567" s="32">
        <f>IF($B567="","",COUNTIF(G567:N567,"Accepted")+COUNTIF(G567:N567,"Received")+COUNTIF(G567:N567,"Needs Correction"))</f>
        <v/>
      </c>
      <c r="P567" s="32">
        <f>IF($B567="","",SUMPRODUCT(((G567:N567="Accepted")+(G567:N567="Not Needed"))*(Settings!$C$11:$J$11="Yes")))</f>
        <v/>
      </c>
      <c r="Q567" s="32">
        <f>IF($B567="","",SUMPRODUCT(((G567:N567="Accepted")+(G567:N567="Not Needed"))*(Settings!$C$15:$J$15="Yes")))</f>
        <v/>
      </c>
      <c r="R567" s="33">
        <f>IF($B567="","",IF($D567="No","No PTO/PTA",IF($D567&lt;&gt;"Yes","Not Yet Confirmed",IF($Q567&gt;=Settings!$C$13,"Legalized",IF($P567&gt;=Settings!$C$12,"Registered",IF($O567&gt;0,"In Progress","Not Started"))))))</f>
        <v/>
      </c>
      <c r="S567" s="32">
        <f>IF($B567="","",COUNTIF(G567:N567,"Received"))</f>
        <v/>
      </c>
      <c r="T567" s="32">
        <f>IF($B567="","",COUNTIF(G567:N567,"Needs Correction"))</f>
        <v/>
      </c>
      <c r="U567" s="33">
        <f>IF($B567="","",IF($D567&lt;&gt;"Yes","",IF($Q567&gt;=Settings!$C$13,"None",MID(IF(AND(G567&lt;&gt;"Accepted",G567&lt;&gt;"Not Needed",Settings!$C$15="Yes"),", "&amp;G$1,"")&amp;IF(AND(H567&lt;&gt;"Accepted",H567&lt;&gt;"Not Needed",Settings!$D$15="Yes"),", "&amp;H$1,"")&amp;IF(AND(I567&lt;&gt;"Accepted",I567&lt;&gt;"Not Needed",Settings!$E$15="Yes"),", "&amp;I$1,"")&amp;IF(AND(J567&lt;&gt;"Accepted",J567&lt;&gt;"Not Needed",Settings!$F$15="Yes"),", "&amp;J$1,"")&amp;IF(AND(K567&lt;&gt;"Accepted",K567&lt;&gt;"Not Needed",Settings!$G$15="Yes"),", "&amp;K$1,"")&amp;IF(AND(L567&lt;&gt;"Accepted",L567&lt;&gt;"Not Needed",Settings!$H$15="Yes"),", "&amp;L$1,"")&amp;IF(AND(M567&lt;&gt;"Accepted",M567&lt;&gt;"Not Needed",Settings!$I$15="Yes"),", "&amp;M$1,"")&amp;IF(AND(N567&lt;&gt;"Accepted",N567&lt;&gt;"Not Needed",Settings!$J$15="Yes"),", "&amp;N$1,""),3,400))))</f>
        <v/>
      </c>
    </row>
    <row r="568" ht="15" customHeight="1" s="21">
      <c r="A568" s="31" t="n"/>
      <c r="B568" s="31" t="n"/>
      <c r="C568" s="31" t="n"/>
      <c r="D568" s="31" t="n"/>
      <c r="E568" s="31" t="n"/>
      <c r="F568" s="31" t="n"/>
      <c r="G568" s="31" t="n"/>
      <c r="H568" s="31" t="n"/>
      <c r="I568" s="31" t="n"/>
      <c r="J568" s="31" t="n"/>
      <c r="K568" s="31" t="n"/>
      <c r="L568" s="31" t="n"/>
      <c r="M568" s="31" t="n"/>
      <c r="N568" s="31" t="n"/>
      <c r="O568" s="32">
        <f>IF($B568="","",COUNTIF(G568:N568,"Accepted")+COUNTIF(G568:N568,"Received")+COUNTIF(G568:N568,"Needs Correction"))</f>
        <v/>
      </c>
      <c r="P568" s="32">
        <f>IF($B568="","",SUMPRODUCT(((G568:N568="Accepted")+(G568:N568="Not Needed"))*(Settings!$C$11:$J$11="Yes")))</f>
        <v/>
      </c>
      <c r="Q568" s="32">
        <f>IF($B568="","",SUMPRODUCT(((G568:N568="Accepted")+(G568:N568="Not Needed"))*(Settings!$C$15:$J$15="Yes")))</f>
        <v/>
      </c>
      <c r="R568" s="33">
        <f>IF($B568="","",IF($D568="No","No PTO/PTA",IF($D568&lt;&gt;"Yes","Not Yet Confirmed",IF($Q568&gt;=Settings!$C$13,"Legalized",IF($P568&gt;=Settings!$C$12,"Registered",IF($O568&gt;0,"In Progress","Not Started"))))))</f>
        <v/>
      </c>
      <c r="S568" s="32">
        <f>IF($B568="","",COUNTIF(G568:N568,"Received"))</f>
        <v/>
      </c>
      <c r="T568" s="32">
        <f>IF($B568="","",COUNTIF(G568:N568,"Needs Correction"))</f>
        <v/>
      </c>
      <c r="U568" s="33">
        <f>IF($B568="","",IF($D568&lt;&gt;"Yes","",IF($Q568&gt;=Settings!$C$13,"None",MID(IF(AND(G568&lt;&gt;"Accepted",G568&lt;&gt;"Not Needed",Settings!$C$15="Yes"),", "&amp;G$1,"")&amp;IF(AND(H568&lt;&gt;"Accepted",H568&lt;&gt;"Not Needed",Settings!$D$15="Yes"),", "&amp;H$1,"")&amp;IF(AND(I568&lt;&gt;"Accepted",I568&lt;&gt;"Not Needed",Settings!$E$15="Yes"),", "&amp;I$1,"")&amp;IF(AND(J568&lt;&gt;"Accepted",J568&lt;&gt;"Not Needed",Settings!$F$15="Yes"),", "&amp;J$1,"")&amp;IF(AND(K568&lt;&gt;"Accepted",K568&lt;&gt;"Not Needed",Settings!$G$15="Yes"),", "&amp;K$1,"")&amp;IF(AND(L568&lt;&gt;"Accepted",L568&lt;&gt;"Not Needed",Settings!$H$15="Yes"),", "&amp;L$1,"")&amp;IF(AND(M568&lt;&gt;"Accepted",M568&lt;&gt;"Not Needed",Settings!$I$15="Yes"),", "&amp;M$1,"")&amp;IF(AND(N568&lt;&gt;"Accepted",N568&lt;&gt;"Not Needed",Settings!$J$15="Yes"),", "&amp;N$1,""),3,400))))</f>
        <v/>
      </c>
    </row>
    <row r="569" ht="15" customHeight="1" s="21">
      <c r="A569" s="31" t="n"/>
      <c r="B569" s="31" t="n"/>
      <c r="C569" s="31" t="n"/>
      <c r="D569" s="31" t="n"/>
      <c r="E569" s="31" t="n"/>
      <c r="F569" s="31" t="n"/>
      <c r="G569" s="31" t="n"/>
      <c r="H569" s="31" t="n"/>
      <c r="I569" s="31" t="n"/>
      <c r="J569" s="31" t="n"/>
      <c r="K569" s="31" t="n"/>
      <c r="L569" s="31" t="n"/>
      <c r="M569" s="31" t="n"/>
      <c r="N569" s="31" t="n"/>
      <c r="O569" s="32">
        <f>IF($B569="","",COUNTIF(G569:N569,"Accepted")+COUNTIF(G569:N569,"Received")+COUNTIF(G569:N569,"Needs Correction"))</f>
        <v/>
      </c>
      <c r="P569" s="32">
        <f>IF($B569="","",SUMPRODUCT(((G569:N569="Accepted")+(G569:N569="Not Needed"))*(Settings!$C$11:$J$11="Yes")))</f>
        <v/>
      </c>
      <c r="Q569" s="32">
        <f>IF($B569="","",SUMPRODUCT(((G569:N569="Accepted")+(G569:N569="Not Needed"))*(Settings!$C$15:$J$15="Yes")))</f>
        <v/>
      </c>
      <c r="R569" s="33">
        <f>IF($B569="","",IF($D569="No","No PTO/PTA",IF($D569&lt;&gt;"Yes","Not Yet Confirmed",IF($Q569&gt;=Settings!$C$13,"Legalized",IF($P569&gt;=Settings!$C$12,"Registered",IF($O569&gt;0,"In Progress","Not Started"))))))</f>
        <v/>
      </c>
      <c r="S569" s="32">
        <f>IF($B569="","",COUNTIF(G569:N569,"Received"))</f>
        <v/>
      </c>
      <c r="T569" s="32">
        <f>IF($B569="","",COUNTIF(G569:N569,"Needs Correction"))</f>
        <v/>
      </c>
      <c r="U569" s="33">
        <f>IF($B569="","",IF($D569&lt;&gt;"Yes","",IF($Q569&gt;=Settings!$C$13,"None",MID(IF(AND(G569&lt;&gt;"Accepted",G569&lt;&gt;"Not Needed",Settings!$C$15="Yes"),", "&amp;G$1,"")&amp;IF(AND(H569&lt;&gt;"Accepted",H569&lt;&gt;"Not Needed",Settings!$D$15="Yes"),", "&amp;H$1,"")&amp;IF(AND(I569&lt;&gt;"Accepted",I569&lt;&gt;"Not Needed",Settings!$E$15="Yes"),", "&amp;I$1,"")&amp;IF(AND(J569&lt;&gt;"Accepted",J569&lt;&gt;"Not Needed",Settings!$F$15="Yes"),", "&amp;J$1,"")&amp;IF(AND(K569&lt;&gt;"Accepted",K569&lt;&gt;"Not Needed",Settings!$G$15="Yes"),", "&amp;K$1,"")&amp;IF(AND(L569&lt;&gt;"Accepted",L569&lt;&gt;"Not Needed",Settings!$H$15="Yes"),", "&amp;L$1,"")&amp;IF(AND(M569&lt;&gt;"Accepted",M569&lt;&gt;"Not Needed",Settings!$I$15="Yes"),", "&amp;M$1,"")&amp;IF(AND(N569&lt;&gt;"Accepted",N569&lt;&gt;"Not Needed",Settings!$J$15="Yes"),", "&amp;N$1,""),3,400))))</f>
        <v/>
      </c>
    </row>
    <row r="570" ht="15" customHeight="1" s="21">
      <c r="A570" s="31" t="n"/>
      <c r="B570" s="31" t="n"/>
      <c r="C570" s="31" t="n"/>
      <c r="D570" s="31" t="n"/>
      <c r="E570" s="31" t="n"/>
      <c r="F570" s="31" t="n"/>
      <c r="G570" s="31" t="n"/>
      <c r="H570" s="31" t="n"/>
      <c r="I570" s="31" t="n"/>
      <c r="J570" s="31" t="n"/>
      <c r="K570" s="31" t="n"/>
      <c r="L570" s="31" t="n"/>
      <c r="M570" s="31" t="n"/>
      <c r="N570" s="31" t="n"/>
      <c r="O570" s="32">
        <f>IF($B570="","",COUNTIF(G570:N570,"Accepted")+COUNTIF(G570:N570,"Received")+COUNTIF(G570:N570,"Needs Correction"))</f>
        <v/>
      </c>
      <c r="P570" s="32">
        <f>IF($B570="","",SUMPRODUCT(((G570:N570="Accepted")+(G570:N570="Not Needed"))*(Settings!$C$11:$J$11="Yes")))</f>
        <v/>
      </c>
      <c r="Q570" s="32">
        <f>IF($B570="","",SUMPRODUCT(((G570:N570="Accepted")+(G570:N570="Not Needed"))*(Settings!$C$15:$J$15="Yes")))</f>
        <v/>
      </c>
      <c r="R570" s="33">
        <f>IF($B570="","",IF($D570="No","No PTO/PTA",IF($D570&lt;&gt;"Yes","Not Yet Confirmed",IF($Q570&gt;=Settings!$C$13,"Legalized",IF($P570&gt;=Settings!$C$12,"Registered",IF($O570&gt;0,"In Progress","Not Started"))))))</f>
        <v/>
      </c>
      <c r="S570" s="32">
        <f>IF($B570="","",COUNTIF(G570:N570,"Received"))</f>
        <v/>
      </c>
      <c r="T570" s="32">
        <f>IF($B570="","",COUNTIF(G570:N570,"Needs Correction"))</f>
        <v/>
      </c>
      <c r="U570" s="33">
        <f>IF($B570="","",IF($D570&lt;&gt;"Yes","",IF($Q570&gt;=Settings!$C$13,"None",MID(IF(AND(G570&lt;&gt;"Accepted",G570&lt;&gt;"Not Needed",Settings!$C$15="Yes"),", "&amp;G$1,"")&amp;IF(AND(H570&lt;&gt;"Accepted",H570&lt;&gt;"Not Needed",Settings!$D$15="Yes"),", "&amp;H$1,"")&amp;IF(AND(I570&lt;&gt;"Accepted",I570&lt;&gt;"Not Needed",Settings!$E$15="Yes"),", "&amp;I$1,"")&amp;IF(AND(J570&lt;&gt;"Accepted",J570&lt;&gt;"Not Needed",Settings!$F$15="Yes"),", "&amp;J$1,"")&amp;IF(AND(K570&lt;&gt;"Accepted",K570&lt;&gt;"Not Needed",Settings!$G$15="Yes"),", "&amp;K$1,"")&amp;IF(AND(L570&lt;&gt;"Accepted",L570&lt;&gt;"Not Needed",Settings!$H$15="Yes"),", "&amp;L$1,"")&amp;IF(AND(M570&lt;&gt;"Accepted",M570&lt;&gt;"Not Needed",Settings!$I$15="Yes"),", "&amp;M$1,"")&amp;IF(AND(N570&lt;&gt;"Accepted",N570&lt;&gt;"Not Needed",Settings!$J$15="Yes"),", "&amp;N$1,""),3,400))))</f>
        <v/>
      </c>
    </row>
    <row r="571" ht="15" customHeight="1" s="21">
      <c r="A571" s="31" t="n"/>
      <c r="B571" s="31" t="n"/>
      <c r="C571" s="31" t="n"/>
      <c r="D571" s="31" t="n"/>
      <c r="E571" s="31" t="n"/>
      <c r="F571" s="31" t="n"/>
      <c r="G571" s="31" t="n"/>
      <c r="H571" s="31" t="n"/>
      <c r="I571" s="31" t="n"/>
      <c r="J571" s="31" t="n"/>
      <c r="K571" s="31" t="n"/>
      <c r="L571" s="31" t="n"/>
      <c r="M571" s="31" t="n"/>
      <c r="N571" s="31" t="n"/>
      <c r="O571" s="32">
        <f>IF($B571="","",COUNTIF(G571:N571,"Accepted")+COUNTIF(G571:N571,"Received")+COUNTIF(G571:N571,"Needs Correction"))</f>
        <v/>
      </c>
      <c r="P571" s="32">
        <f>IF($B571="","",SUMPRODUCT(((G571:N571="Accepted")+(G571:N571="Not Needed"))*(Settings!$C$11:$J$11="Yes")))</f>
        <v/>
      </c>
      <c r="Q571" s="32">
        <f>IF($B571="","",SUMPRODUCT(((G571:N571="Accepted")+(G571:N571="Not Needed"))*(Settings!$C$15:$J$15="Yes")))</f>
        <v/>
      </c>
      <c r="R571" s="33">
        <f>IF($B571="","",IF($D571="No","No PTO/PTA",IF($D571&lt;&gt;"Yes","Not Yet Confirmed",IF($Q571&gt;=Settings!$C$13,"Legalized",IF($P571&gt;=Settings!$C$12,"Registered",IF($O571&gt;0,"In Progress","Not Started"))))))</f>
        <v/>
      </c>
      <c r="S571" s="32">
        <f>IF($B571="","",COUNTIF(G571:N571,"Received"))</f>
        <v/>
      </c>
      <c r="T571" s="32">
        <f>IF($B571="","",COUNTIF(G571:N571,"Needs Correction"))</f>
        <v/>
      </c>
      <c r="U571" s="33">
        <f>IF($B571="","",IF($D571&lt;&gt;"Yes","",IF($Q571&gt;=Settings!$C$13,"None",MID(IF(AND(G571&lt;&gt;"Accepted",G571&lt;&gt;"Not Needed",Settings!$C$15="Yes"),", "&amp;G$1,"")&amp;IF(AND(H571&lt;&gt;"Accepted",H571&lt;&gt;"Not Needed",Settings!$D$15="Yes"),", "&amp;H$1,"")&amp;IF(AND(I571&lt;&gt;"Accepted",I571&lt;&gt;"Not Needed",Settings!$E$15="Yes"),", "&amp;I$1,"")&amp;IF(AND(J571&lt;&gt;"Accepted",J571&lt;&gt;"Not Needed",Settings!$F$15="Yes"),", "&amp;J$1,"")&amp;IF(AND(K571&lt;&gt;"Accepted",K571&lt;&gt;"Not Needed",Settings!$G$15="Yes"),", "&amp;K$1,"")&amp;IF(AND(L571&lt;&gt;"Accepted",L571&lt;&gt;"Not Needed",Settings!$H$15="Yes"),", "&amp;L$1,"")&amp;IF(AND(M571&lt;&gt;"Accepted",M571&lt;&gt;"Not Needed",Settings!$I$15="Yes"),", "&amp;M$1,"")&amp;IF(AND(N571&lt;&gt;"Accepted",N571&lt;&gt;"Not Needed",Settings!$J$15="Yes"),", "&amp;N$1,""),3,400))))</f>
        <v/>
      </c>
    </row>
    <row r="572" ht="15" customHeight="1" s="21">
      <c r="A572" s="31" t="n"/>
      <c r="B572" s="31" t="n"/>
      <c r="C572" s="31" t="n"/>
      <c r="D572" s="31" t="n"/>
      <c r="E572" s="31" t="n"/>
      <c r="F572" s="31" t="n"/>
      <c r="G572" s="31" t="n"/>
      <c r="H572" s="31" t="n"/>
      <c r="I572" s="31" t="n"/>
      <c r="J572" s="31" t="n"/>
      <c r="K572" s="31" t="n"/>
      <c r="L572" s="31" t="n"/>
      <c r="M572" s="31" t="n"/>
      <c r="N572" s="31" t="n"/>
      <c r="O572" s="32">
        <f>IF($B572="","",COUNTIF(G572:N572,"Accepted")+COUNTIF(G572:N572,"Received")+COUNTIF(G572:N572,"Needs Correction"))</f>
        <v/>
      </c>
      <c r="P572" s="32">
        <f>IF($B572="","",SUMPRODUCT(((G572:N572="Accepted")+(G572:N572="Not Needed"))*(Settings!$C$11:$J$11="Yes")))</f>
        <v/>
      </c>
      <c r="Q572" s="32">
        <f>IF($B572="","",SUMPRODUCT(((G572:N572="Accepted")+(G572:N572="Not Needed"))*(Settings!$C$15:$J$15="Yes")))</f>
        <v/>
      </c>
      <c r="R572" s="33">
        <f>IF($B572="","",IF($D572="No","No PTO/PTA",IF($D572&lt;&gt;"Yes","Not Yet Confirmed",IF($Q572&gt;=Settings!$C$13,"Legalized",IF($P572&gt;=Settings!$C$12,"Registered",IF($O572&gt;0,"In Progress","Not Started"))))))</f>
        <v/>
      </c>
      <c r="S572" s="32">
        <f>IF($B572="","",COUNTIF(G572:N572,"Received"))</f>
        <v/>
      </c>
      <c r="T572" s="32">
        <f>IF($B572="","",COUNTIF(G572:N572,"Needs Correction"))</f>
        <v/>
      </c>
      <c r="U572" s="33">
        <f>IF($B572="","",IF($D572&lt;&gt;"Yes","",IF($Q572&gt;=Settings!$C$13,"None",MID(IF(AND(G572&lt;&gt;"Accepted",G572&lt;&gt;"Not Needed",Settings!$C$15="Yes"),", "&amp;G$1,"")&amp;IF(AND(H572&lt;&gt;"Accepted",H572&lt;&gt;"Not Needed",Settings!$D$15="Yes"),", "&amp;H$1,"")&amp;IF(AND(I572&lt;&gt;"Accepted",I572&lt;&gt;"Not Needed",Settings!$E$15="Yes"),", "&amp;I$1,"")&amp;IF(AND(J572&lt;&gt;"Accepted",J572&lt;&gt;"Not Needed",Settings!$F$15="Yes"),", "&amp;J$1,"")&amp;IF(AND(K572&lt;&gt;"Accepted",K572&lt;&gt;"Not Needed",Settings!$G$15="Yes"),", "&amp;K$1,"")&amp;IF(AND(L572&lt;&gt;"Accepted",L572&lt;&gt;"Not Needed",Settings!$H$15="Yes"),", "&amp;L$1,"")&amp;IF(AND(M572&lt;&gt;"Accepted",M572&lt;&gt;"Not Needed",Settings!$I$15="Yes"),", "&amp;M$1,"")&amp;IF(AND(N572&lt;&gt;"Accepted",N572&lt;&gt;"Not Needed",Settings!$J$15="Yes"),", "&amp;N$1,""),3,400))))</f>
        <v/>
      </c>
    </row>
    <row r="573" ht="15" customHeight="1" s="21">
      <c r="A573" s="31" t="n"/>
      <c r="B573" s="31" t="n"/>
      <c r="C573" s="31" t="n"/>
      <c r="D573" s="31" t="n"/>
      <c r="E573" s="31" t="n"/>
      <c r="F573" s="31" t="n"/>
      <c r="G573" s="31" t="n"/>
      <c r="H573" s="31" t="n"/>
      <c r="I573" s="31" t="n"/>
      <c r="J573" s="31" t="n"/>
      <c r="K573" s="31" t="n"/>
      <c r="L573" s="31" t="n"/>
      <c r="M573" s="31" t="n"/>
      <c r="N573" s="31" t="n"/>
      <c r="O573" s="32">
        <f>IF($B573="","",COUNTIF(G573:N573,"Accepted")+COUNTIF(G573:N573,"Received")+COUNTIF(G573:N573,"Needs Correction"))</f>
        <v/>
      </c>
      <c r="P573" s="32">
        <f>IF($B573="","",SUMPRODUCT(((G573:N573="Accepted")+(G573:N573="Not Needed"))*(Settings!$C$11:$J$11="Yes")))</f>
        <v/>
      </c>
      <c r="Q573" s="32">
        <f>IF($B573="","",SUMPRODUCT(((G573:N573="Accepted")+(G573:N573="Not Needed"))*(Settings!$C$15:$J$15="Yes")))</f>
        <v/>
      </c>
      <c r="R573" s="33">
        <f>IF($B573="","",IF($D573="No","No PTO/PTA",IF($D573&lt;&gt;"Yes","Not Yet Confirmed",IF($Q573&gt;=Settings!$C$13,"Legalized",IF($P573&gt;=Settings!$C$12,"Registered",IF($O573&gt;0,"In Progress","Not Started"))))))</f>
        <v/>
      </c>
      <c r="S573" s="32">
        <f>IF($B573="","",COUNTIF(G573:N573,"Received"))</f>
        <v/>
      </c>
      <c r="T573" s="32">
        <f>IF($B573="","",COUNTIF(G573:N573,"Needs Correction"))</f>
        <v/>
      </c>
      <c r="U573" s="33">
        <f>IF($B573="","",IF($D573&lt;&gt;"Yes","",IF($Q573&gt;=Settings!$C$13,"None",MID(IF(AND(G573&lt;&gt;"Accepted",G573&lt;&gt;"Not Needed",Settings!$C$15="Yes"),", "&amp;G$1,"")&amp;IF(AND(H573&lt;&gt;"Accepted",H573&lt;&gt;"Not Needed",Settings!$D$15="Yes"),", "&amp;H$1,"")&amp;IF(AND(I573&lt;&gt;"Accepted",I573&lt;&gt;"Not Needed",Settings!$E$15="Yes"),", "&amp;I$1,"")&amp;IF(AND(J573&lt;&gt;"Accepted",J573&lt;&gt;"Not Needed",Settings!$F$15="Yes"),", "&amp;J$1,"")&amp;IF(AND(K573&lt;&gt;"Accepted",K573&lt;&gt;"Not Needed",Settings!$G$15="Yes"),", "&amp;K$1,"")&amp;IF(AND(L573&lt;&gt;"Accepted",L573&lt;&gt;"Not Needed",Settings!$H$15="Yes"),", "&amp;L$1,"")&amp;IF(AND(M573&lt;&gt;"Accepted",M573&lt;&gt;"Not Needed",Settings!$I$15="Yes"),", "&amp;M$1,"")&amp;IF(AND(N573&lt;&gt;"Accepted",N573&lt;&gt;"Not Needed",Settings!$J$15="Yes"),", "&amp;N$1,""),3,400))))</f>
        <v/>
      </c>
    </row>
    <row r="574" ht="15" customHeight="1" s="21">
      <c r="A574" s="31" t="n"/>
      <c r="B574" s="31" t="n"/>
      <c r="C574" s="31" t="n"/>
      <c r="D574" s="31" t="n"/>
      <c r="E574" s="31" t="n"/>
      <c r="F574" s="31" t="n"/>
      <c r="G574" s="31" t="n"/>
      <c r="H574" s="31" t="n"/>
      <c r="I574" s="31" t="n"/>
      <c r="J574" s="31" t="n"/>
      <c r="K574" s="31" t="n"/>
      <c r="L574" s="31" t="n"/>
      <c r="M574" s="31" t="n"/>
      <c r="N574" s="31" t="n"/>
      <c r="O574" s="32">
        <f>IF($B574="","",COUNTIF(G574:N574,"Accepted")+COUNTIF(G574:N574,"Received")+COUNTIF(G574:N574,"Needs Correction"))</f>
        <v/>
      </c>
      <c r="P574" s="32">
        <f>IF($B574="","",SUMPRODUCT(((G574:N574="Accepted")+(G574:N574="Not Needed"))*(Settings!$C$11:$J$11="Yes")))</f>
        <v/>
      </c>
      <c r="Q574" s="32">
        <f>IF($B574="","",SUMPRODUCT(((G574:N574="Accepted")+(G574:N574="Not Needed"))*(Settings!$C$15:$J$15="Yes")))</f>
        <v/>
      </c>
      <c r="R574" s="33">
        <f>IF($B574="","",IF($D574="No","No PTO/PTA",IF($D574&lt;&gt;"Yes","Not Yet Confirmed",IF($Q574&gt;=Settings!$C$13,"Legalized",IF($P574&gt;=Settings!$C$12,"Registered",IF($O574&gt;0,"In Progress","Not Started"))))))</f>
        <v/>
      </c>
      <c r="S574" s="32">
        <f>IF($B574="","",COUNTIF(G574:N574,"Received"))</f>
        <v/>
      </c>
      <c r="T574" s="32">
        <f>IF($B574="","",COUNTIF(G574:N574,"Needs Correction"))</f>
        <v/>
      </c>
      <c r="U574" s="33">
        <f>IF($B574="","",IF($D574&lt;&gt;"Yes","",IF($Q574&gt;=Settings!$C$13,"None",MID(IF(AND(G574&lt;&gt;"Accepted",G574&lt;&gt;"Not Needed",Settings!$C$15="Yes"),", "&amp;G$1,"")&amp;IF(AND(H574&lt;&gt;"Accepted",H574&lt;&gt;"Not Needed",Settings!$D$15="Yes"),", "&amp;H$1,"")&amp;IF(AND(I574&lt;&gt;"Accepted",I574&lt;&gt;"Not Needed",Settings!$E$15="Yes"),", "&amp;I$1,"")&amp;IF(AND(J574&lt;&gt;"Accepted",J574&lt;&gt;"Not Needed",Settings!$F$15="Yes"),", "&amp;J$1,"")&amp;IF(AND(K574&lt;&gt;"Accepted",K574&lt;&gt;"Not Needed",Settings!$G$15="Yes"),", "&amp;K$1,"")&amp;IF(AND(L574&lt;&gt;"Accepted",L574&lt;&gt;"Not Needed",Settings!$H$15="Yes"),", "&amp;L$1,"")&amp;IF(AND(M574&lt;&gt;"Accepted",M574&lt;&gt;"Not Needed",Settings!$I$15="Yes"),", "&amp;M$1,"")&amp;IF(AND(N574&lt;&gt;"Accepted",N574&lt;&gt;"Not Needed",Settings!$J$15="Yes"),", "&amp;N$1,""),3,400))))</f>
        <v/>
      </c>
    </row>
    <row r="575" ht="15" customHeight="1" s="21">
      <c r="A575" s="31" t="n"/>
      <c r="B575" s="31" t="n"/>
      <c r="C575" s="31" t="n"/>
      <c r="D575" s="31" t="n"/>
      <c r="E575" s="31" t="n"/>
      <c r="F575" s="31" t="n"/>
      <c r="G575" s="31" t="n"/>
      <c r="H575" s="31" t="n"/>
      <c r="I575" s="31" t="n"/>
      <c r="J575" s="31" t="n"/>
      <c r="K575" s="31" t="n"/>
      <c r="L575" s="31" t="n"/>
      <c r="M575" s="31" t="n"/>
      <c r="N575" s="31" t="n"/>
      <c r="O575" s="32">
        <f>IF($B575="","",COUNTIF(G575:N575,"Accepted")+COUNTIF(G575:N575,"Received")+COUNTIF(G575:N575,"Needs Correction"))</f>
        <v/>
      </c>
      <c r="P575" s="32">
        <f>IF($B575="","",SUMPRODUCT(((G575:N575="Accepted")+(G575:N575="Not Needed"))*(Settings!$C$11:$J$11="Yes")))</f>
        <v/>
      </c>
      <c r="Q575" s="32">
        <f>IF($B575="","",SUMPRODUCT(((G575:N575="Accepted")+(G575:N575="Not Needed"))*(Settings!$C$15:$J$15="Yes")))</f>
        <v/>
      </c>
      <c r="R575" s="33">
        <f>IF($B575="","",IF($D575="No","No PTO/PTA",IF($D575&lt;&gt;"Yes","Not Yet Confirmed",IF($Q575&gt;=Settings!$C$13,"Legalized",IF($P575&gt;=Settings!$C$12,"Registered",IF($O575&gt;0,"In Progress","Not Started"))))))</f>
        <v/>
      </c>
      <c r="S575" s="32">
        <f>IF($B575="","",COUNTIF(G575:N575,"Received"))</f>
        <v/>
      </c>
      <c r="T575" s="32">
        <f>IF($B575="","",COUNTIF(G575:N575,"Needs Correction"))</f>
        <v/>
      </c>
      <c r="U575" s="33">
        <f>IF($B575="","",IF($D575&lt;&gt;"Yes","",IF($Q575&gt;=Settings!$C$13,"None",MID(IF(AND(G575&lt;&gt;"Accepted",G575&lt;&gt;"Not Needed",Settings!$C$15="Yes"),", "&amp;G$1,"")&amp;IF(AND(H575&lt;&gt;"Accepted",H575&lt;&gt;"Not Needed",Settings!$D$15="Yes"),", "&amp;H$1,"")&amp;IF(AND(I575&lt;&gt;"Accepted",I575&lt;&gt;"Not Needed",Settings!$E$15="Yes"),", "&amp;I$1,"")&amp;IF(AND(J575&lt;&gt;"Accepted",J575&lt;&gt;"Not Needed",Settings!$F$15="Yes"),", "&amp;J$1,"")&amp;IF(AND(K575&lt;&gt;"Accepted",K575&lt;&gt;"Not Needed",Settings!$G$15="Yes"),", "&amp;K$1,"")&amp;IF(AND(L575&lt;&gt;"Accepted",L575&lt;&gt;"Not Needed",Settings!$H$15="Yes"),", "&amp;L$1,"")&amp;IF(AND(M575&lt;&gt;"Accepted",M575&lt;&gt;"Not Needed",Settings!$I$15="Yes"),", "&amp;M$1,"")&amp;IF(AND(N575&lt;&gt;"Accepted",N575&lt;&gt;"Not Needed",Settings!$J$15="Yes"),", "&amp;N$1,""),3,400))))</f>
        <v/>
      </c>
    </row>
    <row r="576" ht="15" customHeight="1" s="21">
      <c r="A576" s="31" t="n"/>
      <c r="B576" s="31" t="n"/>
      <c r="C576" s="31" t="n"/>
      <c r="D576" s="31" t="n"/>
      <c r="E576" s="31" t="n"/>
      <c r="F576" s="31" t="n"/>
      <c r="G576" s="31" t="n"/>
      <c r="H576" s="31" t="n"/>
      <c r="I576" s="31" t="n"/>
      <c r="J576" s="31" t="n"/>
      <c r="K576" s="31" t="n"/>
      <c r="L576" s="31" t="n"/>
      <c r="M576" s="31" t="n"/>
      <c r="N576" s="31" t="n"/>
      <c r="O576" s="32">
        <f>IF($B576="","",COUNTIF(G576:N576,"Accepted")+COUNTIF(G576:N576,"Received")+COUNTIF(G576:N576,"Needs Correction"))</f>
        <v/>
      </c>
      <c r="P576" s="32">
        <f>IF($B576="","",SUMPRODUCT(((G576:N576="Accepted")+(G576:N576="Not Needed"))*(Settings!$C$11:$J$11="Yes")))</f>
        <v/>
      </c>
      <c r="Q576" s="32">
        <f>IF($B576="","",SUMPRODUCT(((G576:N576="Accepted")+(G576:N576="Not Needed"))*(Settings!$C$15:$J$15="Yes")))</f>
        <v/>
      </c>
      <c r="R576" s="33">
        <f>IF($B576="","",IF($D576="No","No PTO/PTA",IF($D576&lt;&gt;"Yes","Not Yet Confirmed",IF($Q576&gt;=Settings!$C$13,"Legalized",IF($P576&gt;=Settings!$C$12,"Registered",IF($O576&gt;0,"In Progress","Not Started"))))))</f>
        <v/>
      </c>
      <c r="S576" s="32">
        <f>IF($B576="","",COUNTIF(G576:N576,"Received"))</f>
        <v/>
      </c>
      <c r="T576" s="32">
        <f>IF($B576="","",COUNTIF(G576:N576,"Needs Correction"))</f>
        <v/>
      </c>
      <c r="U576" s="33">
        <f>IF($B576="","",IF($D576&lt;&gt;"Yes","",IF($Q576&gt;=Settings!$C$13,"None",MID(IF(AND(G576&lt;&gt;"Accepted",G576&lt;&gt;"Not Needed",Settings!$C$15="Yes"),", "&amp;G$1,"")&amp;IF(AND(H576&lt;&gt;"Accepted",H576&lt;&gt;"Not Needed",Settings!$D$15="Yes"),", "&amp;H$1,"")&amp;IF(AND(I576&lt;&gt;"Accepted",I576&lt;&gt;"Not Needed",Settings!$E$15="Yes"),", "&amp;I$1,"")&amp;IF(AND(J576&lt;&gt;"Accepted",J576&lt;&gt;"Not Needed",Settings!$F$15="Yes"),", "&amp;J$1,"")&amp;IF(AND(K576&lt;&gt;"Accepted",K576&lt;&gt;"Not Needed",Settings!$G$15="Yes"),", "&amp;K$1,"")&amp;IF(AND(L576&lt;&gt;"Accepted",L576&lt;&gt;"Not Needed",Settings!$H$15="Yes"),", "&amp;L$1,"")&amp;IF(AND(M576&lt;&gt;"Accepted",M576&lt;&gt;"Not Needed",Settings!$I$15="Yes"),", "&amp;M$1,"")&amp;IF(AND(N576&lt;&gt;"Accepted",N576&lt;&gt;"Not Needed",Settings!$J$15="Yes"),", "&amp;N$1,""),3,400))))</f>
        <v/>
      </c>
    </row>
    <row r="577" ht="15" customHeight="1" s="21">
      <c r="A577" s="31" t="n"/>
      <c r="B577" s="31" t="n"/>
      <c r="C577" s="31" t="n"/>
      <c r="D577" s="31" t="n"/>
      <c r="E577" s="31" t="n"/>
      <c r="F577" s="31" t="n"/>
      <c r="G577" s="31" t="n"/>
      <c r="H577" s="31" t="n"/>
      <c r="I577" s="31" t="n"/>
      <c r="J577" s="31" t="n"/>
      <c r="K577" s="31" t="n"/>
      <c r="L577" s="31" t="n"/>
      <c r="M577" s="31" t="n"/>
      <c r="N577" s="31" t="n"/>
      <c r="O577" s="32">
        <f>IF($B577="","",COUNTIF(G577:N577,"Accepted")+COUNTIF(G577:N577,"Received")+COUNTIF(G577:N577,"Needs Correction"))</f>
        <v/>
      </c>
      <c r="P577" s="32">
        <f>IF($B577="","",SUMPRODUCT(((G577:N577="Accepted")+(G577:N577="Not Needed"))*(Settings!$C$11:$J$11="Yes")))</f>
        <v/>
      </c>
      <c r="Q577" s="32">
        <f>IF($B577="","",SUMPRODUCT(((G577:N577="Accepted")+(G577:N577="Not Needed"))*(Settings!$C$15:$J$15="Yes")))</f>
        <v/>
      </c>
      <c r="R577" s="33">
        <f>IF($B577="","",IF($D577="No","No PTO/PTA",IF($D577&lt;&gt;"Yes","Not Yet Confirmed",IF($Q577&gt;=Settings!$C$13,"Legalized",IF($P577&gt;=Settings!$C$12,"Registered",IF($O577&gt;0,"In Progress","Not Started"))))))</f>
        <v/>
      </c>
      <c r="S577" s="32">
        <f>IF($B577="","",COUNTIF(G577:N577,"Received"))</f>
        <v/>
      </c>
      <c r="T577" s="32">
        <f>IF($B577="","",COUNTIF(G577:N577,"Needs Correction"))</f>
        <v/>
      </c>
      <c r="U577" s="33">
        <f>IF($B577="","",IF($D577&lt;&gt;"Yes","",IF($Q577&gt;=Settings!$C$13,"None",MID(IF(AND(G577&lt;&gt;"Accepted",G577&lt;&gt;"Not Needed",Settings!$C$15="Yes"),", "&amp;G$1,"")&amp;IF(AND(H577&lt;&gt;"Accepted",H577&lt;&gt;"Not Needed",Settings!$D$15="Yes"),", "&amp;H$1,"")&amp;IF(AND(I577&lt;&gt;"Accepted",I577&lt;&gt;"Not Needed",Settings!$E$15="Yes"),", "&amp;I$1,"")&amp;IF(AND(J577&lt;&gt;"Accepted",J577&lt;&gt;"Not Needed",Settings!$F$15="Yes"),", "&amp;J$1,"")&amp;IF(AND(K577&lt;&gt;"Accepted",K577&lt;&gt;"Not Needed",Settings!$G$15="Yes"),", "&amp;K$1,"")&amp;IF(AND(L577&lt;&gt;"Accepted",L577&lt;&gt;"Not Needed",Settings!$H$15="Yes"),", "&amp;L$1,"")&amp;IF(AND(M577&lt;&gt;"Accepted",M577&lt;&gt;"Not Needed",Settings!$I$15="Yes"),", "&amp;M$1,"")&amp;IF(AND(N577&lt;&gt;"Accepted",N577&lt;&gt;"Not Needed",Settings!$J$15="Yes"),", "&amp;N$1,""),3,400))))</f>
        <v/>
      </c>
    </row>
    <row r="578" ht="15" customHeight="1" s="21">
      <c r="A578" s="31" t="n"/>
      <c r="B578" s="31" t="n"/>
      <c r="C578" s="31" t="n"/>
      <c r="D578" s="31" t="n"/>
      <c r="E578" s="31" t="n"/>
      <c r="F578" s="31" t="n"/>
      <c r="G578" s="31" t="n"/>
      <c r="H578" s="31" t="n"/>
      <c r="I578" s="31" t="n"/>
      <c r="J578" s="31" t="n"/>
      <c r="K578" s="31" t="n"/>
      <c r="L578" s="31" t="n"/>
      <c r="M578" s="31" t="n"/>
      <c r="N578" s="31" t="n"/>
      <c r="O578" s="32">
        <f>IF($B578="","",COUNTIF(G578:N578,"Accepted")+COUNTIF(G578:N578,"Received")+COUNTIF(G578:N578,"Needs Correction"))</f>
        <v/>
      </c>
      <c r="P578" s="32">
        <f>IF($B578="","",SUMPRODUCT(((G578:N578="Accepted")+(G578:N578="Not Needed"))*(Settings!$C$11:$J$11="Yes")))</f>
        <v/>
      </c>
      <c r="Q578" s="32">
        <f>IF($B578="","",SUMPRODUCT(((G578:N578="Accepted")+(G578:N578="Not Needed"))*(Settings!$C$15:$J$15="Yes")))</f>
        <v/>
      </c>
      <c r="R578" s="33">
        <f>IF($B578="","",IF($D578="No","No PTO/PTA",IF($D578&lt;&gt;"Yes","Not Yet Confirmed",IF($Q578&gt;=Settings!$C$13,"Legalized",IF($P578&gt;=Settings!$C$12,"Registered",IF($O578&gt;0,"In Progress","Not Started"))))))</f>
        <v/>
      </c>
      <c r="S578" s="32">
        <f>IF($B578="","",COUNTIF(G578:N578,"Received"))</f>
        <v/>
      </c>
      <c r="T578" s="32">
        <f>IF($B578="","",COUNTIF(G578:N578,"Needs Correction"))</f>
        <v/>
      </c>
      <c r="U578" s="33">
        <f>IF($B578="","",IF($D578&lt;&gt;"Yes","",IF($Q578&gt;=Settings!$C$13,"None",MID(IF(AND(G578&lt;&gt;"Accepted",G578&lt;&gt;"Not Needed",Settings!$C$15="Yes"),", "&amp;G$1,"")&amp;IF(AND(H578&lt;&gt;"Accepted",H578&lt;&gt;"Not Needed",Settings!$D$15="Yes"),", "&amp;H$1,"")&amp;IF(AND(I578&lt;&gt;"Accepted",I578&lt;&gt;"Not Needed",Settings!$E$15="Yes"),", "&amp;I$1,"")&amp;IF(AND(J578&lt;&gt;"Accepted",J578&lt;&gt;"Not Needed",Settings!$F$15="Yes"),", "&amp;J$1,"")&amp;IF(AND(K578&lt;&gt;"Accepted",K578&lt;&gt;"Not Needed",Settings!$G$15="Yes"),", "&amp;K$1,"")&amp;IF(AND(L578&lt;&gt;"Accepted",L578&lt;&gt;"Not Needed",Settings!$H$15="Yes"),", "&amp;L$1,"")&amp;IF(AND(M578&lt;&gt;"Accepted",M578&lt;&gt;"Not Needed",Settings!$I$15="Yes"),", "&amp;M$1,"")&amp;IF(AND(N578&lt;&gt;"Accepted",N578&lt;&gt;"Not Needed",Settings!$J$15="Yes"),", "&amp;N$1,""),3,400))))</f>
        <v/>
      </c>
    </row>
    <row r="579" ht="15" customHeight="1" s="21">
      <c r="A579" s="31" t="n"/>
      <c r="B579" s="31" t="n"/>
      <c r="C579" s="31" t="n"/>
      <c r="D579" s="31" t="n"/>
      <c r="E579" s="31" t="n"/>
      <c r="F579" s="31" t="n"/>
      <c r="G579" s="31" t="n"/>
      <c r="H579" s="31" t="n"/>
      <c r="I579" s="31" t="n"/>
      <c r="J579" s="31" t="n"/>
      <c r="K579" s="31" t="n"/>
      <c r="L579" s="31" t="n"/>
      <c r="M579" s="31" t="n"/>
      <c r="N579" s="31" t="n"/>
      <c r="O579" s="32">
        <f>IF($B579="","",COUNTIF(G579:N579,"Accepted")+COUNTIF(G579:N579,"Received")+COUNTIF(G579:N579,"Needs Correction"))</f>
        <v/>
      </c>
      <c r="P579" s="32">
        <f>IF($B579="","",SUMPRODUCT(((G579:N579="Accepted")+(G579:N579="Not Needed"))*(Settings!$C$11:$J$11="Yes")))</f>
        <v/>
      </c>
      <c r="Q579" s="32">
        <f>IF($B579="","",SUMPRODUCT(((G579:N579="Accepted")+(G579:N579="Not Needed"))*(Settings!$C$15:$J$15="Yes")))</f>
        <v/>
      </c>
      <c r="R579" s="33">
        <f>IF($B579="","",IF($D579="No","No PTO/PTA",IF($D579&lt;&gt;"Yes","Not Yet Confirmed",IF($Q579&gt;=Settings!$C$13,"Legalized",IF($P579&gt;=Settings!$C$12,"Registered",IF($O579&gt;0,"In Progress","Not Started"))))))</f>
        <v/>
      </c>
      <c r="S579" s="32">
        <f>IF($B579="","",COUNTIF(G579:N579,"Received"))</f>
        <v/>
      </c>
      <c r="T579" s="32">
        <f>IF($B579="","",COUNTIF(G579:N579,"Needs Correction"))</f>
        <v/>
      </c>
      <c r="U579" s="33">
        <f>IF($B579="","",IF($D579&lt;&gt;"Yes","",IF($Q579&gt;=Settings!$C$13,"None",MID(IF(AND(G579&lt;&gt;"Accepted",G579&lt;&gt;"Not Needed",Settings!$C$15="Yes"),", "&amp;G$1,"")&amp;IF(AND(H579&lt;&gt;"Accepted",H579&lt;&gt;"Not Needed",Settings!$D$15="Yes"),", "&amp;H$1,"")&amp;IF(AND(I579&lt;&gt;"Accepted",I579&lt;&gt;"Not Needed",Settings!$E$15="Yes"),", "&amp;I$1,"")&amp;IF(AND(J579&lt;&gt;"Accepted",J579&lt;&gt;"Not Needed",Settings!$F$15="Yes"),", "&amp;J$1,"")&amp;IF(AND(K579&lt;&gt;"Accepted",K579&lt;&gt;"Not Needed",Settings!$G$15="Yes"),", "&amp;K$1,"")&amp;IF(AND(L579&lt;&gt;"Accepted",L579&lt;&gt;"Not Needed",Settings!$H$15="Yes"),", "&amp;L$1,"")&amp;IF(AND(M579&lt;&gt;"Accepted",M579&lt;&gt;"Not Needed",Settings!$I$15="Yes"),", "&amp;M$1,"")&amp;IF(AND(N579&lt;&gt;"Accepted",N579&lt;&gt;"Not Needed",Settings!$J$15="Yes"),", "&amp;N$1,""),3,400))))</f>
        <v/>
      </c>
    </row>
    <row r="580" ht="15" customHeight="1" s="21">
      <c r="A580" s="31" t="n"/>
      <c r="B580" s="31" t="n"/>
      <c r="C580" s="31" t="n"/>
      <c r="D580" s="31" t="n"/>
      <c r="E580" s="31" t="n"/>
      <c r="F580" s="31" t="n"/>
      <c r="G580" s="31" t="n"/>
      <c r="H580" s="31" t="n"/>
      <c r="I580" s="31" t="n"/>
      <c r="J580" s="31" t="n"/>
      <c r="K580" s="31" t="n"/>
      <c r="L580" s="31" t="n"/>
      <c r="M580" s="31" t="n"/>
      <c r="N580" s="31" t="n"/>
      <c r="O580" s="32">
        <f>IF($B580="","",COUNTIF(G580:N580,"Accepted")+COUNTIF(G580:N580,"Received")+COUNTIF(G580:N580,"Needs Correction"))</f>
        <v/>
      </c>
      <c r="P580" s="32">
        <f>IF($B580="","",SUMPRODUCT(((G580:N580="Accepted")+(G580:N580="Not Needed"))*(Settings!$C$11:$J$11="Yes")))</f>
        <v/>
      </c>
      <c r="Q580" s="32">
        <f>IF($B580="","",SUMPRODUCT(((G580:N580="Accepted")+(G580:N580="Not Needed"))*(Settings!$C$15:$J$15="Yes")))</f>
        <v/>
      </c>
      <c r="R580" s="33">
        <f>IF($B580="","",IF($D580="No","No PTO/PTA",IF($D580&lt;&gt;"Yes","Not Yet Confirmed",IF($Q580&gt;=Settings!$C$13,"Legalized",IF($P580&gt;=Settings!$C$12,"Registered",IF($O580&gt;0,"In Progress","Not Started"))))))</f>
        <v/>
      </c>
      <c r="S580" s="32">
        <f>IF($B580="","",COUNTIF(G580:N580,"Received"))</f>
        <v/>
      </c>
      <c r="T580" s="32">
        <f>IF($B580="","",COUNTIF(G580:N580,"Needs Correction"))</f>
        <v/>
      </c>
      <c r="U580" s="33">
        <f>IF($B580="","",IF($D580&lt;&gt;"Yes","",IF($Q580&gt;=Settings!$C$13,"None",MID(IF(AND(G580&lt;&gt;"Accepted",G580&lt;&gt;"Not Needed",Settings!$C$15="Yes"),", "&amp;G$1,"")&amp;IF(AND(H580&lt;&gt;"Accepted",H580&lt;&gt;"Not Needed",Settings!$D$15="Yes"),", "&amp;H$1,"")&amp;IF(AND(I580&lt;&gt;"Accepted",I580&lt;&gt;"Not Needed",Settings!$E$15="Yes"),", "&amp;I$1,"")&amp;IF(AND(J580&lt;&gt;"Accepted",J580&lt;&gt;"Not Needed",Settings!$F$15="Yes"),", "&amp;J$1,"")&amp;IF(AND(K580&lt;&gt;"Accepted",K580&lt;&gt;"Not Needed",Settings!$G$15="Yes"),", "&amp;K$1,"")&amp;IF(AND(L580&lt;&gt;"Accepted",L580&lt;&gt;"Not Needed",Settings!$H$15="Yes"),", "&amp;L$1,"")&amp;IF(AND(M580&lt;&gt;"Accepted",M580&lt;&gt;"Not Needed",Settings!$I$15="Yes"),", "&amp;M$1,"")&amp;IF(AND(N580&lt;&gt;"Accepted",N580&lt;&gt;"Not Needed",Settings!$J$15="Yes"),", "&amp;N$1,""),3,400))))</f>
        <v/>
      </c>
    </row>
    <row r="581" ht="15" customHeight="1" s="21">
      <c r="A581" s="31" t="n"/>
      <c r="B581" s="31" t="n"/>
      <c r="C581" s="31" t="n"/>
      <c r="D581" s="31" t="n"/>
      <c r="E581" s="31" t="n"/>
      <c r="F581" s="31" t="n"/>
      <c r="G581" s="31" t="n"/>
      <c r="H581" s="31" t="n"/>
      <c r="I581" s="31" t="n"/>
      <c r="J581" s="31" t="n"/>
      <c r="K581" s="31" t="n"/>
      <c r="L581" s="31" t="n"/>
      <c r="M581" s="31" t="n"/>
      <c r="N581" s="31" t="n"/>
      <c r="O581" s="32">
        <f>IF($B581="","",COUNTIF(G581:N581,"Accepted")+COUNTIF(G581:N581,"Received")+COUNTIF(G581:N581,"Needs Correction"))</f>
        <v/>
      </c>
      <c r="P581" s="32">
        <f>IF($B581="","",SUMPRODUCT(((G581:N581="Accepted")+(G581:N581="Not Needed"))*(Settings!$C$11:$J$11="Yes")))</f>
        <v/>
      </c>
      <c r="Q581" s="32">
        <f>IF($B581="","",SUMPRODUCT(((G581:N581="Accepted")+(G581:N581="Not Needed"))*(Settings!$C$15:$J$15="Yes")))</f>
        <v/>
      </c>
      <c r="R581" s="33">
        <f>IF($B581="","",IF($D581="No","No PTO/PTA",IF($D581&lt;&gt;"Yes","Not Yet Confirmed",IF($Q581&gt;=Settings!$C$13,"Legalized",IF($P581&gt;=Settings!$C$12,"Registered",IF($O581&gt;0,"In Progress","Not Started"))))))</f>
        <v/>
      </c>
      <c r="S581" s="32">
        <f>IF($B581="","",COUNTIF(G581:N581,"Received"))</f>
        <v/>
      </c>
      <c r="T581" s="32">
        <f>IF($B581="","",COUNTIF(G581:N581,"Needs Correction"))</f>
        <v/>
      </c>
      <c r="U581" s="33">
        <f>IF($B581="","",IF($D581&lt;&gt;"Yes","",IF($Q581&gt;=Settings!$C$13,"None",MID(IF(AND(G581&lt;&gt;"Accepted",G581&lt;&gt;"Not Needed",Settings!$C$15="Yes"),", "&amp;G$1,"")&amp;IF(AND(H581&lt;&gt;"Accepted",H581&lt;&gt;"Not Needed",Settings!$D$15="Yes"),", "&amp;H$1,"")&amp;IF(AND(I581&lt;&gt;"Accepted",I581&lt;&gt;"Not Needed",Settings!$E$15="Yes"),", "&amp;I$1,"")&amp;IF(AND(J581&lt;&gt;"Accepted",J581&lt;&gt;"Not Needed",Settings!$F$15="Yes"),", "&amp;J$1,"")&amp;IF(AND(K581&lt;&gt;"Accepted",K581&lt;&gt;"Not Needed",Settings!$G$15="Yes"),", "&amp;K$1,"")&amp;IF(AND(L581&lt;&gt;"Accepted",L581&lt;&gt;"Not Needed",Settings!$H$15="Yes"),", "&amp;L$1,"")&amp;IF(AND(M581&lt;&gt;"Accepted",M581&lt;&gt;"Not Needed",Settings!$I$15="Yes"),", "&amp;M$1,"")&amp;IF(AND(N581&lt;&gt;"Accepted",N581&lt;&gt;"Not Needed",Settings!$J$15="Yes"),", "&amp;N$1,""),3,400))))</f>
        <v/>
      </c>
    </row>
    <row r="582" ht="15" customHeight="1" s="21">
      <c r="A582" s="31" t="n"/>
      <c r="B582" s="31" t="n"/>
      <c r="C582" s="31" t="n"/>
      <c r="D582" s="31" t="n"/>
      <c r="E582" s="31" t="n"/>
      <c r="F582" s="31" t="n"/>
      <c r="G582" s="31" t="n"/>
      <c r="H582" s="31" t="n"/>
      <c r="I582" s="31" t="n"/>
      <c r="J582" s="31" t="n"/>
      <c r="K582" s="31" t="n"/>
      <c r="L582" s="31" t="n"/>
      <c r="M582" s="31" t="n"/>
      <c r="N582" s="31" t="n"/>
      <c r="O582" s="32">
        <f>IF($B582="","",COUNTIF(G582:N582,"Accepted")+COUNTIF(G582:N582,"Received")+COUNTIF(G582:N582,"Needs Correction"))</f>
        <v/>
      </c>
      <c r="P582" s="32">
        <f>IF($B582="","",SUMPRODUCT(((G582:N582="Accepted")+(G582:N582="Not Needed"))*(Settings!$C$11:$J$11="Yes")))</f>
        <v/>
      </c>
      <c r="Q582" s="32">
        <f>IF($B582="","",SUMPRODUCT(((G582:N582="Accepted")+(G582:N582="Not Needed"))*(Settings!$C$15:$J$15="Yes")))</f>
        <v/>
      </c>
      <c r="R582" s="33">
        <f>IF($B582="","",IF($D582="No","No PTO/PTA",IF($D582&lt;&gt;"Yes","Not Yet Confirmed",IF($Q582&gt;=Settings!$C$13,"Legalized",IF($P582&gt;=Settings!$C$12,"Registered",IF($O582&gt;0,"In Progress","Not Started"))))))</f>
        <v/>
      </c>
      <c r="S582" s="32">
        <f>IF($B582="","",COUNTIF(G582:N582,"Received"))</f>
        <v/>
      </c>
      <c r="T582" s="32">
        <f>IF($B582="","",COUNTIF(G582:N582,"Needs Correction"))</f>
        <v/>
      </c>
      <c r="U582" s="33">
        <f>IF($B582="","",IF($D582&lt;&gt;"Yes","",IF($Q582&gt;=Settings!$C$13,"None",MID(IF(AND(G582&lt;&gt;"Accepted",G582&lt;&gt;"Not Needed",Settings!$C$15="Yes"),", "&amp;G$1,"")&amp;IF(AND(H582&lt;&gt;"Accepted",H582&lt;&gt;"Not Needed",Settings!$D$15="Yes"),", "&amp;H$1,"")&amp;IF(AND(I582&lt;&gt;"Accepted",I582&lt;&gt;"Not Needed",Settings!$E$15="Yes"),", "&amp;I$1,"")&amp;IF(AND(J582&lt;&gt;"Accepted",J582&lt;&gt;"Not Needed",Settings!$F$15="Yes"),", "&amp;J$1,"")&amp;IF(AND(K582&lt;&gt;"Accepted",K582&lt;&gt;"Not Needed",Settings!$G$15="Yes"),", "&amp;K$1,"")&amp;IF(AND(L582&lt;&gt;"Accepted",L582&lt;&gt;"Not Needed",Settings!$H$15="Yes"),", "&amp;L$1,"")&amp;IF(AND(M582&lt;&gt;"Accepted",M582&lt;&gt;"Not Needed",Settings!$I$15="Yes"),", "&amp;M$1,"")&amp;IF(AND(N582&lt;&gt;"Accepted",N582&lt;&gt;"Not Needed",Settings!$J$15="Yes"),", "&amp;N$1,""),3,400))))</f>
        <v/>
      </c>
    </row>
    <row r="583" ht="15" customHeight="1" s="21">
      <c r="A583" s="31" t="n"/>
      <c r="B583" s="31" t="n"/>
      <c r="C583" s="31" t="n"/>
      <c r="D583" s="31" t="n"/>
      <c r="E583" s="31" t="n"/>
      <c r="F583" s="31" t="n"/>
      <c r="G583" s="31" t="n"/>
      <c r="H583" s="31" t="n"/>
      <c r="I583" s="31" t="n"/>
      <c r="J583" s="31" t="n"/>
      <c r="K583" s="31" t="n"/>
      <c r="L583" s="31" t="n"/>
      <c r="M583" s="31" t="n"/>
      <c r="N583" s="31" t="n"/>
      <c r="O583" s="32">
        <f>IF($B583="","",COUNTIF(G583:N583,"Accepted")+COUNTIF(G583:N583,"Received")+COUNTIF(G583:N583,"Needs Correction"))</f>
        <v/>
      </c>
      <c r="P583" s="32">
        <f>IF($B583="","",SUMPRODUCT(((G583:N583="Accepted")+(G583:N583="Not Needed"))*(Settings!$C$11:$J$11="Yes")))</f>
        <v/>
      </c>
      <c r="Q583" s="32">
        <f>IF($B583="","",SUMPRODUCT(((G583:N583="Accepted")+(G583:N583="Not Needed"))*(Settings!$C$15:$J$15="Yes")))</f>
        <v/>
      </c>
      <c r="R583" s="33">
        <f>IF($B583="","",IF($D583="No","No PTO/PTA",IF($D583&lt;&gt;"Yes","Not Yet Confirmed",IF($Q583&gt;=Settings!$C$13,"Legalized",IF($P583&gt;=Settings!$C$12,"Registered",IF($O583&gt;0,"In Progress","Not Started"))))))</f>
        <v/>
      </c>
      <c r="S583" s="32">
        <f>IF($B583="","",COUNTIF(G583:N583,"Received"))</f>
        <v/>
      </c>
      <c r="T583" s="32">
        <f>IF($B583="","",COUNTIF(G583:N583,"Needs Correction"))</f>
        <v/>
      </c>
      <c r="U583" s="33">
        <f>IF($B583="","",IF($D583&lt;&gt;"Yes","",IF($Q583&gt;=Settings!$C$13,"None",MID(IF(AND(G583&lt;&gt;"Accepted",G583&lt;&gt;"Not Needed",Settings!$C$15="Yes"),", "&amp;G$1,"")&amp;IF(AND(H583&lt;&gt;"Accepted",H583&lt;&gt;"Not Needed",Settings!$D$15="Yes"),", "&amp;H$1,"")&amp;IF(AND(I583&lt;&gt;"Accepted",I583&lt;&gt;"Not Needed",Settings!$E$15="Yes"),", "&amp;I$1,"")&amp;IF(AND(J583&lt;&gt;"Accepted",J583&lt;&gt;"Not Needed",Settings!$F$15="Yes"),", "&amp;J$1,"")&amp;IF(AND(K583&lt;&gt;"Accepted",K583&lt;&gt;"Not Needed",Settings!$G$15="Yes"),", "&amp;K$1,"")&amp;IF(AND(L583&lt;&gt;"Accepted",L583&lt;&gt;"Not Needed",Settings!$H$15="Yes"),", "&amp;L$1,"")&amp;IF(AND(M583&lt;&gt;"Accepted",M583&lt;&gt;"Not Needed",Settings!$I$15="Yes"),", "&amp;M$1,"")&amp;IF(AND(N583&lt;&gt;"Accepted",N583&lt;&gt;"Not Needed",Settings!$J$15="Yes"),", "&amp;N$1,""),3,400))))</f>
        <v/>
      </c>
    </row>
    <row r="584" ht="15" customHeight="1" s="21">
      <c r="A584" s="31" t="n"/>
      <c r="B584" s="31" t="n"/>
      <c r="C584" s="31" t="n"/>
      <c r="D584" s="31" t="n"/>
      <c r="E584" s="31" t="n"/>
      <c r="F584" s="31" t="n"/>
      <c r="G584" s="31" t="n"/>
      <c r="H584" s="31" t="n"/>
      <c r="I584" s="31" t="n"/>
      <c r="J584" s="31" t="n"/>
      <c r="K584" s="31" t="n"/>
      <c r="L584" s="31" t="n"/>
      <c r="M584" s="31" t="n"/>
      <c r="N584" s="31" t="n"/>
      <c r="O584" s="32">
        <f>IF($B584="","",COUNTIF(G584:N584,"Accepted")+COUNTIF(G584:N584,"Received")+COUNTIF(G584:N584,"Needs Correction"))</f>
        <v/>
      </c>
      <c r="P584" s="32">
        <f>IF($B584="","",SUMPRODUCT(((G584:N584="Accepted")+(G584:N584="Not Needed"))*(Settings!$C$11:$J$11="Yes")))</f>
        <v/>
      </c>
      <c r="Q584" s="32">
        <f>IF($B584="","",SUMPRODUCT(((G584:N584="Accepted")+(G584:N584="Not Needed"))*(Settings!$C$15:$J$15="Yes")))</f>
        <v/>
      </c>
      <c r="R584" s="33">
        <f>IF($B584="","",IF($D584="No","No PTO/PTA",IF($D584&lt;&gt;"Yes","Not Yet Confirmed",IF($Q584&gt;=Settings!$C$13,"Legalized",IF($P584&gt;=Settings!$C$12,"Registered",IF($O584&gt;0,"In Progress","Not Started"))))))</f>
        <v/>
      </c>
      <c r="S584" s="32">
        <f>IF($B584="","",COUNTIF(G584:N584,"Received"))</f>
        <v/>
      </c>
      <c r="T584" s="32">
        <f>IF($B584="","",COUNTIF(G584:N584,"Needs Correction"))</f>
        <v/>
      </c>
      <c r="U584" s="33">
        <f>IF($B584="","",IF($D584&lt;&gt;"Yes","",IF($Q584&gt;=Settings!$C$13,"None",MID(IF(AND(G584&lt;&gt;"Accepted",G584&lt;&gt;"Not Needed",Settings!$C$15="Yes"),", "&amp;G$1,"")&amp;IF(AND(H584&lt;&gt;"Accepted",H584&lt;&gt;"Not Needed",Settings!$D$15="Yes"),", "&amp;H$1,"")&amp;IF(AND(I584&lt;&gt;"Accepted",I584&lt;&gt;"Not Needed",Settings!$E$15="Yes"),", "&amp;I$1,"")&amp;IF(AND(J584&lt;&gt;"Accepted",J584&lt;&gt;"Not Needed",Settings!$F$15="Yes"),", "&amp;J$1,"")&amp;IF(AND(K584&lt;&gt;"Accepted",K584&lt;&gt;"Not Needed",Settings!$G$15="Yes"),", "&amp;K$1,"")&amp;IF(AND(L584&lt;&gt;"Accepted",L584&lt;&gt;"Not Needed",Settings!$H$15="Yes"),", "&amp;L$1,"")&amp;IF(AND(M584&lt;&gt;"Accepted",M584&lt;&gt;"Not Needed",Settings!$I$15="Yes"),", "&amp;M$1,"")&amp;IF(AND(N584&lt;&gt;"Accepted",N584&lt;&gt;"Not Needed",Settings!$J$15="Yes"),", "&amp;N$1,""),3,400))))</f>
        <v/>
      </c>
    </row>
    <row r="585" ht="15" customHeight="1" s="21">
      <c r="A585" s="31" t="n"/>
      <c r="B585" s="31" t="n"/>
      <c r="C585" s="31" t="n"/>
      <c r="D585" s="31" t="n"/>
      <c r="E585" s="31" t="n"/>
      <c r="F585" s="31" t="n"/>
      <c r="G585" s="31" t="n"/>
      <c r="H585" s="31" t="n"/>
      <c r="I585" s="31" t="n"/>
      <c r="J585" s="31" t="n"/>
      <c r="K585" s="31" t="n"/>
      <c r="L585" s="31" t="n"/>
      <c r="M585" s="31" t="n"/>
      <c r="N585" s="31" t="n"/>
      <c r="O585" s="32">
        <f>IF($B585="","",COUNTIF(G585:N585,"Accepted")+COUNTIF(G585:N585,"Received")+COUNTIF(G585:N585,"Needs Correction"))</f>
        <v/>
      </c>
      <c r="P585" s="32">
        <f>IF($B585="","",SUMPRODUCT(((G585:N585="Accepted")+(G585:N585="Not Needed"))*(Settings!$C$11:$J$11="Yes")))</f>
        <v/>
      </c>
      <c r="Q585" s="32">
        <f>IF($B585="","",SUMPRODUCT(((G585:N585="Accepted")+(G585:N585="Not Needed"))*(Settings!$C$15:$J$15="Yes")))</f>
        <v/>
      </c>
      <c r="R585" s="33">
        <f>IF($B585="","",IF($D585="No","No PTO/PTA",IF($D585&lt;&gt;"Yes","Not Yet Confirmed",IF($Q585&gt;=Settings!$C$13,"Legalized",IF($P585&gt;=Settings!$C$12,"Registered",IF($O585&gt;0,"In Progress","Not Started"))))))</f>
        <v/>
      </c>
      <c r="S585" s="32">
        <f>IF($B585="","",COUNTIF(G585:N585,"Received"))</f>
        <v/>
      </c>
      <c r="T585" s="32">
        <f>IF($B585="","",COUNTIF(G585:N585,"Needs Correction"))</f>
        <v/>
      </c>
      <c r="U585" s="33">
        <f>IF($B585="","",IF($D585&lt;&gt;"Yes","",IF($Q585&gt;=Settings!$C$13,"None",MID(IF(AND(G585&lt;&gt;"Accepted",G585&lt;&gt;"Not Needed",Settings!$C$15="Yes"),", "&amp;G$1,"")&amp;IF(AND(H585&lt;&gt;"Accepted",H585&lt;&gt;"Not Needed",Settings!$D$15="Yes"),", "&amp;H$1,"")&amp;IF(AND(I585&lt;&gt;"Accepted",I585&lt;&gt;"Not Needed",Settings!$E$15="Yes"),", "&amp;I$1,"")&amp;IF(AND(J585&lt;&gt;"Accepted",J585&lt;&gt;"Not Needed",Settings!$F$15="Yes"),", "&amp;J$1,"")&amp;IF(AND(K585&lt;&gt;"Accepted",K585&lt;&gt;"Not Needed",Settings!$G$15="Yes"),", "&amp;K$1,"")&amp;IF(AND(L585&lt;&gt;"Accepted",L585&lt;&gt;"Not Needed",Settings!$H$15="Yes"),", "&amp;L$1,"")&amp;IF(AND(M585&lt;&gt;"Accepted",M585&lt;&gt;"Not Needed",Settings!$I$15="Yes"),", "&amp;M$1,"")&amp;IF(AND(N585&lt;&gt;"Accepted",N585&lt;&gt;"Not Needed",Settings!$J$15="Yes"),", "&amp;N$1,""),3,400))))</f>
        <v/>
      </c>
    </row>
    <row r="586" ht="15" customHeight="1" s="21">
      <c r="A586" s="31" t="n"/>
      <c r="B586" s="31" t="n"/>
      <c r="C586" s="31" t="n"/>
      <c r="D586" s="31" t="n"/>
      <c r="E586" s="31" t="n"/>
      <c r="F586" s="31" t="n"/>
      <c r="G586" s="31" t="n"/>
      <c r="H586" s="31" t="n"/>
      <c r="I586" s="31" t="n"/>
      <c r="J586" s="31" t="n"/>
      <c r="K586" s="31" t="n"/>
      <c r="L586" s="31" t="n"/>
      <c r="M586" s="31" t="n"/>
      <c r="N586" s="31" t="n"/>
      <c r="O586" s="32">
        <f>IF($B586="","",COUNTIF(G586:N586,"Accepted")+COUNTIF(G586:N586,"Received")+COUNTIF(G586:N586,"Needs Correction"))</f>
        <v/>
      </c>
      <c r="P586" s="32">
        <f>IF($B586="","",SUMPRODUCT(((G586:N586="Accepted")+(G586:N586="Not Needed"))*(Settings!$C$11:$J$11="Yes")))</f>
        <v/>
      </c>
      <c r="Q586" s="32">
        <f>IF($B586="","",SUMPRODUCT(((G586:N586="Accepted")+(G586:N586="Not Needed"))*(Settings!$C$15:$J$15="Yes")))</f>
        <v/>
      </c>
      <c r="R586" s="33">
        <f>IF($B586="","",IF($D586="No","No PTO/PTA",IF($D586&lt;&gt;"Yes","Not Yet Confirmed",IF($Q586&gt;=Settings!$C$13,"Legalized",IF($P586&gt;=Settings!$C$12,"Registered",IF($O586&gt;0,"In Progress","Not Started"))))))</f>
        <v/>
      </c>
      <c r="S586" s="32">
        <f>IF($B586="","",COUNTIF(G586:N586,"Received"))</f>
        <v/>
      </c>
      <c r="T586" s="32">
        <f>IF($B586="","",COUNTIF(G586:N586,"Needs Correction"))</f>
        <v/>
      </c>
      <c r="U586" s="33">
        <f>IF($B586="","",IF($D586&lt;&gt;"Yes","",IF($Q586&gt;=Settings!$C$13,"None",MID(IF(AND(G586&lt;&gt;"Accepted",G586&lt;&gt;"Not Needed",Settings!$C$15="Yes"),", "&amp;G$1,"")&amp;IF(AND(H586&lt;&gt;"Accepted",H586&lt;&gt;"Not Needed",Settings!$D$15="Yes"),", "&amp;H$1,"")&amp;IF(AND(I586&lt;&gt;"Accepted",I586&lt;&gt;"Not Needed",Settings!$E$15="Yes"),", "&amp;I$1,"")&amp;IF(AND(J586&lt;&gt;"Accepted",J586&lt;&gt;"Not Needed",Settings!$F$15="Yes"),", "&amp;J$1,"")&amp;IF(AND(K586&lt;&gt;"Accepted",K586&lt;&gt;"Not Needed",Settings!$G$15="Yes"),", "&amp;K$1,"")&amp;IF(AND(L586&lt;&gt;"Accepted",L586&lt;&gt;"Not Needed",Settings!$H$15="Yes"),", "&amp;L$1,"")&amp;IF(AND(M586&lt;&gt;"Accepted",M586&lt;&gt;"Not Needed",Settings!$I$15="Yes"),", "&amp;M$1,"")&amp;IF(AND(N586&lt;&gt;"Accepted",N586&lt;&gt;"Not Needed",Settings!$J$15="Yes"),", "&amp;N$1,""),3,400))))</f>
        <v/>
      </c>
    </row>
    <row r="587" ht="15" customHeight="1" s="21">
      <c r="A587" s="31" t="n"/>
      <c r="B587" s="31" t="n"/>
      <c r="C587" s="31" t="n"/>
      <c r="D587" s="31" t="n"/>
      <c r="E587" s="31" t="n"/>
      <c r="F587" s="31" t="n"/>
      <c r="G587" s="31" t="n"/>
      <c r="H587" s="31" t="n"/>
      <c r="I587" s="31" t="n"/>
      <c r="J587" s="31" t="n"/>
      <c r="K587" s="31" t="n"/>
      <c r="L587" s="31" t="n"/>
      <c r="M587" s="31" t="n"/>
      <c r="N587" s="31" t="n"/>
      <c r="O587" s="32">
        <f>IF($B587="","",COUNTIF(G587:N587,"Accepted")+COUNTIF(G587:N587,"Received")+COUNTIF(G587:N587,"Needs Correction"))</f>
        <v/>
      </c>
      <c r="P587" s="32">
        <f>IF($B587="","",SUMPRODUCT(((G587:N587="Accepted")+(G587:N587="Not Needed"))*(Settings!$C$11:$J$11="Yes")))</f>
        <v/>
      </c>
      <c r="Q587" s="32">
        <f>IF($B587="","",SUMPRODUCT(((G587:N587="Accepted")+(G587:N587="Not Needed"))*(Settings!$C$15:$J$15="Yes")))</f>
        <v/>
      </c>
      <c r="R587" s="33">
        <f>IF($B587="","",IF($D587="No","No PTO/PTA",IF($D587&lt;&gt;"Yes","Not Yet Confirmed",IF($Q587&gt;=Settings!$C$13,"Legalized",IF($P587&gt;=Settings!$C$12,"Registered",IF($O587&gt;0,"In Progress","Not Started"))))))</f>
        <v/>
      </c>
      <c r="S587" s="32">
        <f>IF($B587="","",COUNTIF(G587:N587,"Received"))</f>
        <v/>
      </c>
      <c r="T587" s="32">
        <f>IF($B587="","",COUNTIF(G587:N587,"Needs Correction"))</f>
        <v/>
      </c>
      <c r="U587" s="33">
        <f>IF($B587="","",IF($D587&lt;&gt;"Yes","",IF($Q587&gt;=Settings!$C$13,"None",MID(IF(AND(G587&lt;&gt;"Accepted",G587&lt;&gt;"Not Needed",Settings!$C$15="Yes"),", "&amp;G$1,"")&amp;IF(AND(H587&lt;&gt;"Accepted",H587&lt;&gt;"Not Needed",Settings!$D$15="Yes"),", "&amp;H$1,"")&amp;IF(AND(I587&lt;&gt;"Accepted",I587&lt;&gt;"Not Needed",Settings!$E$15="Yes"),", "&amp;I$1,"")&amp;IF(AND(J587&lt;&gt;"Accepted",J587&lt;&gt;"Not Needed",Settings!$F$15="Yes"),", "&amp;J$1,"")&amp;IF(AND(K587&lt;&gt;"Accepted",K587&lt;&gt;"Not Needed",Settings!$G$15="Yes"),", "&amp;K$1,"")&amp;IF(AND(L587&lt;&gt;"Accepted",L587&lt;&gt;"Not Needed",Settings!$H$15="Yes"),", "&amp;L$1,"")&amp;IF(AND(M587&lt;&gt;"Accepted",M587&lt;&gt;"Not Needed",Settings!$I$15="Yes"),", "&amp;M$1,"")&amp;IF(AND(N587&lt;&gt;"Accepted",N587&lt;&gt;"Not Needed",Settings!$J$15="Yes"),", "&amp;N$1,""),3,400))))</f>
        <v/>
      </c>
    </row>
    <row r="588" ht="15" customHeight="1" s="21">
      <c r="A588" s="31" t="n"/>
      <c r="B588" s="31" t="n"/>
      <c r="C588" s="31" t="n"/>
      <c r="D588" s="31" t="n"/>
      <c r="E588" s="31" t="n"/>
      <c r="F588" s="31" t="n"/>
      <c r="G588" s="31" t="n"/>
      <c r="H588" s="31" t="n"/>
      <c r="I588" s="31" t="n"/>
      <c r="J588" s="31" t="n"/>
      <c r="K588" s="31" t="n"/>
      <c r="L588" s="31" t="n"/>
      <c r="M588" s="31" t="n"/>
      <c r="N588" s="31" t="n"/>
      <c r="O588" s="32">
        <f>IF($B588="","",COUNTIF(G588:N588,"Accepted")+COUNTIF(G588:N588,"Received")+COUNTIF(G588:N588,"Needs Correction"))</f>
        <v/>
      </c>
      <c r="P588" s="32">
        <f>IF($B588="","",SUMPRODUCT(((G588:N588="Accepted")+(G588:N588="Not Needed"))*(Settings!$C$11:$J$11="Yes")))</f>
        <v/>
      </c>
      <c r="Q588" s="32">
        <f>IF($B588="","",SUMPRODUCT(((G588:N588="Accepted")+(G588:N588="Not Needed"))*(Settings!$C$15:$J$15="Yes")))</f>
        <v/>
      </c>
      <c r="R588" s="33">
        <f>IF($B588="","",IF($D588="No","No PTO/PTA",IF($D588&lt;&gt;"Yes","Not Yet Confirmed",IF($Q588&gt;=Settings!$C$13,"Legalized",IF($P588&gt;=Settings!$C$12,"Registered",IF($O588&gt;0,"In Progress","Not Started"))))))</f>
        <v/>
      </c>
      <c r="S588" s="32">
        <f>IF($B588="","",COUNTIF(G588:N588,"Received"))</f>
        <v/>
      </c>
      <c r="T588" s="32">
        <f>IF($B588="","",COUNTIF(G588:N588,"Needs Correction"))</f>
        <v/>
      </c>
      <c r="U588" s="33">
        <f>IF($B588="","",IF($D588&lt;&gt;"Yes","",IF($Q588&gt;=Settings!$C$13,"None",MID(IF(AND(G588&lt;&gt;"Accepted",G588&lt;&gt;"Not Needed",Settings!$C$15="Yes"),", "&amp;G$1,"")&amp;IF(AND(H588&lt;&gt;"Accepted",H588&lt;&gt;"Not Needed",Settings!$D$15="Yes"),", "&amp;H$1,"")&amp;IF(AND(I588&lt;&gt;"Accepted",I588&lt;&gt;"Not Needed",Settings!$E$15="Yes"),", "&amp;I$1,"")&amp;IF(AND(J588&lt;&gt;"Accepted",J588&lt;&gt;"Not Needed",Settings!$F$15="Yes"),", "&amp;J$1,"")&amp;IF(AND(K588&lt;&gt;"Accepted",K588&lt;&gt;"Not Needed",Settings!$G$15="Yes"),", "&amp;K$1,"")&amp;IF(AND(L588&lt;&gt;"Accepted",L588&lt;&gt;"Not Needed",Settings!$H$15="Yes"),", "&amp;L$1,"")&amp;IF(AND(M588&lt;&gt;"Accepted",M588&lt;&gt;"Not Needed",Settings!$I$15="Yes"),", "&amp;M$1,"")&amp;IF(AND(N588&lt;&gt;"Accepted",N588&lt;&gt;"Not Needed",Settings!$J$15="Yes"),", "&amp;N$1,""),3,400))))</f>
        <v/>
      </c>
    </row>
    <row r="589" ht="15" customHeight="1" s="21">
      <c r="A589" s="31" t="n"/>
      <c r="B589" s="31" t="n"/>
      <c r="C589" s="31" t="n"/>
      <c r="D589" s="31" t="n"/>
      <c r="E589" s="31" t="n"/>
      <c r="F589" s="31" t="n"/>
      <c r="G589" s="31" t="n"/>
      <c r="H589" s="31" t="n"/>
      <c r="I589" s="31" t="n"/>
      <c r="J589" s="31" t="n"/>
      <c r="K589" s="31" t="n"/>
      <c r="L589" s="31" t="n"/>
      <c r="M589" s="31" t="n"/>
      <c r="N589" s="31" t="n"/>
      <c r="O589" s="32">
        <f>IF($B589="","",COUNTIF(G589:N589,"Accepted")+COUNTIF(G589:N589,"Received")+COUNTIF(G589:N589,"Needs Correction"))</f>
        <v/>
      </c>
      <c r="P589" s="32">
        <f>IF($B589="","",SUMPRODUCT(((G589:N589="Accepted")+(G589:N589="Not Needed"))*(Settings!$C$11:$J$11="Yes")))</f>
        <v/>
      </c>
      <c r="Q589" s="32">
        <f>IF($B589="","",SUMPRODUCT(((G589:N589="Accepted")+(G589:N589="Not Needed"))*(Settings!$C$15:$J$15="Yes")))</f>
        <v/>
      </c>
      <c r="R589" s="33">
        <f>IF($B589="","",IF($D589="No","No PTO/PTA",IF($D589&lt;&gt;"Yes","Not Yet Confirmed",IF($Q589&gt;=Settings!$C$13,"Legalized",IF($P589&gt;=Settings!$C$12,"Registered",IF($O589&gt;0,"In Progress","Not Started"))))))</f>
        <v/>
      </c>
      <c r="S589" s="32">
        <f>IF($B589="","",COUNTIF(G589:N589,"Received"))</f>
        <v/>
      </c>
      <c r="T589" s="32">
        <f>IF($B589="","",COUNTIF(G589:N589,"Needs Correction"))</f>
        <v/>
      </c>
      <c r="U589" s="33">
        <f>IF($B589="","",IF($D589&lt;&gt;"Yes","",IF($Q589&gt;=Settings!$C$13,"None",MID(IF(AND(G589&lt;&gt;"Accepted",G589&lt;&gt;"Not Needed",Settings!$C$15="Yes"),", "&amp;G$1,"")&amp;IF(AND(H589&lt;&gt;"Accepted",H589&lt;&gt;"Not Needed",Settings!$D$15="Yes"),", "&amp;H$1,"")&amp;IF(AND(I589&lt;&gt;"Accepted",I589&lt;&gt;"Not Needed",Settings!$E$15="Yes"),", "&amp;I$1,"")&amp;IF(AND(J589&lt;&gt;"Accepted",J589&lt;&gt;"Not Needed",Settings!$F$15="Yes"),", "&amp;J$1,"")&amp;IF(AND(K589&lt;&gt;"Accepted",K589&lt;&gt;"Not Needed",Settings!$G$15="Yes"),", "&amp;K$1,"")&amp;IF(AND(L589&lt;&gt;"Accepted",L589&lt;&gt;"Not Needed",Settings!$H$15="Yes"),", "&amp;L$1,"")&amp;IF(AND(M589&lt;&gt;"Accepted",M589&lt;&gt;"Not Needed",Settings!$I$15="Yes"),", "&amp;M$1,"")&amp;IF(AND(N589&lt;&gt;"Accepted",N589&lt;&gt;"Not Needed",Settings!$J$15="Yes"),", "&amp;N$1,""),3,400))))</f>
        <v/>
      </c>
    </row>
    <row r="590" ht="15" customHeight="1" s="21">
      <c r="A590" s="31" t="n"/>
      <c r="B590" s="31" t="n"/>
      <c r="C590" s="31" t="n"/>
      <c r="D590" s="31" t="n"/>
      <c r="E590" s="31" t="n"/>
      <c r="F590" s="31" t="n"/>
      <c r="G590" s="31" t="n"/>
      <c r="H590" s="31" t="n"/>
      <c r="I590" s="31" t="n"/>
      <c r="J590" s="31" t="n"/>
      <c r="K590" s="31" t="n"/>
      <c r="L590" s="31" t="n"/>
      <c r="M590" s="31" t="n"/>
      <c r="N590" s="31" t="n"/>
      <c r="O590" s="32">
        <f>IF($B590="","",COUNTIF(G590:N590,"Accepted")+COUNTIF(G590:N590,"Received")+COUNTIF(G590:N590,"Needs Correction"))</f>
        <v/>
      </c>
      <c r="P590" s="32">
        <f>IF($B590="","",SUMPRODUCT(((G590:N590="Accepted")+(G590:N590="Not Needed"))*(Settings!$C$11:$J$11="Yes")))</f>
        <v/>
      </c>
      <c r="Q590" s="32">
        <f>IF($B590="","",SUMPRODUCT(((G590:N590="Accepted")+(G590:N590="Not Needed"))*(Settings!$C$15:$J$15="Yes")))</f>
        <v/>
      </c>
      <c r="R590" s="33">
        <f>IF($B590="","",IF($D590="No","No PTO/PTA",IF($D590&lt;&gt;"Yes","Not Yet Confirmed",IF($Q590&gt;=Settings!$C$13,"Legalized",IF($P590&gt;=Settings!$C$12,"Registered",IF($O590&gt;0,"In Progress","Not Started"))))))</f>
        <v/>
      </c>
      <c r="S590" s="32">
        <f>IF($B590="","",COUNTIF(G590:N590,"Received"))</f>
        <v/>
      </c>
      <c r="T590" s="32">
        <f>IF($B590="","",COUNTIF(G590:N590,"Needs Correction"))</f>
        <v/>
      </c>
      <c r="U590" s="33">
        <f>IF($B590="","",IF($D590&lt;&gt;"Yes","",IF($Q590&gt;=Settings!$C$13,"None",MID(IF(AND(G590&lt;&gt;"Accepted",G590&lt;&gt;"Not Needed",Settings!$C$15="Yes"),", "&amp;G$1,"")&amp;IF(AND(H590&lt;&gt;"Accepted",H590&lt;&gt;"Not Needed",Settings!$D$15="Yes"),", "&amp;H$1,"")&amp;IF(AND(I590&lt;&gt;"Accepted",I590&lt;&gt;"Not Needed",Settings!$E$15="Yes"),", "&amp;I$1,"")&amp;IF(AND(J590&lt;&gt;"Accepted",J590&lt;&gt;"Not Needed",Settings!$F$15="Yes"),", "&amp;J$1,"")&amp;IF(AND(K590&lt;&gt;"Accepted",K590&lt;&gt;"Not Needed",Settings!$G$15="Yes"),", "&amp;K$1,"")&amp;IF(AND(L590&lt;&gt;"Accepted",L590&lt;&gt;"Not Needed",Settings!$H$15="Yes"),", "&amp;L$1,"")&amp;IF(AND(M590&lt;&gt;"Accepted",M590&lt;&gt;"Not Needed",Settings!$I$15="Yes"),", "&amp;M$1,"")&amp;IF(AND(N590&lt;&gt;"Accepted",N590&lt;&gt;"Not Needed",Settings!$J$15="Yes"),", "&amp;N$1,""),3,400))))</f>
        <v/>
      </c>
    </row>
    <row r="591" ht="15" customHeight="1" s="21">
      <c r="A591" s="31" t="n"/>
      <c r="B591" s="31" t="n"/>
      <c r="C591" s="31" t="n"/>
      <c r="D591" s="31" t="n"/>
      <c r="E591" s="31" t="n"/>
      <c r="F591" s="31" t="n"/>
      <c r="G591" s="31" t="n"/>
      <c r="H591" s="31" t="n"/>
      <c r="I591" s="31" t="n"/>
      <c r="J591" s="31" t="n"/>
      <c r="K591" s="31" t="n"/>
      <c r="L591" s="31" t="n"/>
      <c r="M591" s="31" t="n"/>
      <c r="N591" s="31" t="n"/>
      <c r="O591" s="32">
        <f>IF($B591="","",COUNTIF(G591:N591,"Accepted")+COUNTIF(G591:N591,"Received")+COUNTIF(G591:N591,"Needs Correction"))</f>
        <v/>
      </c>
      <c r="P591" s="32">
        <f>IF($B591="","",SUMPRODUCT(((G591:N591="Accepted")+(G591:N591="Not Needed"))*(Settings!$C$11:$J$11="Yes")))</f>
        <v/>
      </c>
      <c r="Q591" s="32">
        <f>IF($B591="","",SUMPRODUCT(((G591:N591="Accepted")+(G591:N591="Not Needed"))*(Settings!$C$15:$J$15="Yes")))</f>
        <v/>
      </c>
      <c r="R591" s="33">
        <f>IF($B591="","",IF($D591="No","No PTO/PTA",IF($D591&lt;&gt;"Yes","Not Yet Confirmed",IF($Q591&gt;=Settings!$C$13,"Legalized",IF($P591&gt;=Settings!$C$12,"Registered",IF($O591&gt;0,"In Progress","Not Started"))))))</f>
        <v/>
      </c>
      <c r="S591" s="32">
        <f>IF($B591="","",COUNTIF(G591:N591,"Received"))</f>
        <v/>
      </c>
      <c r="T591" s="32">
        <f>IF($B591="","",COUNTIF(G591:N591,"Needs Correction"))</f>
        <v/>
      </c>
      <c r="U591" s="33">
        <f>IF($B591="","",IF($D591&lt;&gt;"Yes","",IF($Q591&gt;=Settings!$C$13,"None",MID(IF(AND(G591&lt;&gt;"Accepted",G591&lt;&gt;"Not Needed",Settings!$C$15="Yes"),", "&amp;G$1,"")&amp;IF(AND(H591&lt;&gt;"Accepted",H591&lt;&gt;"Not Needed",Settings!$D$15="Yes"),", "&amp;H$1,"")&amp;IF(AND(I591&lt;&gt;"Accepted",I591&lt;&gt;"Not Needed",Settings!$E$15="Yes"),", "&amp;I$1,"")&amp;IF(AND(J591&lt;&gt;"Accepted",J591&lt;&gt;"Not Needed",Settings!$F$15="Yes"),", "&amp;J$1,"")&amp;IF(AND(K591&lt;&gt;"Accepted",K591&lt;&gt;"Not Needed",Settings!$G$15="Yes"),", "&amp;K$1,"")&amp;IF(AND(L591&lt;&gt;"Accepted",L591&lt;&gt;"Not Needed",Settings!$H$15="Yes"),", "&amp;L$1,"")&amp;IF(AND(M591&lt;&gt;"Accepted",M591&lt;&gt;"Not Needed",Settings!$I$15="Yes"),", "&amp;M$1,"")&amp;IF(AND(N591&lt;&gt;"Accepted",N591&lt;&gt;"Not Needed",Settings!$J$15="Yes"),", "&amp;N$1,""),3,400))))</f>
        <v/>
      </c>
    </row>
    <row r="592" ht="15" customHeight="1" s="21">
      <c r="A592" s="31" t="n"/>
      <c r="B592" s="31" t="n"/>
      <c r="C592" s="31" t="n"/>
      <c r="D592" s="31" t="n"/>
      <c r="E592" s="31" t="n"/>
      <c r="F592" s="31" t="n"/>
      <c r="G592" s="31" t="n"/>
      <c r="H592" s="31" t="n"/>
      <c r="I592" s="31" t="n"/>
      <c r="J592" s="31" t="n"/>
      <c r="K592" s="31" t="n"/>
      <c r="L592" s="31" t="n"/>
      <c r="M592" s="31" t="n"/>
      <c r="N592" s="31" t="n"/>
      <c r="O592" s="32">
        <f>IF($B592="","",COUNTIF(G592:N592,"Accepted")+COUNTIF(G592:N592,"Received")+COUNTIF(G592:N592,"Needs Correction"))</f>
        <v/>
      </c>
      <c r="P592" s="32">
        <f>IF($B592="","",SUMPRODUCT(((G592:N592="Accepted")+(G592:N592="Not Needed"))*(Settings!$C$11:$J$11="Yes")))</f>
        <v/>
      </c>
      <c r="Q592" s="32">
        <f>IF($B592="","",SUMPRODUCT(((G592:N592="Accepted")+(G592:N592="Not Needed"))*(Settings!$C$15:$J$15="Yes")))</f>
        <v/>
      </c>
      <c r="R592" s="33">
        <f>IF($B592="","",IF($D592="No","No PTO/PTA",IF($D592&lt;&gt;"Yes","Not Yet Confirmed",IF($Q592&gt;=Settings!$C$13,"Legalized",IF($P592&gt;=Settings!$C$12,"Registered",IF($O592&gt;0,"In Progress","Not Started"))))))</f>
        <v/>
      </c>
      <c r="S592" s="32">
        <f>IF($B592="","",COUNTIF(G592:N592,"Received"))</f>
        <v/>
      </c>
      <c r="T592" s="32">
        <f>IF($B592="","",COUNTIF(G592:N592,"Needs Correction"))</f>
        <v/>
      </c>
      <c r="U592" s="33">
        <f>IF($B592="","",IF($D592&lt;&gt;"Yes","",IF($Q592&gt;=Settings!$C$13,"None",MID(IF(AND(G592&lt;&gt;"Accepted",G592&lt;&gt;"Not Needed",Settings!$C$15="Yes"),", "&amp;G$1,"")&amp;IF(AND(H592&lt;&gt;"Accepted",H592&lt;&gt;"Not Needed",Settings!$D$15="Yes"),", "&amp;H$1,"")&amp;IF(AND(I592&lt;&gt;"Accepted",I592&lt;&gt;"Not Needed",Settings!$E$15="Yes"),", "&amp;I$1,"")&amp;IF(AND(J592&lt;&gt;"Accepted",J592&lt;&gt;"Not Needed",Settings!$F$15="Yes"),", "&amp;J$1,"")&amp;IF(AND(K592&lt;&gt;"Accepted",K592&lt;&gt;"Not Needed",Settings!$G$15="Yes"),", "&amp;K$1,"")&amp;IF(AND(L592&lt;&gt;"Accepted",L592&lt;&gt;"Not Needed",Settings!$H$15="Yes"),", "&amp;L$1,"")&amp;IF(AND(M592&lt;&gt;"Accepted",M592&lt;&gt;"Not Needed",Settings!$I$15="Yes"),", "&amp;M$1,"")&amp;IF(AND(N592&lt;&gt;"Accepted",N592&lt;&gt;"Not Needed",Settings!$J$15="Yes"),", "&amp;N$1,""),3,400))))</f>
        <v/>
      </c>
    </row>
    <row r="593" ht="15" customHeight="1" s="21">
      <c r="A593" s="31" t="n"/>
      <c r="B593" s="31" t="n"/>
      <c r="C593" s="31" t="n"/>
      <c r="D593" s="31" t="n"/>
      <c r="E593" s="31" t="n"/>
      <c r="F593" s="31" t="n"/>
      <c r="G593" s="31" t="n"/>
      <c r="H593" s="31" t="n"/>
      <c r="I593" s="31" t="n"/>
      <c r="J593" s="31" t="n"/>
      <c r="K593" s="31" t="n"/>
      <c r="L593" s="31" t="n"/>
      <c r="M593" s="31" t="n"/>
      <c r="N593" s="31" t="n"/>
      <c r="O593" s="32">
        <f>IF($B593="","",COUNTIF(G593:N593,"Accepted")+COUNTIF(G593:N593,"Received")+COUNTIF(G593:N593,"Needs Correction"))</f>
        <v/>
      </c>
      <c r="P593" s="32">
        <f>IF($B593="","",SUMPRODUCT(((G593:N593="Accepted")+(G593:N593="Not Needed"))*(Settings!$C$11:$J$11="Yes")))</f>
        <v/>
      </c>
      <c r="Q593" s="32">
        <f>IF($B593="","",SUMPRODUCT(((G593:N593="Accepted")+(G593:N593="Not Needed"))*(Settings!$C$15:$J$15="Yes")))</f>
        <v/>
      </c>
      <c r="R593" s="33">
        <f>IF($B593="","",IF($D593="No","No PTO/PTA",IF($D593&lt;&gt;"Yes","Not Yet Confirmed",IF($Q593&gt;=Settings!$C$13,"Legalized",IF($P593&gt;=Settings!$C$12,"Registered",IF($O593&gt;0,"In Progress","Not Started"))))))</f>
        <v/>
      </c>
      <c r="S593" s="32">
        <f>IF($B593="","",COUNTIF(G593:N593,"Received"))</f>
        <v/>
      </c>
      <c r="T593" s="32">
        <f>IF($B593="","",COUNTIF(G593:N593,"Needs Correction"))</f>
        <v/>
      </c>
      <c r="U593" s="33">
        <f>IF($B593="","",IF($D593&lt;&gt;"Yes","",IF($Q593&gt;=Settings!$C$13,"None",MID(IF(AND(G593&lt;&gt;"Accepted",G593&lt;&gt;"Not Needed",Settings!$C$15="Yes"),", "&amp;G$1,"")&amp;IF(AND(H593&lt;&gt;"Accepted",H593&lt;&gt;"Not Needed",Settings!$D$15="Yes"),", "&amp;H$1,"")&amp;IF(AND(I593&lt;&gt;"Accepted",I593&lt;&gt;"Not Needed",Settings!$E$15="Yes"),", "&amp;I$1,"")&amp;IF(AND(J593&lt;&gt;"Accepted",J593&lt;&gt;"Not Needed",Settings!$F$15="Yes"),", "&amp;J$1,"")&amp;IF(AND(K593&lt;&gt;"Accepted",K593&lt;&gt;"Not Needed",Settings!$G$15="Yes"),", "&amp;K$1,"")&amp;IF(AND(L593&lt;&gt;"Accepted",L593&lt;&gt;"Not Needed",Settings!$H$15="Yes"),", "&amp;L$1,"")&amp;IF(AND(M593&lt;&gt;"Accepted",M593&lt;&gt;"Not Needed",Settings!$I$15="Yes"),", "&amp;M$1,"")&amp;IF(AND(N593&lt;&gt;"Accepted",N593&lt;&gt;"Not Needed",Settings!$J$15="Yes"),", "&amp;N$1,""),3,400))))</f>
        <v/>
      </c>
    </row>
    <row r="594" ht="15" customHeight="1" s="21">
      <c r="A594" s="31" t="n"/>
      <c r="B594" s="31" t="n"/>
      <c r="C594" s="31" t="n"/>
      <c r="D594" s="31" t="n"/>
      <c r="E594" s="31" t="n"/>
      <c r="F594" s="31" t="n"/>
      <c r="G594" s="31" t="n"/>
      <c r="H594" s="31" t="n"/>
      <c r="I594" s="31" t="n"/>
      <c r="J594" s="31" t="n"/>
      <c r="K594" s="31" t="n"/>
      <c r="L594" s="31" t="n"/>
      <c r="M594" s="31" t="n"/>
      <c r="N594" s="31" t="n"/>
      <c r="O594" s="32">
        <f>IF($B594="","",COUNTIF(G594:N594,"Accepted")+COUNTIF(G594:N594,"Received")+COUNTIF(G594:N594,"Needs Correction"))</f>
        <v/>
      </c>
      <c r="P594" s="32">
        <f>IF($B594="","",SUMPRODUCT(((G594:N594="Accepted")+(G594:N594="Not Needed"))*(Settings!$C$11:$J$11="Yes")))</f>
        <v/>
      </c>
      <c r="Q594" s="32">
        <f>IF($B594="","",SUMPRODUCT(((G594:N594="Accepted")+(G594:N594="Not Needed"))*(Settings!$C$15:$J$15="Yes")))</f>
        <v/>
      </c>
      <c r="R594" s="33">
        <f>IF($B594="","",IF($D594="No","No PTO/PTA",IF($D594&lt;&gt;"Yes","Not Yet Confirmed",IF($Q594&gt;=Settings!$C$13,"Legalized",IF($P594&gt;=Settings!$C$12,"Registered",IF($O594&gt;0,"In Progress","Not Started"))))))</f>
        <v/>
      </c>
      <c r="S594" s="32">
        <f>IF($B594="","",COUNTIF(G594:N594,"Received"))</f>
        <v/>
      </c>
      <c r="T594" s="32">
        <f>IF($B594="","",COUNTIF(G594:N594,"Needs Correction"))</f>
        <v/>
      </c>
      <c r="U594" s="33">
        <f>IF($B594="","",IF($D594&lt;&gt;"Yes","",IF($Q594&gt;=Settings!$C$13,"None",MID(IF(AND(G594&lt;&gt;"Accepted",G594&lt;&gt;"Not Needed",Settings!$C$15="Yes"),", "&amp;G$1,"")&amp;IF(AND(H594&lt;&gt;"Accepted",H594&lt;&gt;"Not Needed",Settings!$D$15="Yes"),", "&amp;H$1,"")&amp;IF(AND(I594&lt;&gt;"Accepted",I594&lt;&gt;"Not Needed",Settings!$E$15="Yes"),", "&amp;I$1,"")&amp;IF(AND(J594&lt;&gt;"Accepted",J594&lt;&gt;"Not Needed",Settings!$F$15="Yes"),", "&amp;J$1,"")&amp;IF(AND(K594&lt;&gt;"Accepted",K594&lt;&gt;"Not Needed",Settings!$G$15="Yes"),", "&amp;K$1,"")&amp;IF(AND(L594&lt;&gt;"Accepted",L594&lt;&gt;"Not Needed",Settings!$H$15="Yes"),", "&amp;L$1,"")&amp;IF(AND(M594&lt;&gt;"Accepted",M594&lt;&gt;"Not Needed",Settings!$I$15="Yes"),", "&amp;M$1,"")&amp;IF(AND(N594&lt;&gt;"Accepted",N594&lt;&gt;"Not Needed",Settings!$J$15="Yes"),", "&amp;N$1,""),3,400))))</f>
        <v/>
      </c>
    </row>
    <row r="595" ht="15" customHeight="1" s="21">
      <c r="A595" s="31" t="n"/>
      <c r="B595" s="31" t="n"/>
      <c r="C595" s="31" t="n"/>
      <c r="D595" s="31" t="n"/>
      <c r="E595" s="31" t="n"/>
      <c r="F595" s="31" t="n"/>
      <c r="G595" s="31" t="n"/>
      <c r="H595" s="31" t="n"/>
      <c r="I595" s="31" t="n"/>
      <c r="J595" s="31" t="n"/>
      <c r="K595" s="31" t="n"/>
      <c r="L595" s="31" t="n"/>
      <c r="M595" s="31" t="n"/>
      <c r="N595" s="31" t="n"/>
      <c r="O595" s="32" t="n"/>
      <c r="P595" s="32" t="n"/>
      <c r="Q595" s="32" t="n"/>
      <c r="R595" s="33" t="n"/>
      <c r="S595" s="32" t="n"/>
      <c r="T595" s="32" t="n"/>
      <c r="U595" s="33" t="n"/>
    </row>
    <row r="596" ht="15" customHeight="1" s="21">
      <c r="A596" s="31" t="n"/>
      <c r="B596" s="31" t="n"/>
      <c r="C596" s="31" t="n"/>
      <c r="D596" s="31" t="n"/>
      <c r="E596" s="31" t="n"/>
      <c r="F596" s="31" t="n"/>
      <c r="G596" s="31" t="n"/>
      <c r="H596" s="31" t="n"/>
      <c r="I596" s="31" t="n"/>
      <c r="J596" s="31" t="n"/>
      <c r="K596" s="31" t="n"/>
      <c r="L596" s="31" t="n"/>
      <c r="M596" s="31" t="n"/>
      <c r="N596" s="31" t="n"/>
      <c r="O596" s="32" t="n"/>
      <c r="P596" s="32" t="n"/>
      <c r="Q596" s="32" t="n"/>
      <c r="R596" s="33" t="n"/>
      <c r="S596" s="32" t="n"/>
      <c r="T596" s="32" t="n"/>
      <c r="U596" s="33" t="n"/>
    </row>
    <row r="597" ht="15" customHeight="1" s="21">
      <c r="A597" s="31" t="n"/>
      <c r="B597" s="31" t="n"/>
      <c r="C597" s="31" t="n"/>
      <c r="D597" s="31" t="n"/>
      <c r="E597" s="31" t="n"/>
      <c r="F597" s="31" t="n"/>
      <c r="G597" s="31" t="n"/>
      <c r="H597" s="31" t="n"/>
      <c r="I597" s="31" t="n"/>
      <c r="J597" s="31" t="n"/>
      <c r="K597" s="31" t="n"/>
      <c r="L597" s="31" t="n"/>
      <c r="M597" s="31" t="n"/>
      <c r="N597" s="31" t="n"/>
      <c r="O597" s="32" t="n"/>
      <c r="P597" s="32" t="n"/>
      <c r="Q597" s="32" t="n"/>
      <c r="R597" s="33" t="n"/>
      <c r="S597" s="32" t="n"/>
      <c r="T597" s="32" t="n"/>
      <c r="U597" s="33" t="n"/>
    </row>
    <row r="598" ht="15" customHeight="1" s="21">
      <c r="A598" s="31" t="n"/>
      <c r="B598" s="31" t="n"/>
      <c r="C598" s="31" t="n"/>
      <c r="D598" s="31" t="n"/>
      <c r="E598" s="31" t="n"/>
      <c r="F598" s="31" t="n"/>
      <c r="G598" s="31" t="n"/>
      <c r="H598" s="31" t="n"/>
      <c r="I598" s="31" t="n"/>
      <c r="J598" s="31" t="n"/>
      <c r="K598" s="31" t="n"/>
      <c r="L598" s="31" t="n"/>
      <c r="M598" s="31" t="n"/>
      <c r="N598" s="31" t="n"/>
      <c r="O598" s="32" t="n"/>
      <c r="P598" s="32" t="n"/>
      <c r="Q598" s="32" t="n"/>
      <c r="R598" s="33" t="n"/>
      <c r="S598" s="32" t="n"/>
      <c r="T598" s="32" t="n"/>
      <c r="U598" s="33" t="n"/>
    </row>
    <row r="599" ht="15" customHeight="1" s="21">
      <c r="A599" s="31" t="n"/>
      <c r="B599" s="31" t="n"/>
      <c r="C599" s="31" t="n"/>
      <c r="D599" s="31" t="n"/>
      <c r="E599" s="31" t="n"/>
      <c r="F599" s="31" t="n"/>
      <c r="G599" s="31" t="n"/>
      <c r="H599" s="31" t="n"/>
      <c r="I599" s="31" t="n"/>
      <c r="J599" s="31" t="n"/>
      <c r="K599" s="31" t="n"/>
      <c r="L599" s="31" t="n"/>
      <c r="M599" s="31" t="n"/>
      <c r="N599" s="31" t="n"/>
      <c r="O599" s="32" t="n"/>
      <c r="P599" s="32" t="n"/>
      <c r="Q599" s="32" t="n"/>
      <c r="R599" s="33" t="n"/>
      <c r="S599" s="32" t="n"/>
      <c r="T599" s="32" t="n"/>
      <c r="U599" s="33" t="n"/>
    </row>
    <row r="600" ht="15" customHeight="1" s="21">
      <c r="A600" s="31" t="n"/>
      <c r="B600" s="31" t="n"/>
      <c r="C600" s="31" t="n"/>
      <c r="D600" s="31" t="n"/>
      <c r="E600" s="31" t="n"/>
      <c r="F600" s="31" t="n"/>
      <c r="G600" s="31" t="n"/>
      <c r="H600" s="31" t="n"/>
      <c r="I600" s="31" t="n"/>
      <c r="J600" s="31" t="n"/>
      <c r="K600" s="31" t="n"/>
      <c r="L600" s="31" t="n"/>
      <c r="M600" s="31" t="n"/>
      <c r="N600" s="31" t="n"/>
      <c r="O600" s="32" t="n"/>
      <c r="P600" s="32" t="n"/>
      <c r="Q600" s="32" t="n"/>
      <c r="R600" s="33" t="n"/>
      <c r="S600" s="32" t="n"/>
      <c r="T600" s="32" t="n"/>
      <c r="U600" s="33" t="n"/>
    </row>
  </sheetData>
  <autoFilter ref="A1:U600"/>
  <conditionalFormatting sqref="G2:N600">
    <cfRule type="cellIs" rank="0" priority="2" equalAverage="0" operator="equal" aboveAverage="0" dxfId="10" text="" percent="0" bottom="0">
      <formula>"Accepted"</formula>
    </cfRule>
    <cfRule type="cellIs" rank="0" priority="3" equalAverage="0" operator="equal" aboveAverage="0" dxfId="11" text="" percent="0" bottom="0">
      <formula>"Received"</formula>
    </cfRule>
    <cfRule type="cellIs" rank="0" priority="4" equalAverage="0" operator="equal" aboveAverage="0" dxfId="12" text="" percent="0" bottom="0">
      <formula>"Needs Correction"</formula>
    </cfRule>
    <cfRule type="cellIs" rank="0" priority="5" equalAverage="0" operator="equal" aboveAverage="0" dxfId="13" text="" percent="0" bottom="0">
      <formula>"Not Received"</formula>
    </cfRule>
    <cfRule type="cellIs" priority="14" operator="equal" dxfId="24">
      <formula>"Not Needed"</formula>
    </cfRule>
  </conditionalFormatting>
  <conditionalFormatting sqref="R2:R600">
    <cfRule type="cellIs" rank="0" priority="6" equalAverage="0" operator="equal" aboveAverage="0" dxfId="14" text="" percent="0" bottom="0">
      <formula>"Legalized"</formula>
    </cfRule>
    <cfRule type="cellIs" rank="0" priority="7" equalAverage="0" operator="equal" aboveAverage="0" dxfId="15" text="" percent="0" bottom="0">
      <formula>"Registered"</formula>
    </cfRule>
    <cfRule type="cellIs" rank="0" priority="8" equalAverage="0" operator="equal" aboveAverage="0" dxfId="16" text="" percent="0" bottom="0">
      <formula>"In Progress"</formula>
    </cfRule>
    <cfRule type="cellIs" rank="0" priority="9" equalAverage="0" operator="equal" aboveAverage="0" dxfId="17" text="" percent="0" bottom="0">
      <formula>"Not Started"</formula>
    </cfRule>
    <cfRule type="cellIs" rank="0" priority="10" equalAverage="0" operator="equal" aboveAverage="0" dxfId="18" text="" percent="0" bottom="0">
      <formula>"No PTO/PTA"</formula>
    </cfRule>
    <cfRule type="cellIs" rank="0" priority="11" equalAverage="0" operator="equal" aboveAverage="0" dxfId="19" text="" percent="0" bottom="0">
      <formula>"Not Yet Confirmed"</formula>
    </cfRule>
  </conditionalFormatting>
  <conditionalFormatting sqref="D2:D600">
    <cfRule type="expression" rank="0" priority="12" equalAverage="0" aboveAverage="0" dxfId="20" text="" percent="0" bottom="0">
      <formula>AND($D2&lt;&gt;"Yes",$B2&lt;&gt;"",$O2&gt;0)</formula>
    </cfRule>
  </conditionalFormatting>
  <conditionalFormatting sqref="S2:S600">
    <cfRule type="cellIs" rank="0" priority="13" equalAverage="0" operator="greaterThan" aboveAverage="0" dxfId="21" text="" percent="0" bottom="0">
      <formula>0</formula>
    </cfRule>
  </conditionalFormatting>
  <conditionalFormatting sqref="T2:T600">
    <cfRule type="cellIs" rank="0" priority="14" equalAverage="0" operator="greaterThan" aboveAverage="0" dxfId="12" text="" percent="0" bottom="0">
      <formula>0</formula>
    </cfRule>
  </conditionalFormatting>
  <dataValidations count="4">
    <dataValidation sqref="C2:C600" showDropDown="0" showInputMessage="0" showErrorMessage="1" allowBlank="1" errorTitle="Pick from the list" error="Choose one of the values in the dropdown." type="list" errorStyle="stop" operator="between">
      <formula1>Settings!$E$18:$E$22</formula1>
      <formula2>0</formula2>
    </dataValidation>
    <dataValidation sqref="D2:D600" showDropDown="0" showInputMessage="0" showErrorMessage="1" allowBlank="1" errorTitle="Pick from the list" error="Choose one of the values in the dropdown." type="list" errorStyle="stop" operator="between">
      <formula1>Settings!$A$18:$A$20</formula1>
      <formula2>0</formula2>
    </dataValidation>
    <dataValidation sqref="E2:E600" showDropDown="0" showInputMessage="0" showErrorMessage="1" allowBlank="1" errorTitle="Pick from the list" error="Choose one of the values in the dropdown." type="list" errorStyle="stop" operator="between">
      <formula1>Settings!$B$18:$B$21</formula1>
      <formula2>0</formula2>
    </dataValidation>
    <dataValidation sqref="G2:N600" showDropDown="0" showInputMessage="0" showErrorMessage="1" allowBlank="1" errorTitle="Pick from the list" error="Choose one of the values in the dropdown." type="list" errorStyle="stop" operator="between">
      <formula1>Settings!$C$18:$C$22</formula1>
      <formula2>0</formula2>
    </dataValidation>
  </dataValidations>
  <printOptions horizontalCentered="0" verticalCentered="0" headings="0" gridLines="0" gridLinesSet="1"/>
  <pageMargins left="0.75" right="0.75" top="1" bottom="1" header="0.511811023622047" footer="0.511811023622047"/>
  <pageSetup orientation="landscape" paperSize="1" scale="100" fitToHeight="0" fitToWidth="1" pageOrder="downThenOver" blackAndWhite="0" draft="0" horizontalDpi="300" verticalDpi="300" copies="1"/>
  <legacyDrawing xmlns:r="http://schemas.openxmlformats.org/officeDocument/2006/relationships" r:id="anysvml"/>
</worksheet>
</file>

<file path=xl/worksheets/sheet4.xml><?xml version="1.0" encoding="utf-8"?>
<worksheet xmlns="http://schemas.openxmlformats.org/spreadsheetml/2006/main">
  <sheetPr filterMode="0">
    <outlinePr summaryBelow="1" summaryRight="1"/>
    <pageSetUpPr fitToPage="1"/>
  </sheetPr>
  <dimension ref="A1:R1000"/>
  <sheetViews>
    <sheetView showFormulas="0" showGridLines="0"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3" customWidth="1" style="20" min="1" max="1"/>
    <col width="17" customWidth="1" style="20" min="2" max="2"/>
    <col width="11" customWidth="1" style="20" min="3" max="3"/>
    <col width="28" customWidth="1" style="20" min="4" max="4"/>
    <col width="24" customWidth="1" style="20" min="5" max="5"/>
    <col width="9" customWidth="1" style="20" min="6" max="6"/>
    <col width="22" customWidth="1" style="20" min="7" max="7"/>
    <col width="15" customWidth="1" style="20" min="8" max="8"/>
    <col width="30" customWidth="1" style="20" min="9" max="9"/>
    <col width="15" customWidth="1" style="20" min="10" max="10"/>
    <col width="26" customWidth="1" style="20" min="11" max="11"/>
    <col width="14" customWidth="1" style="20" min="12" max="12"/>
    <col width="20" customWidth="1" style="20" min="13" max="13"/>
    <col width="28" customWidth="1" style="20" min="14" max="14"/>
    <col width="15" customWidth="1" style="20" min="15" max="15"/>
    <col width="40" customWidth="1" style="20" min="16" max="16"/>
    <col width="16" customWidth="1" style="20" min="17" max="17"/>
    <col width="60" customWidth="1" style="20" min="18" max="18"/>
  </cols>
  <sheetData>
    <row r="1" ht="30" customHeight="1" s="21">
      <c r="A1" s="28" t="inlineStr">
        <is>
          <t>Response ID</t>
        </is>
      </c>
      <c r="B1" s="28" t="inlineStr">
        <is>
          <t>Submitted</t>
        </is>
      </c>
      <c r="C1" s="28" t="inlineStr">
        <is>
          <t>School Year</t>
        </is>
      </c>
      <c r="D1" s="28" t="inlineStr">
        <is>
          <t>Campus</t>
        </is>
      </c>
      <c r="E1" s="28" t="inlineStr">
        <is>
          <t>Match</t>
        </is>
      </c>
      <c r="F1" s="28" t="inlineStr">
        <is>
          <t>Officer #</t>
        </is>
      </c>
      <c r="G1" s="28" t="inlineStr">
        <is>
          <t>Name</t>
        </is>
      </c>
      <c r="H1" s="28" t="inlineStr">
        <is>
          <t>Position</t>
        </is>
      </c>
      <c r="I1" s="28" t="inlineStr">
        <is>
          <t>Email</t>
        </is>
      </c>
      <c r="J1" s="28" t="inlineStr">
        <is>
          <t>Phone</t>
        </is>
      </c>
      <c r="K1" s="28" t="inlineStr">
        <is>
          <t>Organization</t>
        </is>
      </c>
      <c r="L1" s="28" t="inlineStr">
        <is>
          <t>Org Type</t>
        </is>
      </c>
      <c r="M1" s="28" t="inlineStr">
        <is>
          <t>Submitted By</t>
        </is>
      </c>
      <c r="N1" s="28" t="inlineStr">
        <is>
          <t>Submitter Email</t>
        </is>
      </c>
      <c r="O1" s="28" t="inlineStr">
        <is>
          <t>Submitter Phone</t>
        </is>
      </c>
      <c r="P1" s="28" t="inlineStr">
        <is>
          <t>Additional Info</t>
        </is>
      </c>
      <c r="Q1" s="28" t="inlineStr">
        <is>
          <t>Added To Register</t>
        </is>
      </c>
      <c r="R1" s="28" t="inlineStr">
        <is>
          <t>Notes</t>
        </is>
      </c>
    </row>
    <row r="2" ht="15" customHeight="1" s="21">
      <c r="A2" s="34" t="n"/>
      <c r="B2" s="35" t="n"/>
      <c r="C2" s="34" t="n"/>
      <c r="D2" s="31" t="n"/>
      <c r="E2" s="24" t="n"/>
      <c r="F2" s="24" t="n"/>
      <c r="G2" s="24" t="n"/>
      <c r="H2" s="24" t="n"/>
      <c r="I2" s="24" t="n"/>
      <c r="J2" s="34" t="n"/>
      <c r="K2" s="24" t="n"/>
      <c r="L2" s="24" t="n"/>
      <c r="M2" s="24" t="n"/>
      <c r="N2" s="24" t="n"/>
      <c r="O2" s="34" t="n"/>
      <c r="P2" s="24" t="n"/>
      <c r="Q2" s="24" t="n"/>
      <c r="R2" s="24" t="n"/>
    </row>
    <row r="3" ht="15" customHeight="1" s="21">
      <c r="A3" s="34" t="n"/>
      <c r="B3" s="35" t="n"/>
      <c r="C3" s="34" t="n"/>
      <c r="D3" s="31" t="n"/>
      <c r="E3" s="24" t="n"/>
      <c r="F3" s="24" t="n"/>
      <c r="G3" s="24" t="n"/>
      <c r="H3" s="24" t="n"/>
      <c r="I3" s="24" t="n"/>
      <c r="J3" s="34" t="n"/>
      <c r="K3" s="24" t="n"/>
      <c r="L3" s="24" t="n"/>
      <c r="M3" s="24" t="n"/>
      <c r="N3" s="24" t="n"/>
      <c r="O3" s="34" t="n"/>
      <c r="P3" s="24" t="n"/>
      <c r="Q3" s="24" t="n"/>
      <c r="R3" s="24" t="n"/>
    </row>
    <row r="4" ht="15" customHeight="1" s="21">
      <c r="A4" s="34" t="n"/>
      <c r="B4" s="35" t="n"/>
      <c r="C4" s="34" t="n"/>
      <c r="D4" s="31" t="n"/>
      <c r="E4" s="24" t="n"/>
      <c r="F4" s="24" t="n"/>
      <c r="G4" s="24" t="n"/>
      <c r="H4" s="24" t="n"/>
      <c r="I4" s="24" t="n"/>
      <c r="J4" s="34" t="n"/>
      <c r="K4" s="24" t="n"/>
      <c r="L4" s="24" t="n"/>
      <c r="M4" s="24" t="n"/>
      <c r="N4" s="24" t="n"/>
      <c r="O4" s="34" t="n"/>
      <c r="P4" s="24" t="n"/>
      <c r="Q4" s="24" t="n"/>
      <c r="R4" s="24" t="n"/>
    </row>
    <row r="5" ht="15" customHeight="1" s="21">
      <c r="A5" s="34" t="n"/>
      <c r="B5" s="35" t="n"/>
      <c r="C5" s="34" t="n"/>
      <c r="D5" s="31" t="n"/>
      <c r="E5" s="24" t="n"/>
      <c r="F5" s="24" t="n"/>
      <c r="G5" s="24" t="n"/>
      <c r="H5" s="24" t="n"/>
      <c r="I5" s="24" t="n"/>
      <c r="J5" s="34" t="n"/>
      <c r="K5" s="24" t="n"/>
      <c r="L5" s="24" t="n"/>
      <c r="M5" s="24" t="n"/>
      <c r="N5" s="24" t="n"/>
      <c r="O5" s="34" t="n"/>
      <c r="P5" s="24" t="n"/>
      <c r="Q5" s="24" t="n"/>
      <c r="R5" s="24" t="n"/>
    </row>
    <row r="6" ht="15" customHeight="1" s="21">
      <c r="A6" s="34" t="n"/>
      <c r="B6" s="35" t="n"/>
      <c r="C6" s="34" t="n"/>
      <c r="D6" s="31" t="n"/>
      <c r="E6" s="24" t="n"/>
      <c r="F6" s="24" t="n"/>
      <c r="G6" s="24" t="n"/>
      <c r="H6" s="24" t="n"/>
      <c r="I6" s="24" t="n"/>
      <c r="J6" s="34" t="n"/>
      <c r="K6" s="24" t="n"/>
      <c r="L6" s="24" t="n"/>
      <c r="M6" s="24" t="n"/>
      <c r="N6" s="24" t="n"/>
      <c r="O6" s="34" t="n"/>
      <c r="P6" s="24" t="n"/>
      <c r="Q6" s="24" t="n"/>
      <c r="R6" s="24" t="n"/>
    </row>
    <row r="7" ht="15" customHeight="1" s="21">
      <c r="A7" s="34" t="n"/>
      <c r="B7" s="35" t="n"/>
      <c r="C7" s="34" t="n"/>
      <c r="D7" s="31" t="n"/>
      <c r="E7" s="24" t="n"/>
      <c r="F7" s="24" t="n"/>
      <c r="G7" s="24" t="n"/>
      <c r="H7" s="24" t="n"/>
      <c r="I7" s="24" t="n"/>
      <c r="J7" s="34" t="n"/>
      <c r="K7" s="24" t="n"/>
      <c r="L7" s="24" t="n"/>
      <c r="M7" s="24" t="n"/>
      <c r="N7" s="24" t="n"/>
      <c r="O7" s="34" t="n"/>
      <c r="P7" s="24" t="n"/>
      <c r="Q7" s="24" t="n"/>
      <c r="R7" s="24" t="n"/>
    </row>
    <row r="8" ht="15" customHeight="1" s="21">
      <c r="A8" s="34" t="n"/>
      <c r="B8" s="35" t="n"/>
      <c r="C8" s="34" t="n"/>
      <c r="D8" s="31" t="n"/>
      <c r="E8" s="24" t="n"/>
      <c r="F8" s="24" t="n"/>
      <c r="G8" s="24" t="n"/>
      <c r="H8" s="24" t="n"/>
      <c r="I8" s="24" t="n"/>
      <c r="J8" s="34" t="n"/>
      <c r="K8" s="24" t="n"/>
      <c r="L8" s="24" t="n"/>
      <c r="M8" s="24" t="n"/>
      <c r="N8" s="24" t="n"/>
      <c r="O8" s="34" t="n"/>
      <c r="P8" s="24" t="n"/>
      <c r="Q8" s="24" t="n"/>
      <c r="R8" s="24" t="n"/>
    </row>
    <row r="9" ht="15" customHeight="1" s="21">
      <c r="A9" s="34" t="n"/>
      <c r="B9" s="35" t="n"/>
      <c r="C9" s="34" t="n"/>
      <c r="D9" s="31" t="n"/>
      <c r="E9" s="24" t="n"/>
      <c r="F9" s="24" t="n"/>
      <c r="G9" s="24" t="n"/>
      <c r="H9" s="24" t="n"/>
      <c r="I9" s="24" t="n"/>
      <c r="J9" s="34" t="n"/>
      <c r="K9" s="24" t="n"/>
      <c r="L9" s="24" t="n"/>
      <c r="M9" s="24" t="n"/>
      <c r="N9" s="24" t="n"/>
      <c r="O9" s="34" t="n"/>
      <c r="P9" s="24" t="n"/>
      <c r="Q9" s="24" t="n"/>
      <c r="R9" s="24" t="n"/>
    </row>
    <row r="10" ht="15" customHeight="1" s="21">
      <c r="A10" s="34" t="n"/>
      <c r="B10" s="35" t="n"/>
      <c r="C10" s="34" t="n"/>
      <c r="D10" s="31" t="n"/>
      <c r="E10" s="24" t="n"/>
      <c r="F10" s="24" t="n"/>
      <c r="G10" s="24" t="n"/>
      <c r="H10" s="24" t="n"/>
      <c r="I10" s="24" t="n"/>
      <c r="J10" s="34" t="n"/>
      <c r="K10" s="24" t="n"/>
      <c r="L10" s="24" t="n"/>
      <c r="M10" s="24" t="n"/>
      <c r="N10" s="24" t="n"/>
      <c r="O10" s="34" t="n"/>
      <c r="P10" s="24" t="n"/>
      <c r="Q10" s="24" t="n"/>
      <c r="R10" s="24" t="n"/>
    </row>
    <row r="11" ht="15" customHeight="1" s="21">
      <c r="A11" s="34" t="n"/>
      <c r="B11" s="35" t="n"/>
      <c r="C11" s="34" t="n"/>
      <c r="D11" s="31" t="n"/>
      <c r="E11" s="24" t="n"/>
      <c r="F11" s="24" t="n"/>
      <c r="G11" s="24" t="n"/>
      <c r="H11" s="24" t="n"/>
      <c r="I11" s="24" t="n"/>
      <c r="J11" s="34" t="n"/>
      <c r="K11" s="24" t="n"/>
      <c r="L11" s="24" t="n"/>
      <c r="M11" s="24" t="n"/>
      <c r="N11" s="24" t="n"/>
      <c r="O11" s="34" t="n"/>
      <c r="P11" s="24" t="n"/>
      <c r="Q11" s="24" t="n"/>
      <c r="R11" s="24" t="n"/>
    </row>
    <row r="12" ht="15" customHeight="1" s="21">
      <c r="A12" s="34" t="n"/>
      <c r="B12" s="35" t="n"/>
      <c r="C12" s="34" t="n"/>
      <c r="D12" s="31" t="n"/>
      <c r="E12" s="24" t="n"/>
      <c r="F12" s="24" t="n"/>
      <c r="G12" s="24" t="n"/>
      <c r="H12" s="24" t="n"/>
      <c r="I12" s="24" t="n"/>
      <c r="J12" s="34" t="n"/>
      <c r="K12" s="24" t="n"/>
      <c r="L12" s="24" t="n"/>
      <c r="M12" s="24" t="n"/>
      <c r="N12" s="24" t="n"/>
      <c r="O12" s="34" t="n"/>
      <c r="P12" s="24" t="n"/>
      <c r="Q12" s="24" t="n"/>
      <c r="R12" s="24" t="n"/>
    </row>
    <row r="13" ht="15" customHeight="1" s="21">
      <c r="A13" s="34" t="n"/>
      <c r="B13" s="35" t="n"/>
      <c r="C13" s="34" t="n"/>
      <c r="D13" s="31" t="n"/>
      <c r="E13" s="24" t="n"/>
      <c r="F13" s="24" t="n"/>
      <c r="G13" s="24" t="n"/>
      <c r="H13" s="24" t="n"/>
      <c r="I13" s="24" t="n"/>
      <c r="J13" s="34" t="n"/>
      <c r="K13" s="24" t="n"/>
      <c r="L13" s="24" t="n"/>
      <c r="M13" s="24" t="n"/>
      <c r="N13" s="24" t="n"/>
      <c r="O13" s="34" t="n"/>
      <c r="P13" s="24" t="n"/>
      <c r="Q13" s="24" t="n"/>
      <c r="R13" s="24" t="n"/>
    </row>
    <row r="14" ht="15" customHeight="1" s="21">
      <c r="A14" s="34" t="n"/>
      <c r="B14" s="35" t="n"/>
      <c r="C14" s="34" t="n"/>
      <c r="D14" s="31" t="n"/>
      <c r="E14" s="24" t="n"/>
      <c r="F14" s="24" t="n"/>
      <c r="G14" s="24" t="n"/>
      <c r="H14" s="24" t="n"/>
      <c r="I14" s="24" t="n"/>
      <c r="J14" s="34" t="n"/>
      <c r="K14" s="24" t="n"/>
      <c r="L14" s="24" t="n"/>
      <c r="M14" s="24" t="n"/>
      <c r="N14" s="24" t="n"/>
      <c r="O14" s="34" t="n"/>
      <c r="P14" s="24" t="n"/>
      <c r="Q14" s="24" t="n"/>
      <c r="R14" s="24" t="n"/>
    </row>
    <row r="15" ht="15" customHeight="1" s="21">
      <c r="A15" s="34" t="n"/>
      <c r="B15" s="35" t="n"/>
      <c r="C15" s="34" t="n"/>
      <c r="D15" s="31" t="n"/>
      <c r="E15" s="24" t="n"/>
      <c r="F15" s="24" t="n"/>
      <c r="G15" s="24" t="n"/>
      <c r="H15" s="24" t="n"/>
      <c r="I15" s="24" t="n"/>
      <c r="J15" s="34" t="n"/>
      <c r="K15" s="24" t="n"/>
      <c r="L15" s="24" t="n"/>
      <c r="M15" s="24" t="n"/>
      <c r="N15" s="24" t="n"/>
      <c r="O15" s="34" t="n"/>
      <c r="P15" s="24" t="n"/>
      <c r="Q15" s="24" t="n"/>
      <c r="R15" s="24" t="n"/>
    </row>
    <row r="16" ht="15" customHeight="1" s="21">
      <c r="A16" s="34" t="n"/>
      <c r="B16" s="35" t="n"/>
      <c r="C16" s="34" t="n"/>
      <c r="D16" s="31" t="n"/>
      <c r="E16" s="24" t="n"/>
      <c r="F16" s="24" t="n"/>
      <c r="G16" s="24" t="n"/>
      <c r="H16" s="24" t="n"/>
      <c r="I16" s="24" t="n"/>
      <c r="J16" s="34" t="n"/>
      <c r="K16" s="24" t="n"/>
      <c r="L16" s="24" t="n"/>
      <c r="M16" s="24" t="n"/>
      <c r="N16" s="24" t="n"/>
      <c r="O16" s="34" t="n"/>
      <c r="P16" s="24" t="n"/>
      <c r="Q16" s="24" t="n"/>
      <c r="R16" s="24" t="n"/>
    </row>
    <row r="17" ht="15" customHeight="1" s="21">
      <c r="A17" s="34" t="n"/>
      <c r="B17" s="35" t="n"/>
      <c r="C17" s="34" t="n"/>
      <c r="D17" s="31" t="n"/>
      <c r="E17" s="24" t="n"/>
      <c r="F17" s="24" t="n"/>
      <c r="G17" s="24" t="n"/>
      <c r="H17" s="24" t="n"/>
      <c r="I17" s="24" t="n"/>
      <c r="J17" s="34" t="n"/>
      <c r="K17" s="24" t="n"/>
      <c r="L17" s="24" t="n"/>
      <c r="M17" s="24" t="n"/>
      <c r="N17" s="24" t="n"/>
      <c r="O17" s="34" t="n"/>
      <c r="P17" s="24" t="n"/>
      <c r="Q17" s="24" t="n"/>
      <c r="R17" s="24" t="n"/>
    </row>
    <row r="18" ht="15" customHeight="1" s="21">
      <c r="A18" s="34" t="n"/>
      <c r="B18" s="35" t="n"/>
      <c r="C18" s="34" t="n"/>
      <c r="D18" s="31" t="n"/>
      <c r="E18" s="24" t="n"/>
      <c r="F18" s="24" t="n"/>
      <c r="G18" s="24" t="n"/>
      <c r="H18" s="24" t="n"/>
      <c r="I18" s="24" t="n"/>
      <c r="J18" s="34" t="n"/>
      <c r="K18" s="24" t="n"/>
      <c r="L18" s="24" t="n"/>
      <c r="M18" s="24" t="n"/>
      <c r="N18" s="24" t="n"/>
      <c r="O18" s="34" t="n"/>
      <c r="P18" s="24" t="n"/>
      <c r="Q18" s="24" t="n"/>
      <c r="R18" s="24" t="n"/>
    </row>
    <row r="19" ht="15" customHeight="1" s="21">
      <c r="A19" s="34" t="n"/>
      <c r="B19" s="35" t="n"/>
      <c r="C19" s="34" t="n"/>
      <c r="D19" s="31" t="n"/>
      <c r="E19" s="24" t="n"/>
      <c r="F19" s="24" t="n"/>
      <c r="G19" s="24" t="n"/>
      <c r="H19" s="24" t="n"/>
      <c r="I19" s="24" t="n"/>
      <c r="J19" s="34" t="n"/>
      <c r="K19" s="24" t="n"/>
      <c r="L19" s="24" t="n"/>
      <c r="M19" s="24" t="n"/>
      <c r="N19" s="24" t="n"/>
      <c r="O19" s="34" t="n"/>
      <c r="P19" s="24" t="n"/>
      <c r="Q19" s="24" t="n"/>
      <c r="R19" s="24" t="n"/>
    </row>
    <row r="20" ht="15" customHeight="1" s="21">
      <c r="A20" s="34" t="n"/>
      <c r="B20" s="35" t="n"/>
      <c r="C20" s="34" t="n"/>
      <c r="D20" s="31" t="n"/>
      <c r="E20" s="24" t="n"/>
      <c r="F20" s="24" t="n"/>
      <c r="G20" s="24" t="n"/>
      <c r="H20" s="24" t="n"/>
      <c r="I20" s="24" t="n"/>
      <c r="J20" s="34" t="n"/>
      <c r="K20" s="24" t="n"/>
      <c r="L20" s="24" t="n"/>
      <c r="M20" s="24" t="n"/>
      <c r="N20" s="24" t="n"/>
      <c r="O20" s="34" t="n"/>
      <c r="P20" s="24" t="n"/>
      <c r="Q20" s="24" t="n"/>
      <c r="R20" s="24" t="n"/>
    </row>
    <row r="21" ht="15" customHeight="1" s="21">
      <c r="A21" s="34" t="n"/>
      <c r="B21" s="35" t="n"/>
      <c r="C21" s="34" t="n"/>
      <c r="D21" s="31" t="n"/>
      <c r="E21" s="24" t="n"/>
      <c r="F21" s="24" t="n"/>
      <c r="G21" s="24" t="n"/>
      <c r="H21" s="24" t="n"/>
      <c r="I21" s="24" t="n"/>
      <c r="J21" s="34" t="n"/>
      <c r="K21" s="24" t="n"/>
      <c r="L21" s="24" t="n"/>
      <c r="M21" s="24" t="n"/>
      <c r="N21" s="24" t="n"/>
      <c r="O21" s="34" t="n"/>
      <c r="P21" s="24" t="n"/>
      <c r="Q21" s="24" t="n"/>
      <c r="R21" s="24" t="n"/>
    </row>
    <row r="22" ht="15" customHeight="1" s="21">
      <c r="A22" s="34" t="n"/>
      <c r="B22" s="35" t="n"/>
      <c r="C22" s="34" t="n"/>
      <c r="D22" s="31" t="n"/>
      <c r="E22" s="24" t="n"/>
      <c r="F22" s="24" t="n"/>
      <c r="G22" s="24" t="n"/>
      <c r="H22" s="24" t="n"/>
      <c r="I22" s="24" t="n"/>
      <c r="J22" s="34" t="n"/>
      <c r="K22" s="24" t="n"/>
      <c r="L22" s="24" t="n"/>
      <c r="M22" s="24" t="n"/>
      <c r="N22" s="24" t="n"/>
      <c r="O22" s="34" t="n"/>
      <c r="P22" s="24" t="n"/>
      <c r="Q22" s="24" t="n"/>
      <c r="R22" s="24" t="n"/>
    </row>
    <row r="23" ht="15" customHeight="1" s="21">
      <c r="A23" s="34" t="n"/>
      <c r="B23" s="35" t="n"/>
      <c r="C23" s="34" t="n"/>
      <c r="D23" s="31" t="n"/>
      <c r="E23" s="24" t="n"/>
      <c r="F23" s="24" t="n"/>
      <c r="G23" s="24" t="n"/>
      <c r="H23" s="24" t="n"/>
      <c r="I23" s="24" t="n"/>
      <c r="J23" s="34" t="n"/>
      <c r="K23" s="24" t="n"/>
      <c r="L23" s="24" t="n"/>
      <c r="M23" s="24" t="n"/>
      <c r="N23" s="24" t="n"/>
      <c r="O23" s="34" t="n"/>
      <c r="P23" s="24" t="n"/>
      <c r="Q23" s="24" t="n"/>
      <c r="R23" s="24" t="n"/>
    </row>
    <row r="24" ht="15" customHeight="1" s="21">
      <c r="A24" s="34" t="n"/>
      <c r="B24" s="35" t="n"/>
      <c r="C24" s="34" t="n"/>
      <c r="D24" s="31" t="n"/>
      <c r="E24" s="24" t="n"/>
      <c r="F24" s="24" t="n"/>
      <c r="G24" s="24" t="n"/>
      <c r="H24" s="24" t="n"/>
      <c r="I24" s="24" t="n"/>
      <c r="J24" s="34" t="n"/>
      <c r="K24" s="24" t="n"/>
      <c r="L24" s="24" t="n"/>
      <c r="M24" s="24" t="n"/>
      <c r="N24" s="24" t="n"/>
      <c r="O24" s="34" t="n"/>
      <c r="P24" s="24" t="n"/>
      <c r="Q24" s="24" t="n"/>
      <c r="R24" s="24" t="n"/>
    </row>
    <row r="25" ht="15" customHeight="1" s="21">
      <c r="A25" s="34" t="n"/>
      <c r="B25" s="35" t="n"/>
      <c r="C25" s="34" t="n"/>
      <c r="D25" s="31" t="n"/>
      <c r="E25" s="24" t="n"/>
      <c r="F25" s="24" t="n"/>
      <c r="G25" s="24" t="n"/>
      <c r="H25" s="24" t="n"/>
      <c r="I25" s="24" t="n"/>
      <c r="J25" s="34" t="n"/>
      <c r="K25" s="24" t="n"/>
      <c r="L25" s="24" t="n"/>
      <c r="M25" s="24" t="n"/>
      <c r="N25" s="24" t="n"/>
      <c r="O25" s="34" t="n"/>
      <c r="P25" s="24" t="n"/>
      <c r="Q25" s="24" t="n"/>
      <c r="R25" s="24" t="n"/>
    </row>
    <row r="26" ht="15" customHeight="1" s="21">
      <c r="A26" s="34" t="n"/>
      <c r="B26" s="35" t="n"/>
      <c r="C26" s="34" t="n"/>
      <c r="D26" s="31" t="n"/>
      <c r="E26" s="24" t="n"/>
      <c r="F26" s="24" t="n"/>
      <c r="G26" s="24" t="n"/>
      <c r="H26" s="24" t="n"/>
      <c r="I26" s="24" t="n"/>
      <c r="J26" s="34" t="n"/>
      <c r="K26" s="24" t="n"/>
      <c r="L26" s="24" t="n"/>
      <c r="M26" s="24" t="n"/>
      <c r="N26" s="24" t="n"/>
      <c r="O26" s="34" t="n"/>
      <c r="P26" s="24" t="n"/>
      <c r="Q26" s="24" t="n"/>
      <c r="R26" s="24" t="n"/>
    </row>
    <row r="27" ht="15" customHeight="1" s="21">
      <c r="A27" s="34" t="n"/>
      <c r="B27" s="35" t="n"/>
      <c r="C27" s="34" t="n"/>
      <c r="D27" s="31" t="n"/>
      <c r="E27" s="24" t="n"/>
      <c r="F27" s="24" t="n"/>
      <c r="G27" s="24" t="n"/>
      <c r="H27" s="24" t="n"/>
      <c r="I27" s="24" t="n"/>
      <c r="J27" s="34" t="n"/>
      <c r="K27" s="24" t="n"/>
      <c r="L27" s="24" t="n"/>
      <c r="M27" s="24" t="n"/>
      <c r="N27" s="24" t="n"/>
      <c r="O27" s="34" t="n"/>
      <c r="P27" s="24" t="n"/>
      <c r="Q27" s="24" t="n"/>
      <c r="R27" s="24" t="n"/>
    </row>
    <row r="28" ht="15" customHeight="1" s="21">
      <c r="A28" s="34" t="n"/>
      <c r="B28" s="35" t="n"/>
      <c r="C28" s="34" t="n"/>
      <c r="D28" s="31" t="n"/>
      <c r="E28" s="24" t="n"/>
      <c r="F28" s="24" t="n"/>
      <c r="G28" s="24" t="n"/>
      <c r="H28" s="24" t="n"/>
      <c r="I28" s="24" t="n"/>
      <c r="J28" s="34" t="n"/>
      <c r="K28" s="24" t="n"/>
      <c r="L28" s="24" t="n"/>
      <c r="M28" s="24" t="n"/>
      <c r="N28" s="24" t="n"/>
      <c r="O28" s="34" t="n"/>
      <c r="P28" s="24" t="n"/>
      <c r="Q28" s="24" t="n"/>
      <c r="R28" s="24" t="n"/>
    </row>
    <row r="29" ht="15" customHeight="1" s="21">
      <c r="A29" s="34" t="n"/>
      <c r="B29" s="35" t="n"/>
      <c r="C29" s="34" t="n"/>
      <c r="D29" s="31" t="n"/>
      <c r="E29" s="24" t="n"/>
      <c r="F29" s="24" t="n"/>
      <c r="G29" s="24" t="n"/>
      <c r="H29" s="24" t="n"/>
      <c r="I29" s="24" t="n"/>
      <c r="J29" s="34" t="n"/>
      <c r="K29" s="24" t="n"/>
      <c r="L29" s="24" t="n"/>
      <c r="M29" s="24" t="n"/>
      <c r="N29" s="24" t="n"/>
      <c r="O29" s="34" t="n"/>
      <c r="P29" s="24" t="n"/>
      <c r="Q29" s="24" t="n"/>
      <c r="R29" s="24" t="n"/>
    </row>
    <row r="30" ht="15" customHeight="1" s="21">
      <c r="A30" s="34" t="n"/>
      <c r="B30" s="35" t="n"/>
      <c r="C30" s="34" t="n"/>
      <c r="D30" s="31" t="n"/>
      <c r="E30" s="24" t="n"/>
      <c r="F30" s="24" t="n"/>
      <c r="G30" s="24" t="n"/>
      <c r="H30" s="24" t="n"/>
      <c r="I30" s="24" t="n"/>
      <c r="J30" s="34" t="n"/>
      <c r="K30" s="24" t="n"/>
      <c r="L30" s="24" t="n"/>
      <c r="M30" s="24" t="n"/>
      <c r="N30" s="24" t="n"/>
      <c r="O30" s="34" t="n"/>
      <c r="P30" s="24" t="n"/>
      <c r="Q30" s="24" t="n"/>
      <c r="R30" s="24" t="n"/>
    </row>
    <row r="31" ht="15" customHeight="1" s="21">
      <c r="A31" s="34" t="n"/>
      <c r="B31" s="35" t="n"/>
      <c r="C31" s="34" t="n"/>
      <c r="D31" s="31" t="n"/>
      <c r="E31" s="24" t="n"/>
      <c r="F31" s="24" t="n"/>
      <c r="G31" s="24" t="n"/>
      <c r="H31" s="24" t="n"/>
      <c r="I31" s="24" t="n"/>
      <c r="J31" s="34" t="n"/>
      <c r="K31" s="24" t="n"/>
      <c r="L31" s="24" t="n"/>
      <c r="M31" s="24" t="n"/>
      <c r="N31" s="24" t="n"/>
      <c r="O31" s="34" t="n"/>
      <c r="P31" s="24" t="n"/>
      <c r="Q31" s="24" t="n"/>
      <c r="R31" s="24" t="n"/>
    </row>
    <row r="32" ht="15" customHeight="1" s="21">
      <c r="A32" s="34" t="n"/>
      <c r="B32" s="35" t="n"/>
      <c r="C32" s="34" t="n"/>
      <c r="D32" s="31" t="n"/>
      <c r="E32" s="24" t="n"/>
      <c r="F32" s="24" t="n"/>
      <c r="G32" s="24" t="n"/>
      <c r="H32" s="24" t="n"/>
      <c r="I32" s="24" t="n"/>
      <c r="J32" s="34" t="n"/>
      <c r="K32" s="24" t="n"/>
      <c r="L32" s="24" t="n"/>
      <c r="M32" s="24" t="n"/>
      <c r="N32" s="24" t="n"/>
      <c r="O32" s="34" t="n"/>
      <c r="P32" s="24" t="n"/>
      <c r="Q32" s="24" t="n"/>
      <c r="R32" s="24" t="n"/>
    </row>
    <row r="33" ht="15" customHeight="1" s="21">
      <c r="A33" s="34" t="n"/>
      <c r="B33" s="35" t="n"/>
      <c r="C33" s="34" t="n"/>
      <c r="D33" s="31" t="n"/>
      <c r="E33" s="24" t="n"/>
      <c r="F33" s="24" t="n"/>
      <c r="G33" s="24" t="n"/>
      <c r="H33" s="24" t="n"/>
      <c r="I33" s="24" t="n"/>
      <c r="J33" s="34" t="n"/>
      <c r="K33" s="24" t="n"/>
      <c r="L33" s="24" t="n"/>
      <c r="M33" s="24" t="n"/>
      <c r="N33" s="24" t="n"/>
      <c r="O33" s="34" t="n"/>
      <c r="P33" s="24" t="n"/>
      <c r="Q33" s="24" t="n"/>
      <c r="R33" s="24" t="n"/>
    </row>
    <row r="34" ht="15" customHeight="1" s="21">
      <c r="A34" s="34" t="n"/>
      <c r="B34" s="35" t="n"/>
      <c r="C34" s="34" t="n"/>
      <c r="D34" s="31" t="n"/>
      <c r="E34" s="24" t="n"/>
      <c r="F34" s="24" t="n"/>
      <c r="G34" s="24" t="n"/>
      <c r="H34" s="24" t="n"/>
      <c r="I34" s="24" t="n"/>
      <c r="J34" s="34" t="n"/>
      <c r="K34" s="24" t="n"/>
      <c r="L34" s="24" t="n"/>
      <c r="M34" s="24" t="n"/>
      <c r="N34" s="24" t="n"/>
      <c r="O34" s="34" t="n"/>
      <c r="P34" s="24" t="n"/>
      <c r="Q34" s="24" t="n"/>
      <c r="R34" s="24" t="n"/>
    </row>
    <row r="35" ht="15" customHeight="1" s="21">
      <c r="A35" s="34" t="n"/>
      <c r="B35" s="35" t="n"/>
      <c r="C35" s="34" t="n"/>
      <c r="D35" s="31" t="n"/>
      <c r="E35" s="24" t="n"/>
      <c r="F35" s="24" t="n"/>
      <c r="G35" s="24" t="n"/>
      <c r="H35" s="24" t="n"/>
      <c r="I35" s="24" t="n"/>
      <c r="J35" s="34" t="n"/>
      <c r="K35" s="24" t="n"/>
      <c r="L35" s="24" t="n"/>
      <c r="M35" s="24" t="n"/>
      <c r="N35" s="24" t="n"/>
      <c r="O35" s="34" t="n"/>
      <c r="P35" s="24" t="n"/>
      <c r="Q35" s="24" t="n"/>
      <c r="R35" s="24" t="n"/>
    </row>
    <row r="36" ht="15" customHeight="1" s="21">
      <c r="A36" s="34" t="n"/>
      <c r="B36" s="35" t="n"/>
      <c r="C36" s="34" t="n"/>
      <c r="D36" s="31" t="n"/>
      <c r="E36" s="24" t="n"/>
      <c r="F36" s="24" t="n"/>
      <c r="G36" s="24" t="n"/>
      <c r="H36" s="24" t="n"/>
      <c r="I36" s="24" t="n"/>
      <c r="J36" s="34" t="n"/>
      <c r="K36" s="24" t="n"/>
      <c r="L36" s="24" t="n"/>
      <c r="M36" s="24" t="n"/>
      <c r="N36" s="24" t="n"/>
      <c r="O36" s="34" t="n"/>
      <c r="P36" s="24" t="n"/>
      <c r="Q36" s="24" t="n"/>
      <c r="R36" s="24" t="n"/>
    </row>
    <row r="37" ht="15" customHeight="1" s="21">
      <c r="A37" s="34" t="n"/>
      <c r="B37" s="35" t="n"/>
      <c r="C37" s="34" t="n"/>
      <c r="D37" s="31" t="n"/>
      <c r="E37" s="24" t="n"/>
      <c r="F37" s="24" t="n"/>
      <c r="G37" s="24" t="n"/>
      <c r="H37" s="24" t="n"/>
      <c r="I37" s="24" t="n"/>
      <c r="J37" s="34" t="n"/>
      <c r="K37" s="24" t="n"/>
      <c r="L37" s="24" t="n"/>
      <c r="M37" s="24" t="n"/>
      <c r="N37" s="24" t="n"/>
      <c r="O37" s="34" t="n"/>
      <c r="P37" s="24" t="n"/>
      <c r="Q37" s="24" t="n"/>
      <c r="R37" s="24" t="n"/>
    </row>
    <row r="38" ht="15" customHeight="1" s="21">
      <c r="A38" s="34" t="n"/>
      <c r="B38" s="35" t="n"/>
      <c r="C38" s="34" t="n"/>
      <c r="D38" s="31" t="n"/>
      <c r="E38" s="24" t="n"/>
      <c r="F38" s="24" t="n"/>
      <c r="G38" s="24" t="n"/>
      <c r="H38" s="24" t="n"/>
      <c r="I38" s="24" t="n"/>
      <c r="J38" s="34" t="n"/>
      <c r="K38" s="24" t="n"/>
      <c r="L38" s="24" t="n"/>
      <c r="M38" s="24" t="n"/>
      <c r="N38" s="24" t="n"/>
      <c r="O38" s="34" t="n"/>
      <c r="P38" s="24" t="n"/>
      <c r="Q38" s="24" t="n"/>
      <c r="R38" s="24" t="n"/>
    </row>
    <row r="39" ht="15" customHeight="1" s="21">
      <c r="A39" s="34" t="n"/>
      <c r="B39" s="35" t="n"/>
      <c r="C39" s="34" t="n"/>
      <c r="D39" s="31" t="n"/>
      <c r="E39" s="24" t="n"/>
      <c r="F39" s="24" t="n"/>
      <c r="G39" s="24" t="n"/>
      <c r="H39" s="24" t="n"/>
      <c r="I39" s="24" t="n"/>
      <c r="J39" s="34" t="n"/>
      <c r="K39" s="24" t="n"/>
      <c r="L39" s="24" t="n"/>
      <c r="M39" s="24" t="n"/>
      <c r="N39" s="24" t="n"/>
      <c r="O39" s="34" t="n"/>
      <c r="P39" s="24" t="n"/>
      <c r="Q39" s="24" t="n"/>
      <c r="R39" s="24" t="n"/>
    </row>
    <row r="40" ht="15" customHeight="1" s="21">
      <c r="A40" s="34" t="n"/>
      <c r="B40" s="35" t="n"/>
      <c r="C40" s="34" t="n"/>
      <c r="D40" s="31" t="n"/>
      <c r="E40" s="24" t="n"/>
      <c r="F40" s="24" t="n"/>
      <c r="G40" s="24" t="n"/>
      <c r="H40" s="24" t="n"/>
      <c r="I40" s="24" t="n"/>
      <c r="J40" s="34" t="n"/>
      <c r="K40" s="24" t="n"/>
      <c r="L40" s="24" t="n"/>
      <c r="M40" s="24" t="n"/>
      <c r="N40" s="24" t="n"/>
      <c r="O40" s="34" t="n"/>
      <c r="P40" s="24" t="n"/>
      <c r="Q40" s="24" t="n"/>
      <c r="R40" s="24" t="n"/>
    </row>
    <row r="41" ht="15" customHeight="1" s="21">
      <c r="A41" s="34" t="n"/>
      <c r="B41" s="35" t="n"/>
      <c r="C41" s="34" t="n"/>
      <c r="D41" s="31" t="n"/>
      <c r="E41" s="24" t="n"/>
      <c r="F41" s="24" t="n"/>
      <c r="G41" s="24" t="n"/>
      <c r="H41" s="24" t="n"/>
      <c r="I41" s="24" t="n"/>
      <c r="J41" s="34" t="n"/>
      <c r="K41" s="24" t="n"/>
      <c r="L41" s="24" t="n"/>
      <c r="M41" s="24" t="n"/>
      <c r="N41" s="24" t="n"/>
      <c r="O41" s="34" t="n"/>
      <c r="P41" s="24" t="n"/>
      <c r="Q41" s="24" t="n"/>
      <c r="R41" s="24" t="n"/>
    </row>
    <row r="42" ht="15" customHeight="1" s="21">
      <c r="A42" s="34" t="n"/>
      <c r="B42" s="35" t="n"/>
      <c r="C42" s="34" t="n"/>
      <c r="D42" s="31" t="n"/>
      <c r="E42" s="24" t="n"/>
      <c r="F42" s="24" t="n"/>
      <c r="G42" s="24" t="n"/>
      <c r="H42" s="24" t="n"/>
      <c r="I42" s="24" t="n"/>
      <c r="J42" s="34" t="n"/>
      <c r="K42" s="24" t="n"/>
      <c r="L42" s="24" t="n"/>
      <c r="M42" s="24" t="n"/>
      <c r="N42" s="24" t="n"/>
      <c r="O42" s="34" t="n"/>
      <c r="P42" s="24" t="n"/>
      <c r="Q42" s="24" t="n"/>
      <c r="R42" s="24" t="n"/>
    </row>
    <row r="43" ht="15" customHeight="1" s="21">
      <c r="A43" s="34" t="n"/>
      <c r="B43" s="35" t="n"/>
      <c r="C43" s="34" t="n"/>
      <c r="D43" s="31" t="n"/>
      <c r="E43" s="24" t="n"/>
      <c r="F43" s="24" t="n"/>
      <c r="G43" s="24" t="n"/>
      <c r="H43" s="24" t="n"/>
      <c r="I43" s="24" t="n"/>
      <c r="J43" s="34" t="n"/>
      <c r="K43" s="24" t="n"/>
      <c r="L43" s="24" t="n"/>
      <c r="M43" s="24" t="n"/>
      <c r="N43" s="24" t="n"/>
      <c r="O43" s="34" t="n"/>
      <c r="P43" s="24" t="n"/>
      <c r="Q43" s="24" t="n"/>
      <c r="R43" s="24" t="n"/>
    </row>
    <row r="44" ht="15" customHeight="1" s="21">
      <c r="A44" s="34" t="n"/>
      <c r="B44" s="35" t="n"/>
      <c r="C44" s="34" t="n"/>
      <c r="D44" s="31" t="n"/>
      <c r="E44" s="24" t="n"/>
      <c r="F44" s="24" t="n"/>
      <c r="G44" s="24" t="n"/>
      <c r="H44" s="24" t="n"/>
      <c r="I44" s="24" t="n"/>
      <c r="J44" s="34" t="n"/>
      <c r="K44" s="24" t="n"/>
      <c r="L44" s="24" t="n"/>
      <c r="M44" s="24" t="n"/>
      <c r="N44" s="24" t="n"/>
      <c r="O44" s="34" t="n"/>
      <c r="P44" s="24" t="n"/>
      <c r="Q44" s="24" t="n"/>
      <c r="R44" s="24" t="n"/>
    </row>
    <row r="45" ht="15" customHeight="1" s="21">
      <c r="A45" s="34" t="n"/>
      <c r="B45" s="35" t="n"/>
      <c r="C45" s="34" t="n"/>
      <c r="D45" s="31" t="n"/>
      <c r="E45" s="24" t="n"/>
      <c r="F45" s="24" t="n"/>
      <c r="G45" s="24" t="n"/>
      <c r="H45" s="24" t="n"/>
      <c r="I45" s="24" t="n"/>
      <c r="J45" s="34" t="n"/>
      <c r="K45" s="24" t="n"/>
      <c r="L45" s="24" t="n"/>
      <c r="M45" s="24" t="n"/>
      <c r="N45" s="24" t="n"/>
      <c r="O45" s="34" t="n"/>
      <c r="P45" s="24" t="n"/>
      <c r="Q45" s="24" t="n"/>
      <c r="R45" s="24" t="n"/>
    </row>
    <row r="46" ht="15" customHeight="1" s="21">
      <c r="A46" s="34" t="n"/>
      <c r="B46" s="35" t="n"/>
      <c r="C46" s="34" t="n"/>
      <c r="D46" s="31" t="n"/>
      <c r="E46" s="24" t="n"/>
      <c r="F46" s="24" t="n"/>
      <c r="G46" s="24" t="n"/>
      <c r="H46" s="24" t="n"/>
      <c r="I46" s="24" t="n"/>
      <c r="J46" s="34" t="n"/>
      <c r="K46" s="24" t="n"/>
      <c r="L46" s="24" t="n"/>
      <c r="M46" s="24" t="n"/>
      <c r="N46" s="24" t="n"/>
      <c r="O46" s="34" t="n"/>
      <c r="P46" s="24" t="n"/>
      <c r="Q46" s="24" t="n"/>
      <c r="R46" s="24" t="n"/>
    </row>
    <row r="47" ht="15" customHeight="1" s="21">
      <c r="A47" s="34" t="n"/>
      <c r="B47" s="35" t="n"/>
      <c r="C47" s="34" t="n"/>
      <c r="D47" s="31" t="n"/>
      <c r="E47" s="24" t="n"/>
      <c r="F47" s="24" t="n"/>
      <c r="G47" s="24" t="n"/>
      <c r="H47" s="24" t="n"/>
      <c r="I47" s="24" t="n"/>
      <c r="J47" s="34" t="n"/>
      <c r="K47" s="24" t="n"/>
      <c r="L47" s="24" t="n"/>
      <c r="M47" s="24" t="n"/>
      <c r="N47" s="24" t="n"/>
      <c r="O47" s="34" t="n"/>
      <c r="P47" s="24" t="n"/>
      <c r="Q47" s="24" t="n"/>
      <c r="R47" s="24" t="n"/>
    </row>
    <row r="48" ht="15" customHeight="1" s="21">
      <c r="A48" s="34" t="n"/>
      <c r="B48" s="35" t="n"/>
      <c r="C48" s="34" t="n"/>
      <c r="D48" s="31" t="n"/>
      <c r="E48" s="24" t="n"/>
      <c r="F48" s="24" t="n"/>
      <c r="G48" s="24" t="n"/>
      <c r="H48" s="24" t="n"/>
      <c r="I48" s="24" t="n"/>
      <c r="J48" s="34" t="n"/>
      <c r="K48" s="24" t="n"/>
      <c r="L48" s="24" t="n"/>
      <c r="M48" s="24" t="n"/>
      <c r="N48" s="24" t="n"/>
      <c r="O48" s="34" t="n"/>
      <c r="P48" s="24" t="n"/>
      <c r="Q48" s="24" t="n"/>
      <c r="R48" s="24" t="n"/>
    </row>
    <row r="49" ht="15" customHeight="1" s="21">
      <c r="A49" s="34" t="n"/>
      <c r="B49" s="35" t="n"/>
      <c r="C49" s="34" t="n"/>
      <c r="D49" s="31" t="n"/>
      <c r="E49" s="24" t="n"/>
      <c r="F49" s="24" t="n"/>
      <c r="G49" s="24" t="n"/>
      <c r="H49" s="24" t="n"/>
      <c r="I49" s="24" t="n"/>
      <c r="J49" s="34" t="n"/>
      <c r="K49" s="24" t="n"/>
      <c r="L49" s="24" t="n"/>
      <c r="M49" s="24" t="n"/>
      <c r="N49" s="24" t="n"/>
      <c r="O49" s="34" t="n"/>
      <c r="P49" s="24" t="n"/>
      <c r="Q49" s="24" t="n"/>
      <c r="R49" s="24" t="n"/>
    </row>
    <row r="50" ht="15" customHeight="1" s="21">
      <c r="A50" s="34" t="n"/>
      <c r="B50" s="35" t="n"/>
      <c r="C50" s="34" t="n"/>
      <c r="D50" s="31" t="n"/>
      <c r="E50" s="24" t="n"/>
      <c r="F50" s="24" t="n"/>
      <c r="G50" s="24" t="n"/>
      <c r="H50" s="24" t="n"/>
      <c r="I50" s="24" t="n"/>
      <c r="J50" s="34" t="n"/>
      <c r="K50" s="24" t="n"/>
      <c r="L50" s="24" t="n"/>
      <c r="M50" s="24" t="n"/>
      <c r="N50" s="24" t="n"/>
      <c r="O50" s="34" t="n"/>
      <c r="P50" s="24" t="n"/>
      <c r="Q50" s="24" t="n"/>
      <c r="R50" s="24" t="n"/>
    </row>
    <row r="51" ht="15" customHeight="1" s="21">
      <c r="A51" s="34" t="n"/>
      <c r="B51" s="35" t="n"/>
      <c r="C51" s="34" t="n"/>
      <c r="D51" s="31" t="n"/>
      <c r="E51" s="24" t="n"/>
      <c r="F51" s="24" t="n"/>
      <c r="G51" s="24" t="n"/>
      <c r="H51" s="24" t="n"/>
      <c r="I51" s="24" t="n"/>
      <c r="J51" s="34" t="n"/>
      <c r="K51" s="24" t="n"/>
      <c r="L51" s="24" t="n"/>
      <c r="M51" s="24" t="n"/>
      <c r="N51" s="24" t="n"/>
      <c r="O51" s="34" t="n"/>
      <c r="P51" s="24" t="n"/>
      <c r="Q51" s="24" t="n"/>
      <c r="R51" s="24" t="n"/>
    </row>
    <row r="52" ht="15" customHeight="1" s="21">
      <c r="A52" s="34" t="n"/>
      <c r="B52" s="35" t="n"/>
      <c r="C52" s="34" t="n"/>
      <c r="D52" s="31" t="n"/>
      <c r="E52" s="24" t="n"/>
      <c r="F52" s="24" t="n"/>
      <c r="G52" s="24" t="n"/>
      <c r="H52" s="24" t="n"/>
      <c r="I52" s="24" t="n"/>
      <c r="J52" s="34" t="n"/>
      <c r="K52" s="24" t="n"/>
      <c r="L52" s="24" t="n"/>
      <c r="M52" s="24" t="n"/>
      <c r="N52" s="24" t="n"/>
      <c r="O52" s="34" t="n"/>
      <c r="P52" s="24" t="n"/>
      <c r="Q52" s="24" t="n"/>
      <c r="R52" s="24" t="n"/>
    </row>
    <row r="53" ht="15" customHeight="1" s="21">
      <c r="A53" s="34" t="n"/>
      <c r="B53" s="35" t="n"/>
      <c r="C53" s="34" t="n"/>
      <c r="D53" s="31" t="n"/>
      <c r="E53" s="24" t="n"/>
      <c r="F53" s="24" t="n"/>
      <c r="G53" s="24" t="n"/>
      <c r="H53" s="24" t="n"/>
      <c r="I53" s="24" t="n"/>
      <c r="J53" s="34" t="n"/>
      <c r="K53" s="24" t="n"/>
      <c r="L53" s="24" t="n"/>
      <c r="M53" s="24" t="n"/>
      <c r="N53" s="24" t="n"/>
      <c r="O53" s="34" t="n"/>
      <c r="P53" s="24" t="n"/>
      <c r="Q53" s="24" t="n"/>
      <c r="R53" s="24" t="n"/>
    </row>
    <row r="54" ht="15" customHeight="1" s="21">
      <c r="A54" s="34" t="n"/>
      <c r="B54" s="35" t="n"/>
      <c r="C54" s="34" t="n"/>
      <c r="D54" s="31" t="n"/>
      <c r="E54" s="24" t="n"/>
      <c r="F54" s="24" t="n"/>
      <c r="G54" s="24" t="n"/>
      <c r="H54" s="24" t="n"/>
      <c r="I54" s="24" t="n"/>
      <c r="J54" s="34" t="n"/>
      <c r="K54" s="24" t="n"/>
      <c r="L54" s="24" t="n"/>
      <c r="M54" s="24" t="n"/>
      <c r="N54" s="24" t="n"/>
      <c r="O54" s="34" t="n"/>
      <c r="P54" s="24" t="n"/>
      <c r="Q54" s="24" t="n"/>
      <c r="R54" s="24" t="n"/>
    </row>
    <row r="55" ht="15" customHeight="1" s="21">
      <c r="A55" s="34" t="n"/>
      <c r="B55" s="35" t="n"/>
      <c r="C55" s="34" t="n"/>
      <c r="D55" s="31" t="n"/>
      <c r="E55" s="24" t="n"/>
      <c r="F55" s="24" t="n"/>
      <c r="G55" s="24" t="n"/>
      <c r="H55" s="24" t="n"/>
      <c r="I55" s="24" t="n"/>
      <c r="J55" s="34" t="n"/>
      <c r="K55" s="24" t="n"/>
      <c r="L55" s="24" t="n"/>
      <c r="M55" s="24" t="n"/>
      <c r="N55" s="24" t="n"/>
      <c r="O55" s="34" t="n"/>
      <c r="P55" s="24" t="n"/>
      <c r="Q55" s="24" t="n"/>
      <c r="R55" s="24" t="n"/>
    </row>
    <row r="56" ht="15" customHeight="1" s="21">
      <c r="A56" s="34" t="n"/>
      <c r="B56" s="35" t="n"/>
      <c r="C56" s="34" t="n"/>
      <c r="D56" s="31" t="n"/>
      <c r="E56" s="24" t="n"/>
      <c r="F56" s="24" t="n"/>
      <c r="G56" s="24" t="n"/>
      <c r="H56" s="24" t="n"/>
      <c r="I56" s="24" t="n"/>
      <c r="J56" s="34" t="n"/>
      <c r="K56" s="24" t="n"/>
      <c r="L56" s="24" t="n"/>
      <c r="M56" s="24" t="n"/>
      <c r="N56" s="24" t="n"/>
      <c r="O56" s="34" t="n"/>
      <c r="P56" s="24" t="n"/>
      <c r="Q56" s="24" t="n"/>
      <c r="R56" s="24" t="n"/>
    </row>
    <row r="57" ht="15" customHeight="1" s="21">
      <c r="A57" s="34" t="n"/>
      <c r="B57" s="35" t="n"/>
      <c r="C57" s="34" t="n"/>
      <c r="D57" s="31" t="n"/>
      <c r="E57" s="24" t="n"/>
      <c r="F57" s="24" t="n"/>
      <c r="G57" s="24" t="n"/>
      <c r="H57" s="24" t="n"/>
      <c r="I57" s="24" t="n"/>
      <c r="J57" s="34" t="n"/>
      <c r="K57" s="24" t="n"/>
      <c r="L57" s="24" t="n"/>
      <c r="M57" s="24" t="n"/>
      <c r="N57" s="24" t="n"/>
      <c r="O57" s="34" t="n"/>
      <c r="P57" s="24" t="n"/>
      <c r="Q57" s="24" t="n"/>
      <c r="R57" s="24" t="n"/>
    </row>
    <row r="58" ht="15" customHeight="1" s="21">
      <c r="A58" s="34" t="n"/>
      <c r="B58" s="35" t="n"/>
      <c r="C58" s="34" t="n"/>
      <c r="D58" s="31" t="n"/>
      <c r="E58" s="24" t="n"/>
      <c r="F58" s="24" t="n"/>
      <c r="G58" s="24" t="n"/>
      <c r="H58" s="24" t="n"/>
      <c r="I58" s="24" t="n"/>
      <c r="J58" s="34" t="n"/>
      <c r="K58" s="24" t="n"/>
      <c r="L58" s="24" t="n"/>
      <c r="M58" s="24" t="n"/>
      <c r="N58" s="24" t="n"/>
      <c r="O58" s="34" t="n"/>
      <c r="P58" s="24" t="n"/>
      <c r="Q58" s="24" t="n"/>
      <c r="R58" s="24" t="n"/>
    </row>
    <row r="59" ht="15" customHeight="1" s="21">
      <c r="A59" s="34" t="n"/>
      <c r="B59" s="35" t="n"/>
      <c r="C59" s="34" t="n"/>
      <c r="D59" s="31" t="n"/>
      <c r="E59" s="24" t="n"/>
      <c r="F59" s="24" t="n"/>
      <c r="G59" s="24" t="n"/>
      <c r="H59" s="24" t="n"/>
      <c r="I59" s="24" t="n"/>
      <c r="J59" s="34" t="n"/>
      <c r="K59" s="24" t="n"/>
      <c r="L59" s="24" t="n"/>
      <c r="M59" s="24" t="n"/>
      <c r="N59" s="24" t="n"/>
      <c r="O59" s="34" t="n"/>
      <c r="P59" s="24" t="n"/>
      <c r="Q59" s="24" t="n"/>
      <c r="R59" s="24" t="n"/>
    </row>
    <row r="60" ht="15" customHeight="1" s="21">
      <c r="A60" s="34" t="n"/>
      <c r="B60" s="35" t="n"/>
      <c r="C60" s="34" t="n"/>
      <c r="D60" s="31" t="n"/>
      <c r="E60" s="24" t="n"/>
      <c r="F60" s="24" t="n"/>
      <c r="G60" s="24" t="n"/>
      <c r="H60" s="24" t="n"/>
      <c r="I60" s="24" t="n"/>
      <c r="J60" s="34" t="n"/>
      <c r="K60" s="24" t="n"/>
      <c r="L60" s="24" t="n"/>
      <c r="M60" s="24" t="n"/>
      <c r="N60" s="24" t="n"/>
      <c r="O60" s="34" t="n"/>
      <c r="P60" s="24" t="n"/>
      <c r="Q60" s="24" t="n"/>
      <c r="R60" s="24" t="n"/>
    </row>
    <row r="61" ht="15" customHeight="1" s="21">
      <c r="A61" s="34" t="n"/>
      <c r="B61" s="35" t="n"/>
      <c r="C61" s="34" t="n"/>
      <c r="D61" s="31" t="n"/>
      <c r="E61" s="24" t="n"/>
      <c r="F61" s="24" t="n"/>
      <c r="G61" s="24" t="n"/>
      <c r="H61" s="24" t="n"/>
      <c r="I61" s="24" t="n"/>
      <c r="J61" s="34" t="n"/>
      <c r="K61" s="24" t="n"/>
      <c r="L61" s="24" t="n"/>
      <c r="M61" s="24" t="n"/>
      <c r="N61" s="24" t="n"/>
      <c r="O61" s="34" t="n"/>
      <c r="P61" s="24" t="n"/>
      <c r="Q61" s="24" t="n"/>
      <c r="R61" s="24" t="n"/>
    </row>
    <row r="62" ht="15" customHeight="1" s="21">
      <c r="A62" s="34" t="n"/>
      <c r="B62" s="35" t="n"/>
      <c r="C62" s="34" t="n"/>
      <c r="D62" s="31" t="n"/>
      <c r="E62" s="24" t="n"/>
      <c r="F62" s="24" t="n"/>
      <c r="G62" s="24" t="n"/>
      <c r="H62" s="24" t="n"/>
      <c r="I62" s="24" t="n"/>
      <c r="J62" s="34" t="n"/>
      <c r="K62" s="24" t="n"/>
      <c r="L62" s="24" t="n"/>
      <c r="M62" s="24" t="n"/>
      <c r="N62" s="24" t="n"/>
      <c r="O62" s="34" t="n"/>
      <c r="P62" s="24" t="n"/>
      <c r="Q62" s="24" t="n"/>
      <c r="R62" s="24" t="n"/>
    </row>
    <row r="63" ht="15" customHeight="1" s="21">
      <c r="A63" s="34" t="n"/>
      <c r="B63" s="35" t="n"/>
      <c r="C63" s="34" t="n"/>
      <c r="D63" s="31" t="n"/>
      <c r="E63" s="24" t="n"/>
      <c r="F63" s="24" t="n"/>
      <c r="G63" s="24" t="n"/>
      <c r="H63" s="24" t="n"/>
      <c r="I63" s="24" t="n"/>
      <c r="J63" s="34" t="n"/>
      <c r="K63" s="24" t="n"/>
      <c r="L63" s="24" t="n"/>
      <c r="M63" s="24" t="n"/>
      <c r="N63" s="24" t="n"/>
      <c r="O63" s="34" t="n"/>
      <c r="P63" s="24" t="n"/>
      <c r="Q63" s="24" t="n"/>
      <c r="R63" s="24" t="n"/>
    </row>
    <row r="64" ht="15" customHeight="1" s="21">
      <c r="A64" s="34" t="n"/>
      <c r="B64" s="35" t="n"/>
      <c r="C64" s="34" t="n"/>
      <c r="D64" s="31" t="n"/>
      <c r="E64" s="24" t="n"/>
      <c r="F64" s="24" t="n"/>
      <c r="G64" s="24" t="n"/>
      <c r="H64" s="24" t="n"/>
      <c r="I64" s="24" t="n"/>
      <c r="J64" s="34" t="n"/>
      <c r="K64" s="24" t="n"/>
      <c r="L64" s="24" t="n"/>
      <c r="M64" s="24" t="n"/>
      <c r="N64" s="24" t="n"/>
      <c r="O64" s="34" t="n"/>
      <c r="P64" s="24" t="n"/>
      <c r="Q64" s="24" t="n"/>
      <c r="R64" s="24" t="n"/>
    </row>
    <row r="65" ht="15" customHeight="1" s="21">
      <c r="A65" s="34" t="n"/>
      <c r="B65" s="35" t="n"/>
      <c r="C65" s="34" t="n"/>
      <c r="D65" s="31" t="n"/>
      <c r="E65" s="24" t="n"/>
      <c r="F65" s="24" t="n"/>
      <c r="G65" s="24" t="n"/>
      <c r="H65" s="24" t="n"/>
      <c r="I65" s="24" t="n"/>
      <c r="J65" s="34" t="n"/>
      <c r="K65" s="24" t="n"/>
      <c r="L65" s="24" t="n"/>
      <c r="M65" s="24" t="n"/>
      <c r="N65" s="24" t="n"/>
      <c r="O65" s="34" t="n"/>
      <c r="P65" s="24" t="n"/>
      <c r="Q65" s="24" t="n"/>
      <c r="R65" s="24" t="n"/>
    </row>
    <row r="66" ht="15" customHeight="1" s="21">
      <c r="A66" s="34" t="n"/>
      <c r="B66" s="35" t="n"/>
      <c r="C66" s="34" t="n"/>
      <c r="D66" s="31" t="n"/>
      <c r="E66" s="24" t="n"/>
      <c r="F66" s="24" t="n"/>
      <c r="G66" s="24" t="n"/>
      <c r="H66" s="24" t="n"/>
      <c r="I66" s="24" t="n"/>
      <c r="J66" s="34" t="n"/>
      <c r="K66" s="24" t="n"/>
      <c r="L66" s="24" t="n"/>
      <c r="M66" s="24" t="n"/>
      <c r="N66" s="24" t="n"/>
      <c r="O66" s="34" t="n"/>
      <c r="P66" s="24" t="n"/>
      <c r="Q66" s="24" t="n"/>
      <c r="R66" s="24" t="n"/>
    </row>
    <row r="67" ht="15" customHeight="1" s="21">
      <c r="A67" s="34" t="n"/>
      <c r="B67" s="35" t="n"/>
      <c r="C67" s="34" t="n"/>
      <c r="D67" s="31" t="n"/>
      <c r="E67" s="24" t="n"/>
      <c r="F67" s="24" t="n"/>
      <c r="G67" s="24" t="n"/>
      <c r="H67" s="24" t="n"/>
      <c r="I67" s="24" t="n"/>
      <c r="J67" s="34" t="n"/>
      <c r="K67" s="24" t="n"/>
      <c r="L67" s="24" t="n"/>
      <c r="M67" s="24" t="n"/>
      <c r="N67" s="24" t="n"/>
      <c r="O67" s="34" t="n"/>
      <c r="P67" s="24" t="n"/>
      <c r="Q67" s="24" t="n"/>
      <c r="R67" s="24" t="n"/>
    </row>
    <row r="68" ht="15" customHeight="1" s="21">
      <c r="A68" s="34" t="n"/>
      <c r="B68" s="35" t="n"/>
      <c r="C68" s="34" t="n"/>
      <c r="D68" s="31" t="n"/>
      <c r="E68" s="24" t="n"/>
      <c r="F68" s="24" t="n"/>
      <c r="G68" s="24" t="n"/>
      <c r="H68" s="24" t="n"/>
      <c r="I68" s="24" t="n"/>
      <c r="J68" s="34" t="n"/>
      <c r="K68" s="24" t="n"/>
      <c r="L68" s="24" t="n"/>
      <c r="M68" s="24" t="n"/>
      <c r="N68" s="24" t="n"/>
      <c r="O68" s="34" t="n"/>
      <c r="P68" s="24" t="n"/>
      <c r="Q68" s="24" t="n"/>
      <c r="R68" s="24" t="n"/>
    </row>
    <row r="69" ht="15" customHeight="1" s="21">
      <c r="A69" s="34" t="n"/>
      <c r="B69" s="35" t="n"/>
      <c r="C69" s="34" t="n"/>
      <c r="D69" s="31" t="n"/>
      <c r="E69" s="24" t="n"/>
      <c r="F69" s="24" t="n"/>
      <c r="G69" s="24" t="n"/>
      <c r="H69" s="24" t="n"/>
      <c r="I69" s="24" t="n"/>
      <c r="J69" s="34" t="n"/>
      <c r="K69" s="24" t="n"/>
      <c r="L69" s="24" t="n"/>
      <c r="M69" s="24" t="n"/>
      <c r="N69" s="24" t="n"/>
      <c r="O69" s="34" t="n"/>
      <c r="P69" s="24" t="n"/>
      <c r="Q69" s="24" t="n"/>
      <c r="R69" s="24" t="n"/>
    </row>
    <row r="70" ht="15" customHeight="1" s="21">
      <c r="A70" s="34" t="n"/>
      <c r="B70" s="35" t="n"/>
      <c r="C70" s="34" t="n"/>
      <c r="D70" s="31" t="n"/>
      <c r="E70" s="24" t="n"/>
      <c r="F70" s="24" t="n"/>
      <c r="G70" s="24" t="n"/>
      <c r="H70" s="24" t="n"/>
      <c r="I70" s="24" t="n"/>
      <c r="J70" s="34" t="n"/>
      <c r="K70" s="24" t="n"/>
      <c r="L70" s="24" t="n"/>
      <c r="M70" s="24" t="n"/>
      <c r="N70" s="24" t="n"/>
      <c r="O70" s="34" t="n"/>
      <c r="P70" s="24" t="n"/>
      <c r="Q70" s="24" t="n"/>
      <c r="R70" s="24" t="n"/>
    </row>
    <row r="71" ht="15" customHeight="1" s="21">
      <c r="A71" s="34" t="n"/>
      <c r="B71" s="35" t="n"/>
      <c r="C71" s="34" t="n"/>
      <c r="D71" s="31" t="n"/>
      <c r="E71" s="24" t="n"/>
      <c r="F71" s="24" t="n"/>
      <c r="G71" s="24" t="n"/>
      <c r="H71" s="24" t="n"/>
      <c r="I71" s="24" t="n"/>
      <c r="J71" s="34" t="n"/>
      <c r="K71" s="24" t="n"/>
      <c r="L71" s="24" t="n"/>
      <c r="M71" s="24" t="n"/>
      <c r="N71" s="24" t="n"/>
      <c r="O71" s="34" t="n"/>
      <c r="P71" s="24" t="n"/>
      <c r="Q71" s="24" t="n"/>
      <c r="R71" s="24" t="n"/>
    </row>
    <row r="72" ht="15" customHeight="1" s="21">
      <c r="A72" s="34" t="n"/>
      <c r="B72" s="35" t="n"/>
      <c r="C72" s="34" t="n"/>
      <c r="D72" s="31" t="n"/>
      <c r="E72" s="24" t="n"/>
      <c r="F72" s="24" t="n"/>
      <c r="G72" s="24" t="n"/>
      <c r="H72" s="24" t="n"/>
      <c r="I72" s="24" t="n"/>
      <c r="J72" s="34" t="n"/>
      <c r="K72" s="24" t="n"/>
      <c r="L72" s="24" t="n"/>
      <c r="M72" s="24" t="n"/>
      <c r="N72" s="24" t="n"/>
      <c r="O72" s="34" t="n"/>
      <c r="P72" s="24" t="n"/>
      <c r="Q72" s="24" t="n"/>
      <c r="R72" s="24" t="n"/>
    </row>
    <row r="73" ht="15" customHeight="1" s="21">
      <c r="A73" s="34" t="n"/>
      <c r="B73" s="35" t="n"/>
      <c r="C73" s="34" t="n"/>
      <c r="D73" s="31" t="n"/>
      <c r="E73" s="24" t="n"/>
      <c r="F73" s="24" t="n"/>
      <c r="G73" s="24" t="n"/>
      <c r="H73" s="24" t="n"/>
      <c r="I73" s="24" t="n"/>
      <c r="J73" s="34" t="n"/>
      <c r="K73" s="24" t="n"/>
      <c r="L73" s="24" t="n"/>
      <c r="M73" s="24" t="n"/>
      <c r="N73" s="24" t="n"/>
      <c r="O73" s="34" t="n"/>
      <c r="P73" s="24" t="n"/>
      <c r="Q73" s="24" t="n"/>
      <c r="R73" s="24" t="n"/>
    </row>
    <row r="74" ht="15" customHeight="1" s="21">
      <c r="A74" s="34" t="n"/>
      <c r="B74" s="35" t="n"/>
      <c r="C74" s="34" t="n"/>
      <c r="D74" s="31" t="n"/>
      <c r="E74" s="24" t="n"/>
      <c r="F74" s="24" t="n"/>
      <c r="G74" s="24" t="n"/>
      <c r="H74" s="24" t="n"/>
      <c r="I74" s="24" t="n"/>
      <c r="J74" s="34" t="n"/>
      <c r="K74" s="24" t="n"/>
      <c r="L74" s="24" t="n"/>
      <c r="M74" s="24" t="n"/>
      <c r="N74" s="24" t="n"/>
      <c r="O74" s="34" t="n"/>
      <c r="P74" s="24" t="n"/>
      <c r="Q74" s="24" t="n"/>
      <c r="R74" s="24" t="n"/>
    </row>
    <row r="75" ht="15" customHeight="1" s="21">
      <c r="A75" s="34" t="n"/>
      <c r="B75" s="35" t="n"/>
      <c r="C75" s="34" t="n"/>
      <c r="D75" s="31" t="n"/>
      <c r="E75" s="24" t="n"/>
      <c r="F75" s="24" t="n"/>
      <c r="G75" s="24" t="n"/>
      <c r="H75" s="24" t="n"/>
      <c r="I75" s="24" t="n"/>
      <c r="J75" s="34" t="n"/>
      <c r="K75" s="24" t="n"/>
      <c r="L75" s="24" t="n"/>
      <c r="M75" s="24" t="n"/>
      <c r="N75" s="24" t="n"/>
      <c r="O75" s="34" t="n"/>
      <c r="P75" s="24" t="n"/>
      <c r="Q75" s="24" t="n"/>
      <c r="R75" s="24" t="n"/>
    </row>
    <row r="76" ht="15" customHeight="1" s="21">
      <c r="A76" s="34" t="n"/>
      <c r="B76" s="35" t="n"/>
      <c r="C76" s="34" t="n"/>
      <c r="D76" s="31" t="n"/>
      <c r="E76" s="24" t="n"/>
      <c r="F76" s="24" t="n"/>
      <c r="G76" s="24" t="n"/>
      <c r="H76" s="24" t="n"/>
      <c r="I76" s="24" t="n"/>
      <c r="J76" s="34" t="n"/>
      <c r="K76" s="24" t="n"/>
      <c r="L76" s="24" t="n"/>
      <c r="M76" s="24" t="n"/>
      <c r="N76" s="24" t="n"/>
      <c r="O76" s="34" t="n"/>
      <c r="P76" s="24" t="n"/>
      <c r="Q76" s="24" t="n"/>
      <c r="R76" s="24" t="n"/>
    </row>
    <row r="77" ht="15" customHeight="1" s="21">
      <c r="A77" s="34" t="n"/>
      <c r="B77" s="35" t="n"/>
      <c r="C77" s="34" t="n"/>
      <c r="D77" s="31" t="n"/>
      <c r="E77" s="24" t="n"/>
      <c r="F77" s="24" t="n"/>
      <c r="G77" s="24" t="n"/>
      <c r="H77" s="24" t="n"/>
      <c r="I77" s="24" t="n"/>
      <c r="J77" s="34" t="n"/>
      <c r="K77" s="24" t="n"/>
      <c r="L77" s="24" t="n"/>
      <c r="M77" s="24" t="n"/>
      <c r="N77" s="24" t="n"/>
      <c r="O77" s="34" t="n"/>
      <c r="P77" s="24" t="n"/>
      <c r="Q77" s="24" t="n"/>
      <c r="R77" s="24" t="n"/>
    </row>
    <row r="78" ht="15" customHeight="1" s="21">
      <c r="A78" s="34" t="n"/>
      <c r="B78" s="35" t="n"/>
      <c r="C78" s="34" t="n"/>
      <c r="D78" s="31" t="n"/>
      <c r="E78" s="24" t="n"/>
      <c r="F78" s="24" t="n"/>
      <c r="G78" s="24" t="n"/>
      <c r="H78" s="24" t="n"/>
      <c r="I78" s="24" t="n"/>
      <c r="J78" s="34" t="n"/>
      <c r="K78" s="24" t="n"/>
      <c r="L78" s="24" t="n"/>
      <c r="M78" s="24" t="n"/>
      <c r="N78" s="24" t="n"/>
      <c r="O78" s="34" t="n"/>
      <c r="P78" s="24" t="n"/>
      <c r="Q78" s="24" t="n"/>
      <c r="R78" s="24" t="n"/>
    </row>
    <row r="79" ht="15" customHeight="1" s="21">
      <c r="A79" s="34" t="n"/>
      <c r="B79" s="35" t="n"/>
      <c r="C79" s="34" t="n"/>
      <c r="D79" s="31" t="n"/>
      <c r="E79" s="24" t="n"/>
      <c r="F79" s="24" t="n"/>
      <c r="G79" s="24" t="n"/>
      <c r="H79" s="24" t="n"/>
      <c r="I79" s="24" t="n"/>
      <c r="J79" s="34" t="n"/>
      <c r="K79" s="24" t="n"/>
      <c r="L79" s="24" t="n"/>
      <c r="M79" s="24" t="n"/>
      <c r="N79" s="24" t="n"/>
      <c r="O79" s="34" t="n"/>
      <c r="P79" s="24" t="n"/>
      <c r="Q79" s="24" t="n"/>
      <c r="R79" s="24" t="n"/>
    </row>
    <row r="80" ht="15" customHeight="1" s="21">
      <c r="A80" s="34" t="n"/>
      <c r="B80" s="35" t="n"/>
      <c r="C80" s="34" t="n"/>
      <c r="D80" s="31" t="n"/>
      <c r="E80" s="24" t="n"/>
      <c r="F80" s="24" t="n"/>
      <c r="G80" s="24" t="n"/>
      <c r="H80" s="24" t="n"/>
      <c r="I80" s="24" t="n"/>
      <c r="J80" s="34" t="n"/>
      <c r="K80" s="24" t="n"/>
      <c r="L80" s="24" t="n"/>
      <c r="M80" s="24" t="n"/>
      <c r="N80" s="24" t="n"/>
      <c r="O80" s="34" t="n"/>
      <c r="P80" s="24" t="n"/>
      <c r="Q80" s="24" t="n"/>
      <c r="R80" s="24" t="n"/>
    </row>
    <row r="81" ht="15" customHeight="1" s="21">
      <c r="A81" s="34" t="n"/>
      <c r="B81" s="35" t="n"/>
      <c r="C81" s="34" t="n"/>
      <c r="D81" s="31" t="n"/>
      <c r="E81" s="24" t="n"/>
      <c r="F81" s="24" t="n"/>
      <c r="G81" s="24" t="n"/>
      <c r="H81" s="24" t="n"/>
      <c r="I81" s="24" t="n"/>
      <c r="J81" s="34" t="n"/>
      <c r="K81" s="24" t="n"/>
      <c r="L81" s="24" t="n"/>
      <c r="M81" s="24" t="n"/>
      <c r="N81" s="24" t="n"/>
      <c r="O81" s="34" t="n"/>
      <c r="P81" s="24" t="n"/>
      <c r="Q81" s="24" t="n"/>
      <c r="R81" s="24" t="n"/>
    </row>
    <row r="82" ht="15" customHeight="1" s="21">
      <c r="A82" s="34" t="n"/>
      <c r="B82" s="35" t="n"/>
      <c r="C82" s="34" t="n"/>
      <c r="D82" s="31" t="n"/>
      <c r="E82" s="24" t="n"/>
      <c r="F82" s="24" t="n"/>
      <c r="G82" s="24" t="n"/>
      <c r="H82" s="24" t="n"/>
      <c r="I82" s="24" t="n"/>
      <c r="J82" s="34" t="n"/>
      <c r="K82" s="24" t="n"/>
      <c r="L82" s="24" t="n"/>
      <c r="M82" s="24" t="n"/>
      <c r="N82" s="24" t="n"/>
      <c r="O82" s="34" t="n"/>
      <c r="P82" s="24" t="n"/>
      <c r="Q82" s="24" t="n"/>
      <c r="R82" s="24" t="n"/>
    </row>
    <row r="83" ht="15" customHeight="1" s="21">
      <c r="A83" s="34" t="n"/>
      <c r="B83" s="35" t="n"/>
      <c r="C83" s="34" t="n"/>
      <c r="D83" s="31" t="n"/>
      <c r="E83" s="24" t="n"/>
      <c r="F83" s="24" t="n"/>
      <c r="G83" s="24" t="n"/>
      <c r="H83" s="24" t="n"/>
      <c r="I83" s="24" t="n"/>
      <c r="J83" s="34" t="n"/>
      <c r="K83" s="24" t="n"/>
      <c r="L83" s="24" t="n"/>
      <c r="M83" s="24" t="n"/>
      <c r="N83" s="24" t="n"/>
      <c r="O83" s="34" t="n"/>
      <c r="P83" s="24" t="n"/>
      <c r="Q83" s="24" t="n"/>
      <c r="R83" s="24" t="n"/>
    </row>
    <row r="84" ht="15" customHeight="1" s="21">
      <c r="A84" s="34" t="n"/>
      <c r="B84" s="35" t="n"/>
      <c r="C84" s="34" t="n"/>
      <c r="D84" s="31" t="n"/>
      <c r="E84" s="24" t="n"/>
      <c r="F84" s="24" t="n"/>
      <c r="G84" s="24" t="n"/>
      <c r="H84" s="24" t="n"/>
      <c r="I84" s="24" t="n"/>
      <c r="J84" s="34" t="n"/>
      <c r="K84" s="24" t="n"/>
      <c r="L84" s="24" t="n"/>
      <c r="M84" s="24" t="n"/>
      <c r="N84" s="24" t="n"/>
      <c r="O84" s="34" t="n"/>
      <c r="P84" s="24" t="n"/>
      <c r="Q84" s="24" t="n"/>
      <c r="R84" s="24" t="n"/>
    </row>
    <row r="85" ht="15" customHeight="1" s="21">
      <c r="A85" s="34" t="n"/>
      <c r="B85" s="35" t="n"/>
      <c r="C85" s="34" t="n"/>
      <c r="D85" s="31" t="n"/>
      <c r="E85" s="24" t="n"/>
      <c r="F85" s="24" t="n"/>
      <c r="G85" s="24" t="n"/>
      <c r="H85" s="24" t="n"/>
      <c r="I85" s="24" t="n"/>
      <c r="J85" s="34" t="n"/>
      <c r="K85" s="24" t="n"/>
      <c r="L85" s="24" t="n"/>
      <c r="M85" s="24" t="n"/>
      <c r="N85" s="24" t="n"/>
      <c r="O85" s="34" t="n"/>
      <c r="P85" s="24" t="n"/>
      <c r="Q85" s="24" t="n"/>
      <c r="R85" s="24" t="n"/>
    </row>
    <row r="86" ht="15" customHeight="1" s="21">
      <c r="A86" s="34" t="n"/>
      <c r="B86" s="35" t="n"/>
      <c r="C86" s="34" t="n"/>
      <c r="D86" s="31" t="n"/>
      <c r="E86" s="24" t="n"/>
      <c r="F86" s="24" t="n"/>
      <c r="G86" s="24" t="n"/>
      <c r="H86" s="24" t="n"/>
      <c r="I86" s="24" t="n"/>
      <c r="J86" s="34" t="n"/>
      <c r="K86" s="24" t="n"/>
      <c r="L86" s="24" t="n"/>
      <c r="M86" s="24" t="n"/>
      <c r="N86" s="24" t="n"/>
      <c r="O86" s="34" t="n"/>
      <c r="P86" s="24" t="n"/>
      <c r="Q86" s="24" t="n"/>
      <c r="R86" s="24" t="n"/>
    </row>
    <row r="87" ht="15" customHeight="1" s="21">
      <c r="A87" s="34" t="n"/>
      <c r="B87" s="35" t="n"/>
      <c r="C87" s="34" t="n"/>
      <c r="D87" s="31" t="n"/>
      <c r="E87" s="24" t="n"/>
      <c r="F87" s="24" t="n"/>
      <c r="G87" s="24" t="n"/>
      <c r="H87" s="24" t="n"/>
      <c r="I87" s="24" t="n"/>
      <c r="J87" s="34" t="n"/>
      <c r="K87" s="24" t="n"/>
      <c r="L87" s="24" t="n"/>
      <c r="M87" s="24" t="n"/>
      <c r="N87" s="24" t="n"/>
      <c r="O87" s="34" t="n"/>
      <c r="P87" s="24" t="n"/>
      <c r="Q87" s="24" t="n"/>
      <c r="R87" s="24" t="n"/>
    </row>
    <row r="88" ht="15" customHeight="1" s="21">
      <c r="A88" s="34" t="n"/>
      <c r="B88" s="35" t="n"/>
      <c r="C88" s="34" t="n"/>
      <c r="D88" s="31" t="n"/>
      <c r="E88" s="24" t="n"/>
      <c r="F88" s="24" t="n"/>
      <c r="G88" s="24" t="n"/>
      <c r="H88" s="24" t="n"/>
      <c r="I88" s="24" t="n"/>
      <c r="J88" s="34" t="n"/>
      <c r="K88" s="24" t="n"/>
      <c r="L88" s="24" t="n"/>
      <c r="M88" s="24" t="n"/>
      <c r="N88" s="24" t="n"/>
      <c r="O88" s="34" t="n"/>
      <c r="P88" s="24" t="n"/>
      <c r="Q88" s="24" t="n"/>
      <c r="R88" s="24" t="n"/>
    </row>
    <row r="89" ht="15" customHeight="1" s="21">
      <c r="A89" s="34" t="n"/>
      <c r="B89" s="35" t="n"/>
      <c r="C89" s="34" t="n"/>
      <c r="D89" s="31" t="n"/>
      <c r="E89" s="24" t="n"/>
      <c r="F89" s="24" t="n"/>
      <c r="G89" s="24" t="n"/>
      <c r="H89" s="24" t="n"/>
      <c r="I89" s="24" t="n"/>
      <c r="J89" s="34" t="n"/>
      <c r="K89" s="24" t="n"/>
      <c r="L89" s="24" t="n"/>
      <c r="M89" s="24" t="n"/>
      <c r="N89" s="24" t="n"/>
      <c r="O89" s="34" t="n"/>
      <c r="P89" s="24" t="n"/>
      <c r="Q89" s="24" t="n"/>
      <c r="R89" s="24" t="n"/>
    </row>
    <row r="90" ht="15" customHeight="1" s="21">
      <c r="A90" s="34" t="n"/>
      <c r="B90" s="35" t="n"/>
      <c r="C90" s="34" t="n"/>
      <c r="D90" s="31" t="n"/>
      <c r="E90" s="24" t="n"/>
      <c r="F90" s="24" t="n"/>
      <c r="G90" s="24" t="n"/>
      <c r="H90" s="24" t="n"/>
      <c r="I90" s="24" t="n"/>
      <c r="J90" s="34" t="n"/>
      <c r="K90" s="24" t="n"/>
      <c r="L90" s="24" t="n"/>
      <c r="M90" s="24" t="n"/>
      <c r="N90" s="24" t="n"/>
      <c r="O90" s="34" t="n"/>
      <c r="P90" s="24" t="n"/>
      <c r="Q90" s="24" t="n"/>
      <c r="R90" s="24" t="n"/>
    </row>
    <row r="91" ht="15" customHeight="1" s="21">
      <c r="A91" s="34" t="n"/>
      <c r="B91" s="35" t="n"/>
      <c r="C91" s="34" t="n"/>
      <c r="D91" s="31" t="n"/>
      <c r="E91" s="24" t="n"/>
      <c r="F91" s="24" t="n"/>
      <c r="G91" s="24" t="n"/>
      <c r="H91" s="24" t="n"/>
      <c r="I91" s="24" t="n"/>
      <c r="J91" s="34" t="n"/>
      <c r="K91" s="24" t="n"/>
      <c r="L91" s="24" t="n"/>
      <c r="M91" s="24" t="n"/>
      <c r="N91" s="24" t="n"/>
      <c r="O91" s="34" t="n"/>
      <c r="P91" s="24" t="n"/>
      <c r="Q91" s="24" t="n"/>
      <c r="R91" s="24" t="n"/>
    </row>
    <row r="92" ht="15" customHeight="1" s="21">
      <c r="A92" s="34" t="n"/>
      <c r="B92" s="35" t="n"/>
      <c r="C92" s="34" t="n"/>
      <c r="D92" s="31" t="n"/>
      <c r="E92" s="24" t="n"/>
      <c r="F92" s="24" t="n"/>
      <c r="G92" s="24" t="n"/>
      <c r="H92" s="24" t="n"/>
      <c r="I92" s="24" t="n"/>
      <c r="J92" s="34" t="n"/>
      <c r="K92" s="24" t="n"/>
      <c r="L92" s="24" t="n"/>
      <c r="M92" s="24" t="n"/>
      <c r="N92" s="24" t="n"/>
      <c r="O92" s="34" t="n"/>
      <c r="P92" s="24" t="n"/>
      <c r="Q92" s="24" t="n"/>
      <c r="R92" s="24" t="n"/>
    </row>
    <row r="93" ht="15" customHeight="1" s="21">
      <c r="A93" s="34" t="n"/>
      <c r="B93" s="35" t="n"/>
      <c r="C93" s="34" t="n"/>
      <c r="D93" s="31" t="n"/>
      <c r="E93" s="24" t="n"/>
      <c r="F93" s="24" t="n"/>
      <c r="G93" s="24" t="n"/>
      <c r="H93" s="24" t="n"/>
      <c r="I93" s="24" t="n"/>
      <c r="J93" s="34" t="n"/>
      <c r="K93" s="24" t="n"/>
      <c r="L93" s="24" t="n"/>
      <c r="M93" s="24" t="n"/>
      <c r="N93" s="24" t="n"/>
      <c r="O93" s="34" t="n"/>
      <c r="P93" s="24" t="n"/>
      <c r="Q93" s="24" t="n"/>
      <c r="R93" s="24" t="n"/>
    </row>
    <row r="94" ht="15" customHeight="1" s="21">
      <c r="A94" s="34" t="n"/>
      <c r="B94" s="35" t="n"/>
      <c r="C94" s="34" t="n"/>
      <c r="D94" s="31" t="n"/>
      <c r="E94" s="24" t="n"/>
      <c r="F94" s="24" t="n"/>
      <c r="G94" s="24" t="n"/>
      <c r="H94" s="24" t="n"/>
      <c r="I94" s="24" t="n"/>
      <c r="J94" s="34" t="n"/>
      <c r="K94" s="24" t="n"/>
      <c r="L94" s="24" t="n"/>
      <c r="M94" s="24" t="n"/>
      <c r="N94" s="24" t="n"/>
      <c r="O94" s="34" t="n"/>
      <c r="P94" s="24" t="n"/>
      <c r="Q94" s="24" t="n"/>
      <c r="R94" s="24" t="n"/>
    </row>
    <row r="95" ht="15" customHeight="1" s="21">
      <c r="A95" s="34" t="n"/>
      <c r="B95" s="35" t="n"/>
      <c r="C95" s="34" t="n"/>
      <c r="D95" s="31" t="n"/>
      <c r="E95" s="24" t="n"/>
      <c r="F95" s="24" t="n"/>
      <c r="G95" s="24" t="n"/>
      <c r="H95" s="24" t="n"/>
      <c r="I95" s="24" t="n"/>
      <c r="J95" s="34" t="n"/>
      <c r="K95" s="24" t="n"/>
      <c r="L95" s="24" t="n"/>
      <c r="M95" s="24" t="n"/>
      <c r="N95" s="24" t="n"/>
      <c r="O95" s="34" t="n"/>
      <c r="P95" s="24" t="n"/>
      <c r="Q95" s="24" t="n"/>
      <c r="R95" s="24" t="n"/>
    </row>
    <row r="96" ht="15" customHeight="1" s="21">
      <c r="A96" s="34" t="n"/>
      <c r="B96" s="35" t="n"/>
      <c r="C96" s="34" t="n"/>
      <c r="D96" s="31" t="n"/>
      <c r="E96" s="24" t="n"/>
      <c r="F96" s="24" t="n"/>
      <c r="G96" s="24" t="n"/>
      <c r="H96" s="24" t="n"/>
      <c r="I96" s="24" t="n"/>
      <c r="J96" s="34" t="n"/>
      <c r="K96" s="24" t="n"/>
      <c r="L96" s="24" t="n"/>
      <c r="M96" s="24" t="n"/>
      <c r="N96" s="24" t="n"/>
      <c r="O96" s="34" t="n"/>
      <c r="P96" s="24" t="n"/>
      <c r="Q96" s="24" t="n"/>
      <c r="R96" s="24" t="n"/>
    </row>
    <row r="97" ht="15" customHeight="1" s="21">
      <c r="A97" s="34" t="n"/>
      <c r="B97" s="35" t="n"/>
      <c r="C97" s="34" t="n"/>
      <c r="D97" s="31" t="n"/>
      <c r="E97" s="24" t="n"/>
      <c r="F97" s="24" t="n"/>
      <c r="G97" s="24" t="n"/>
      <c r="H97" s="24" t="n"/>
      <c r="I97" s="24" t="n"/>
      <c r="J97" s="34" t="n"/>
      <c r="K97" s="24" t="n"/>
      <c r="L97" s="24" t="n"/>
      <c r="M97" s="24" t="n"/>
      <c r="N97" s="24" t="n"/>
      <c r="O97" s="34" t="n"/>
      <c r="P97" s="24" t="n"/>
      <c r="Q97" s="24" t="n"/>
      <c r="R97" s="24" t="n"/>
    </row>
    <row r="98" ht="15" customHeight="1" s="21">
      <c r="A98" s="34" t="n"/>
      <c r="B98" s="35" t="n"/>
      <c r="C98" s="34" t="n"/>
      <c r="D98" s="31" t="n"/>
      <c r="E98" s="24" t="n"/>
      <c r="F98" s="24" t="n"/>
      <c r="G98" s="24" t="n"/>
      <c r="H98" s="24" t="n"/>
      <c r="I98" s="24" t="n"/>
      <c r="J98" s="34" t="n"/>
      <c r="K98" s="24" t="n"/>
      <c r="L98" s="24" t="n"/>
      <c r="M98" s="24" t="n"/>
      <c r="N98" s="24" t="n"/>
      <c r="O98" s="34" t="n"/>
      <c r="P98" s="24" t="n"/>
      <c r="Q98" s="24" t="n"/>
      <c r="R98" s="24" t="n"/>
    </row>
    <row r="99" ht="15" customHeight="1" s="21">
      <c r="A99" s="34" t="n"/>
      <c r="B99" s="35" t="n"/>
      <c r="C99" s="34" t="n"/>
      <c r="D99" s="31" t="n"/>
      <c r="E99" s="24" t="n"/>
      <c r="F99" s="24" t="n"/>
      <c r="G99" s="24" t="n"/>
      <c r="H99" s="24" t="n"/>
      <c r="I99" s="24" t="n"/>
      <c r="J99" s="34" t="n"/>
      <c r="K99" s="24" t="n"/>
      <c r="L99" s="24" t="n"/>
      <c r="M99" s="24" t="n"/>
      <c r="N99" s="24" t="n"/>
      <c r="O99" s="34" t="n"/>
      <c r="P99" s="24" t="n"/>
      <c r="Q99" s="24" t="n"/>
      <c r="R99" s="24" t="n"/>
    </row>
    <row r="100" ht="15" customHeight="1" s="21">
      <c r="A100" s="34" t="n"/>
      <c r="B100" s="35" t="n"/>
      <c r="C100" s="34" t="n"/>
      <c r="D100" s="31" t="n"/>
      <c r="E100" s="24" t="n"/>
      <c r="F100" s="24" t="n"/>
      <c r="G100" s="24" t="n"/>
      <c r="H100" s="24" t="n"/>
      <c r="I100" s="24" t="n"/>
      <c r="J100" s="34" t="n"/>
      <c r="K100" s="24" t="n"/>
      <c r="L100" s="24" t="n"/>
      <c r="M100" s="24" t="n"/>
      <c r="N100" s="24" t="n"/>
      <c r="O100" s="34" t="n"/>
      <c r="P100" s="24" t="n"/>
      <c r="Q100" s="24" t="n"/>
      <c r="R100" s="24" t="n"/>
    </row>
    <row r="101" ht="15" customHeight="1" s="21">
      <c r="A101" s="34" t="n"/>
      <c r="B101" s="35" t="n"/>
      <c r="C101" s="34" t="n"/>
      <c r="D101" s="31" t="n"/>
      <c r="E101" s="24" t="n"/>
      <c r="F101" s="24" t="n"/>
      <c r="G101" s="24" t="n"/>
      <c r="H101" s="24" t="n"/>
      <c r="I101" s="24" t="n"/>
      <c r="J101" s="34" t="n"/>
      <c r="K101" s="24" t="n"/>
      <c r="L101" s="24" t="n"/>
      <c r="M101" s="24" t="n"/>
      <c r="N101" s="24" t="n"/>
      <c r="O101" s="34" t="n"/>
      <c r="P101" s="24" t="n"/>
      <c r="Q101" s="24" t="n"/>
      <c r="R101" s="24" t="n"/>
    </row>
    <row r="102" ht="15" customHeight="1" s="21">
      <c r="A102" s="34" t="n"/>
      <c r="B102" s="35" t="n"/>
      <c r="C102" s="34" t="n"/>
      <c r="D102" s="31" t="n"/>
      <c r="E102" s="24" t="n"/>
      <c r="F102" s="24" t="n"/>
      <c r="G102" s="24" t="n"/>
      <c r="H102" s="24" t="n"/>
      <c r="I102" s="24" t="n"/>
      <c r="J102" s="34" t="n"/>
      <c r="K102" s="24" t="n"/>
      <c r="L102" s="24" t="n"/>
      <c r="M102" s="24" t="n"/>
      <c r="N102" s="24" t="n"/>
      <c r="O102" s="34" t="n"/>
      <c r="P102" s="24" t="n"/>
      <c r="Q102" s="24" t="n"/>
      <c r="R102" s="24" t="n"/>
    </row>
    <row r="103" ht="15" customHeight="1" s="21">
      <c r="A103" s="34" t="n"/>
      <c r="B103" s="35" t="n"/>
      <c r="C103" s="34" t="n"/>
      <c r="D103" s="31" t="n"/>
      <c r="E103" s="24" t="n"/>
      <c r="F103" s="24" t="n"/>
      <c r="G103" s="24" t="n"/>
      <c r="H103" s="24" t="n"/>
      <c r="I103" s="24" t="n"/>
      <c r="J103" s="34" t="n"/>
      <c r="K103" s="24" t="n"/>
      <c r="L103" s="24" t="n"/>
      <c r="M103" s="24" t="n"/>
      <c r="N103" s="24" t="n"/>
      <c r="O103" s="34" t="n"/>
      <c r="P103" s="24" t="n"/>
      <c r="Q103" s="24" t="n"/>
      <c r="R103" s="24" t="n"/>
    </row>
    <row r="104" ht="15" customHeight="1" s="21">
      <c r="A104" s="34" t="n"/>
      <c r="B104" s="35" t="n"/>
      <c r="C104" s="34" t="n"/>
      <c r="D104" s="31" t="n"/>
      <c r="E104" s="24" t="n"/>
      <c r="F104" s="24" t="n"/>
      <c r="G104" s="24" t="n"/>
      <c r="H104" s="24" t="n"/>
      <c r="I104" s="24" t="n"/>
      <c r="J104" s="34" t="n"/>
      <c r="K104" s="24" t="n"/>
      <c r="L104" s="24" t="n"/>
      <c r="M104" s="24" t="n"/>
      <c r="N104" s="24" t="n"/>
      <c r="O104" s="34" t="n"/>
      <c r="P104" s="24" t="n"/>
      <c r="Q104" s="24" t="n"/>
      <c r="R104" s="24" t="n"/>
    </row>
    <row r="105" ht="15" customHeight="1" s="21">
      <c r="A105" s="34" t="n"/>
      <c r="B105" s="35" t="n"/>
      <c r="C105" s="34" t="n"/>
      <c r="D105" s="31" t="n"/>
      <c r="E105" s="24" t="n"/>
      <c r="F105" s="24" t="n"/>
      <c r="G105" s="24" t="n"/>
      <c r="H105" s="24" t="n"/>
      <c r="I105" s="24" t="n"/>
      <c r="J105" s="34" t="n"/>
      <c r="K105" s="24" t="n"/>
      <c r="L105" s="24" t="n"/>
      <c r="M105" s="24" t="n"/>
      <c r="N105" s="24" t="n"/>
      <c r="O105" s="34" t="n"/>
      <c r="P105" s="24" t="n"/>
      <c r="Q105" s="24" t="n"/>
      <c r="R105" s="24" t="n"/>
    </row>
    <row r="106" ht="15" customHeight="1" s="21">
      <c r="A106" s="34" t="n"/>
      <c r="B106" s="35" t="n"/>
      <c r="C106" s="34" t="n"/>
      <c r="D106" s="31" t="n"/>
      <c r="E106" s="24" t="n"/>
      <c r="F106" s="24" t="n"/>
      <c r="G106" s="24" t="n"/>
      <c r="H106" s="24" t="n"/>
      <c r="I106" s="24" t="n"/>
      <c r="J106" s="34" t="n"/>
      <c r="K106" s="24" t="n"/>
      <c r="L106" s="24" t="n"/>
      <c r="M106" s="24" t="n"/>
      <c r="N106" s="24" t="n"/>
      <c r="O106" s="34" t="n"/>
      <c r="P106" s="24" t="n"/>
      <c r="Q106" s="24" t="n"/>
      <c r="R106" s="24" t="n"/>
    </row>
    <row r="107" ht="15" customHeight="1" s="21">
      <c r="A107" s="34" t="n"/>
      <c r="B107" s="35" t="n"/>
      <c r="C107" s="34" t="n"/>
      <c r="D107" s="31" t="n"/>
      <c r="E107" s="24" t="n"/>
      <c r="F107" s="24" t="n"/>
      <c r="G107" s="24" t="n"/>
      <c r="H107" s="24" t="n"/>
      <c r="I107" s="24" t="n"/>
      <c r="J107" s="34" t="n"/>
      <c r="K107" s="24" t="n"/>
      <c r="L107" s="24" t="n"/>
      <c r="M107" s="24" t="n"/>
      <c r="N107" s="24" t="n"/>
      <c r="O107" s="34" t="n"/>
      <c r="P107" s="24" t="n"/>
      <c r="Q107" s="24" t="n"/>
      <c r="R107" s="24" t="n"/>
    </row>
    <row r="108" ht="15" customHeight="1" s="21">
      <c r="A108" s="34" t="n"/>
      <c r="B108" s="35" t="n"/>
      <c r="C108" s="34" t="n"/>
      <c r="D108" s="31" t="n"/>
      <c r="E108" s="24" t="n"/>
      <c r="F108" s="24" t="n"/>
      <c r="G108" s="24" t="n"/>
      <c r="H108" s="24" t="n"/>
      <c r="I108" s="24" t="n"/>
      <c r="J108" s="34" t="n"/>
      <c r="K108" s="24" t="n"/>
      <c r="L108" s="24" t="n"/>
      <c r="M108" s="24" t="n"/>
      <c r="N108" s="24" t="n"/>
      <c r="O108" s="34" t="n"/>
      <c r="P108" s="24" t="n"/>
      <c r="Q108" s="24" t="n"/>
      <c r="R108" s="24" t="n"/>
    </row>
    <row r="109" ht="15" customHeight="1" s="21">
      <c r="A109" s="34" t="n"/>
      <c r="B109" s="35" t="n"/>
      <c r="C109" s="34" t="n"/>
      <c r="D109" s="31" t="n"/>
      <c r="E109" s="24" t="n"/>
      <c r="F109" s="24" t="n"/>
      <c r="G109" s="24" t="n"/>
      <c r="H109" s="24" t="n"/>
      <c r="I109" s="24" t="n"/>
      <c r="J109" s="34" t="n"/>
      <c r="K109" s="24" t="n"/>
      <c r="L109" s="24" t="n"/>
      <c r="M109" s="24" t="n"/>
      <c r="N109" s="24" t="n"/>
      <c r="O109" s="34" t="n"/>
      <c r="P109" s="24" t="n"/>
      <c r="Q109" s="24" t="n"/>
      <c r="R109" s="24" t="n"/>
    </row>
    <row r="110" ht="15" customHeight="1" s="21">
      <c r="A110" s="34" t="n"/>
      <c r="B110" s="35" t="n"/>
      <c r="C110" s="34" t="n"/>
      <c r="D110" s="31" t="n"/>
      <c r="E110" s="24" t="n"/>
      <c r="F110" s="24" t="n"/>
      <c r="G110" s="24" t="n"/>
      <c r="H110" s="24" t="n"/>
      <c r="I110" s="24" t="n"/>
      <c r="J110" s="34" t="n"/>
      <c r="K110" s="24" t="n"/>
      <c r="L110" s="24" t="n"/>
      <c r="M110" s="24" t="n"/>
      <c r="N110" s="24" t="n"/>
      <c r="O110" s="34" t="n"/>
      <c r="P110" s="24" t="n"/>
      <c r="Q110" s="24" t="n"/>
      <c r="R110" s="24" t="n"/>
    </row>
    <row r="111" ht="15" customHeight="1" s="21">
      <c r="A111" s="34" t="n"/>
      <c r="B111" s="35" t="n"/>
      <c r="C111" s="34" t="n"/>
      <c r="D111" s="31" t="n"/>
      <c r="E111" s="24" t="n"/>
      <c r="F111" s="24" t="n"/>
      <c r="G111" s="24" t="n"/>
      <c r="H111" s="24" t="n"/>
      <c r="I111" s="24" t="n"/>
      <c r="J111" s="34" t="n"/>
      <c r="K111" s="24" t="n"/>
      <c r="L111" s="24" t="n"/>
      <c r="M111" s="24" t="n"/>
      <c r="N111" s="24" t="n"/>
      <c r="O111" s="34" t="n"/>
      <c r="P111" s="24" t="n"/>
      <c r="Q111" s="24" t="n"/>
      <c r="R111" s="24" t="n"/>
    </row>
    <row r="112" ht="15" customHeight="1" s="21">
      <c r="A112" s="34" t="n"/>
      <c r="B112" s="35" t="n"/>
      <c r="C112" s="34" t="n"/>
      <c r="D112" s="31" t="n"/>
      <c r="E112" s="24" t="n"/>
      <c r="F112" s="24" t="n"/>
      <c r="G112" s="24" t="n"/>
      <c r="H112" s="24" t="n"/>
      <c r="I112" s="24" t="n"/>
      <c r="J112" s="34" t="n"/>
      <c r="K112" s="24" t="n"/>
      <c r="L112" s="24" t="n"/>
      <c r="M112" s="24" t="n"/>
      <c r="N112" s="24" t="n"/>
      <c r="O112" s="34" t="n"/>
      <c r="P112" s="24" t="n"/>
      <c r="Q112" s="24" t="n"/>
      <c r="R112" s="24" t="n"/>
    </row>
    <row r="113" ht="15" customHeight="1" s="21">
      <c r="A113" s="34" t="n"/>
      <c r="B113" s="35" t="n"/>
      <c r="C113" s="34" t="n"/>
      <c r="D113" s="31" t="n"/>
      <c r="E113" s="24" t="n"/>
      <c r="F113" s="24" t="n"/>
      <c r="G113" s="24" t="n"/>
      <c r="H113" s="24" t="n"/>
      <c r="I113" s="24" t="n"/>
      <c r="J113" s="34" t="n"/>
      <c r="K113" s="24" t="n"/>
      <c r="L113" s="24" t="n"/>
      <c r="M113" s="24" t="n"/>
      <c r="N113" s="24" t="n"/>
      <c r="O113" s="34" t="n"/>
      <c r="P113" s="24" t="n"/>
      <c r="Q113" s="24" t="n"/>
      <c r="R113" s="24" t="n"/>
    </row>
    <row r="114" ht="15" customHeight="1" s="21">
      <c r="A114" s="34" t="n"/>
      <c r="B114" s="35" t="n"/>
      <c r="C114" s="34" t="n"/>
      <c r="D114" s="31" t="n"/>
      <c r="E114" s="24" t="n"/>
      <c r="F114" s="24" t="n"/>
      <c r="G114" s="24" t="n"/>
      <c r="H114" s="24" t="n"/>
      <c r="I114" s="24" t="n"/>
      <c r="J114" s="34" t="n"/>
      <c r="K114" s="24" t="n"/>
      <c r="L114" s="24" t="n"/>
      <c r="M114" s="24" t="n"/>
      <c r="N114" s="24" t="n"/>
      <c r="O114" s="34" t="n"/>
      <c r="P114" s="24" t="n"/>
      <c r="Q114" s="24" t="n"/>
      <c r="R114" s="24" t="n"/>
    </row>
    <row r="115" ht="15" customHeight="1" s="21">
      <c r="A115" s="34" t="n"/>
      <c r="B115" s="35" t="n"/>
      <c r="C115" s="34" t="n"/>
      <c r="D115" s="31" t="n"/>
      <c r="E115" s="24" t="n"/>
      <c r="F115" s="24" t="n"/>
      <c r="G115" s="24" t="n"/>
      <c r="H115" s="24" t="n"/>
      <c r="I115" s="24" t="n"/>
      <c r="J115" s="34" t="n"/>
      <c r="K115" s="24" t="n"/>
      <c r="L115" s="24" t="n"/>
      <c r="M115" s="24" t="n"/>
      <c r="N115" s="24" t="n"/>
      <c r="O115" s="34" t="n"/>
      <c r="P115" s="24" t="n"/>
      <c r="Q115" s="24" t="n"/>
      <c r="R115" s="24" t="n"/>
    </row>
    <row r="116" ht="15" customHeight="1" s="21">
      <c r="A116" s="34" t="n"/>
      <c r="B116" s="35" t="n"/>
      <c r="C116" s="34" t="n"/>
      <c r="D116" s="31" t="n"/>
      <c r="E116" s="24" t="n"/>
      <c r="F116" s="24" t="n"/>
      <c r="G116" s="24" t="n"/>
      <c r="H116" s="24" t="n"/>
      <c r="I116" s="24" t="n"/>
      <c r="J116" s="34" t="n"/>
      <c r="K116" s="24" t="n"/>
      <c r="L116" s="24" t="n"/>
      <c r="M116" s="24" t="n"/>
      <c r="N116" s="24" t="n"/>
      <c r="O116" s="34" t="n"/>
      <c r="P116" s="24" t="n"/>
      <c r="Q116" s="24" t="n"/>
      <c r="R116" s="24" t="n"/>
    </row>
    <row r="117" ht="15" customHeight="1" s="21">
      <c r="A117" s="34" t="n"/>
      <c r="B117" s="35" t="n"/>
      <c r="C117" s="34" t="n"/>
      <c r="D117" s="31" t="n"/>
      <c r="E117" s="24" t="n"/>
      <c r="F117" s="24" t="n"/>
      <c r="G117" s="24" t="n"/>
      <c r="H117" s="24" t="n"/>
      <c r="I117" s="24" t="n"/>
      <c r="J117" s="34" t="n"/>
      <c r="K117" s="24" t="n"/>
      <c r="L117" s="24" t="n"/>
      <c r="M117" s="24" t="n"/>
      <c r="N117" s="24" t="n"/>
      <c r="O117" s="34" t="n"/>
      <c r="P117" s="24" t="n"/>
      <c r="Q117" s="24" t="n"/>
      <c r="R117" s="24" t="n"/>
    </row>
    <row r="118" ht="15" customHeight="1" s="21">
      <c r="A118" s="34" t="n"/>
      <c r="B118" s="35" t="n"/>
      <c r="C118" s="34" t="n"/>
      <c r="D118" s="31" t="n"/>
      <c r="E118" s="24" t="n"/>
      <c r="F118" s="24" t="n"/>
      <c r="G118" s="24" t="n"/>
      <c r="H118" s="24" t="n"/>
      <c r="I118" s="24" t="n"/>
      <c r="J118" s="34" t="n"/>
      <c r="K118" s="24" t="n"/>
      <c r="L118" s="24" t="n"/>
      <c r="M118" s="24" t="n"/>
      <c r="N118" s="24" t="n"/>
      <c r="O118" s="34" t="n"/>
      <c r="P118" s="24" t="n"/>
      <c r="Q118" s="24" t="n"/>
      <c r="R118" s="24" t="n"/>
    </row>
    <row r="119" ht="15" customHeight="1" s="21">
      <c r="A119" s="34" t="n"/>
      <c r="B119" s="35" t="n"/>
      <c r="C119" s="34" t="n"/>
      <c r="D119" s="31" t="n"/>
      <c r="E119" s="24" t="n"/>
      <c r="F119" s="24" t="n"/>
      <c r="G119" s="24" t="n"/>
      <c r="H119" s="24" t="n"/>
      <c r="I119" s="24" t="n"/>
      <c r="J119" s="34" t="n"/>
      <c r="K119" s="24" t="n"/>
      <c r="L119" s="24" t="n"/>
      <c r="M119" s="24" t="n"/>
      <c r="N119" s="24" t="n"/>
      <c r="O119" s="34" t="n"/>
      <c r="P119" s="24" t="n"/>
      <c r="Q119" s="24" t="n"/>
      <c r="R119" s="24" t="n"/>
    </row>
    <row r="120" ht="15" customHeight="1" s="21">
      <c r="A120" s="34" t="n"/>
      <c r="B120" s="35" t="n"/>
      <c r="C120" s="34" t="n"/>
      <c r="D120" s="31" t="n"/>
      <c r="E120" s="24" t="n"/>
      <c r="F120" s="24" t="n"/>
      <c r="G120" s="24" t="n"/>
      <c r="H120" s="24" t="n"/>
      <c r="I120" s="24" t="n"/>
      <c r="J120" s="34" t="n"/>
      <c r="K120" s="24" t="n"/>
      <c r="L120" s="24" t="n"/>
      <c r="M120" s="24" t="n"/>
      <c r="N120" s="24" t="n"/>
      <c r="O120" s="34" t="n"/>
      <c r="P120" s="24" t="n"/>
      <c r="Q120" s="24" t="n"/>
      <c r="R120" s="24" t="n"/>
    </row>
    <row r="121" ht="15" customHeight="1" s="21">
      <c r="A121" s="34" t="n"/>
      <c r="B121" s="35" t="n"/>
      <c r="C121" s="34" t="n"/>
      <c r="D121" s="31" t="n"/>
      <c r="E121" s="24" t="n"/>
      <c r="F121" s="24" t="n"/>
      <c r="G121" s="24" t="n"/>
      <c r="H121" s="24" t="n"/>
      <c r="I121" s="24" t="n"/>
      <c r="J121" s="34" t="n"/>
      <c r="K121" s="24" t="n"/>
      <c r="L121" s="24" t="n"/>
      <c r="M121" s="24" t="n"/>
      <c r="N121" s="24" t="n"/>
      <c r="O121" s="34" t="n"/>
      <c r="P121" s="24" t="n"/>
      <c r="Q121" s="24" t="n"/>
      <c r="R121" s="24" t="n"/>
    </row>
    <row r="122" ht="15" customHeight="1" s="21">
      <c r="A122" s="34" t="n"/>
      <c r="B122" s="35" t="n"/>
      <c r="C122" s="34" t="n"/>
      <c r="D122" s="31" t="n"/>
      <c r="E122" s="24" t="n"/>
      <c r="F122" s="24" t="n"/>
      <c r="G122" s="24" t="n"/>
      <c r="H122" s="24" t="n"/>
      <c r="I122" s="24" t="n"/>
      <c r="J122" s="34" t="n"/>
      <c r="K122" s="24" t="n"/>
      <c r="L122" s="24" t="n"/>
      <c r="M122" s="24" t="n"/>
      <c r="N122" s="24" t="n"/>
      <c r="O122" s="34" t="n"/>
      <c r="P122" s="24" t="n"/>
      <c r="Q122" s="24" t="n"/>
      <c r="R122" s="24" t="n"/>
    </row>
    <row r="123" ht="15" customHeight="1" s="21">
      <c r="A123" s="34" t="n"/>
      <c r="B123" s="35" t="n"/>
      <c r="C123" s="34" t="n"/>
      <c r="D123" s="31" t="n"/>
      <c r="E123" s="24" t="n"/>
      <c r="F123" s="24" t="n"/>
      <c r="G123" s="24" t="n"/>
      <c r="H123" s="24" t="n"/>
      <c r="I123" s="24" t="n"/>
      <c r="J123" s="34" t="n"/>
      <c r="K123" s="24" t="n"/>
      <c r="L123" s="24" t="n"/>
      <c r="M123" s="24" t="n"/>
      <c r="N123" s="24" t="n"/>
      <c r="O123" s="34" t="n"/>
      <c r="P123" s="24" t="n"/>
      <c r="Q123" s="24" t="n"/>
      <c r="R123" s="24" t="n"/>
    </row>
    <row r="124" ht="15" customHeight="1" s="21">
      <c r="A124" s="34" t="n"/>
      <c r="B124" s="35" t="n"/>
      <c r="C124" s="34" t="n"/>
      <c r="D124" s="31" t="n"/>
      <c r="E124" s="24" t="n"/>
      <c r="F124" s="24" t="n"/>
      <c r="G124" s="24" t="n"/>
      <c r="H124" s="24" t="n"/>
      <c r="I124" s="24" t="n"/>
      <c r="J124" s="34" t="n"/>
      <c r="K124" s="24" t="n"/>
      <c r="L124" s="24" t="n"/>
      <c r="M124" s="24" t="n"/>
      <c r="N124" s="24" t="n"/>
      <c r="O124" s="34" t="n"/>
      <c r="P124" s="24" t="n"/>
      <c r="Q124" s="24" t="n"/>
      <c r="R124" s="24" t="n"/>
    </row>
    <row r="125" ht="15" customHeight="1" s="21">
      <c r="A125" s="34" t="n"/>
      <c r="B125" s="35" t="n"/>
      <c r="C125" s="34" t="n"/>
      <c r="D125" s="31" t="n"/>
      <c r="E125" s="24" t="n"/>
      <c r="F125" s="24" t="n"/>
      <c r="G125" s="24" t="n"/>
      <c r="H125" s="24" t="n"/>
      <c r="I125" s="24" t="n"/>
      <c r="J125" s="34" t="n"/>
      <c r="K125" s="24" t="n"/>
      <c r="L125" s="24" t="n"/>
      <c r="M125" s="24" t="n"/>
      <c r="N125" s="24" t="n"/>
      <c r="O125" s="34" t="n"/>
      <c r="P125" s="24" t="n"/>
      <c r="Q125" s="24" t="n"/>
      <c r="R125" s="24" t="n"/>
    </row>
    <row r="126" ht="15" customHeight="1" s="21">
      <c r="A126" s="34" t="n"/>
      <c r="B126" s="35" t="n"/>
      <c r="C126" s="34" t="n"/>
      <c r="D126" s="31" t="n"/>
      <c r="E126" s="24" t="n"/>
      <c r="F126" s="24" t="n"/>
      <c r="G126" s="24" t="n"/>
      <c r="H126" s="24" t="n"/>
      <c r="I126" s="24" t="n"/>
      <c r="J126" s="34" t="n"/>
      <c r="K126" s="24" t="n"/>
      <c r="L126" s="24" t="n"/>
      <c r="M126" s="24" t="n"/>
      <c r="N126" s="24" t="n"/>
      <c r="O126" s="34" t="n"/>
      <c r="P126" s="24" t="n"/>
      <c r="Q126" s="24" t="n"/>
      <c r="R126" s="24" t="n"/>
    </row>
    <row r="127" ht="15" customHeight="1" s="21">
      <c r="A127" s="34" t="n"/>
      <c r="B127" s="35" t="n"/>
      <c r="C127" s="34" t="n"/>
      <c r="D127" s="31" t="n"/>
      <c r="E127" s="24" t="n"/>
      <c r="F127" s="24" t="n"/>
      <c r="G127" s="24" t="n"/>
      <c r="H127" s="24" t="n"/>
      <c r="I127" s="24" t="n"/>
      <c r="J127" s="34" t="n"/>
      <c r="K127" s="24" t="n"/>
      <c r="L127" s="24" t="n"/>
      <c r="M127" s="24" t="n"/>
      <c r="N127" s="24" t="n"/>
      <c r="O127" s="34" t="n"/>
      <c r="P127" s="24" t="n"/>
      <c r="Q127" s="24" t="n"/>
      <c r="R127" s="24" t="n"/>
    </row>
    <row r="128" ht="15" customHeight="1" s="21">
      <c r="A128" s="34" t="n"/>
      <c r="B128" s="35" t="n"/>
      <c r="C128" s="34" t="n"/>
      <c r="D128" s="31" t="n"/>
      <c r="E128" s="24" t="n"/>
      <c r="F128" s="24" t="n"/>
      <c r="G128" s="24" t="n"/>
      <c r="H128" s="24" t="n"/>
      <c r="I128" s="24" t="n"/>
      <c r="J128" s="34" t="n"/>
      <c r="K128" s="24" t="n"/>
      <c r="L128" s="24" t="n"/>
      <c r="M128" s="24" t="n"/>
      <c r="N128" s="24" t="n"/>
      <c r="O128" s="34" t="n"/>
      <c r="P128" s="24" t="n"/>
      <c r="Q128" s="24" t="n"/>
      <c r="R128" s="24" t="n"/>
    </row>
    <row r="129" ht="15" customHeight="1" s="21">
      <c r="A129" s="34" t="n"/>
      <c r="B129" s="35" t="n"/>
      <c r="C129" s="34" t="n"/>
      <c r="D129" s="31" t="n"/>
      <c r="E129" s="24" t="n"/>
      <c r="F129" s="24" t="n"/>
      <c r="G129" s="24" t="n"/>
      <c r="H129" s="24" t="n"/>
      <c r="I129" s="24" t="n"/>
      <c r="J129" s="34" t="n"/>
      <c r="K129" s="24" t="n"/>
      <c r="L129" s="24" t="n"/>
      <c r="M129" s="24" t="n"/>
      <c r="N129" s="24" t="n"/>
      <c r="O129" s="34" t="n"/>
      <c r="P129" s="24" t="n"/>
      <c r="Q129" s="24" t="n"/>
      <c r="R129" s="24" t="n"/>
    </row>
    <row r="130" ht="15" customHeight="1" s="21">
      <c r="A130" s="34" t="n"/>
      <c r="B130" s="35" t="n"/>
      <c r="C130" s="34" t="n"/>
      <c r="D130" s="31" t="n"/>
      <c r="E130" s="24" t="n"/>
      <c r="F130" s="24" t="n"/>
      <c r="G130" s="24" t="n"/>
      <c r="H130" s="24" t="n"/>
      <c r="I130" s="24" t="n"/>
      <c r="J130" s="34" t="n"/>
      <c r="K130" s="24" t="n"/>
      <c r="L130" s="24" t="n"/>
      <c r="M130" s="24" t="n"/>
      <c r="N130" s="24" t="n"/>
      <c r="O130" s="34" t="n"/>
      <c r="P130" s="24" t="n"/>
      <c r="Q130" s="24" t="n"/>
      <c r="R130" s="24" t="n"/>
    </row>
    <row r="131" ht="15" customHeight="1" s="21">
      <c r="A131" s="34" t="n"/>
      <c r="B131" s="35" t="n"/>
      <c r="C131" s="34" t="n"/>
      <c r="D131" s="31" t="n"/>
      <c r="E131" s="24" t="n"/>
      <c r="F131" s="24" t="n"/>
      <c r="G131" s="24" t="n"/>
      <c r="H131" s="24" t="n"/>
      <c r="I131" s="24" t="n"/>
      <c r="J131" s="34" t="n"/>
      <c r="K131" s="24" t="n"/>
      <c r="L131" s="24" t="n"/>
      <c r="M131" s="24" t="n"/>
      <c r="N131" s="24" t="n"/>
      <c r="O131" s="34" t="n"/>
      <c r="P131" s="24" t="n"/>
      <c r="Q131" s="24" t="n"/>
      <c r="R131" s="24" t="n"/>
    </row>
    <row r="132" ht="15" customHeight="1" s="21">
      <c r="A132" s="34" t="n"/>
      <c r="B132" s="35" t="n"/>
      <c r="C132" s="34" t="n"/>
      <c r="D132" s="31" t="n"/>
      <c r="E132" s="24" t="n"/>
      <c r="F132" s="24" t="n"/>
      <c r="G132" s="24" t="n"/>
      <c r="H132" s="24" t="n"/>
      <c r="I132" s="24" t="n"/>
      <c r="J132" s="34" t="n"/>
      <c r="K132" s="24" t="n"/>
      <c r="L132" s="24" t="n"/>
      <c r="M132" s="24" t="n"/>
      <c r="N132" s="24" t="n"/>
      <c r="O132" s="34" t="n"/>
      <c r="P132" s="24" t="n"/>
      <c r="Q132" s="24" t="n"/>
      <c r="R132" s="24" t="n"/>
    </row>
    <row r="133" ht="15" customHeight="1" s="21">
      <c r="A133" s="34" t="n"/>
      <c r="B133" s="35" t="n"/>
      <c r="C133" s="34" t="n"/>
      <c r="D133" s="31" t="n"/>
      <c r="E133" s="24" t="n"/>
      <c r="F133" s="24" t="n"/>
      <c r="G133" s="24" t="n"/>
      <c r="H133" s="24" t="n"/>
      <c r="I133" s="24" t="n"/>
      <c r="J133" s="34" t="n"/>
      <c r="K133" s="24" t="n"/>
      <c r="L133" s="24" t="n"/>
      <c r="M133" s="24" t="n"/>
      <c r="N133" s="24" t="n"/>
      <c r="O133" s="34" t="n"/>
      <c r="P133" s="24" t="n"/>
      <c r="Q133" s="24" t="n"/>
      <c r="R133" s="24" t="n"/>
    </row>
    <row r="134" ht="15" customHeight="1" s="21">
      <c r="A134" s="34" t="n"/>
      <c r="B134" s="35" t="n"/>
      <c r="C134" s="34" t="n"/>
      <c r="D134" s="31" t="n"/>
      <c r="E134" s="24" t="n"/>
      <c r="F134" s="24" t="n"/>
      <c r="G134" s="24" t="n"/>
      <c r="H134" s="24" t="n"/>
      <c r="I134" s="24" t="n"/>
      <c r="J134" s="34" t="n"/>
      <c r="K134" s="24" t="n"/>
      <c r="L134" s="24" t="n"/>
      <c r="M134" s="24" t="n"/>
      <c r="N134" s="24" t="n"/>
      <c r="O134" s="34" t="n"/>
      <c r="P134" s="24" t="n"/>
      <c r="Q134" s="24" t="n"/>
      <c r="R134" s="24" t="n"/>
    </row>
    <row r="135" ht="15" customHeight="1" s="21">
      <c r="A135" s="34" t="n"/>
      <c r="B135" s="35" t="n"/>
      <c r="C135" s="34" t="n"/>
      <c r="D135" s="31" t="n"/>
      <c r="E135" s="24" t="n"/>
      <c r="F135" s="24" t="n"/>
      <c r="G135" s="24" t="n"/>
      <c r="H135" s="24" t="n"/>
      <c r="I135" s="24" t="n"/>
      <c r="J135" s="34" t="n"/>
      <c r="K135" s="24" t="n"/>
      <c r="L135" s="24" t="n"/>
      <c r="M135" s="24" t="n"/>
      <c r="N135" s="24" t="n"/>
      <c r="O135" s="34" t="n"/>
      <c r="P135" s="24" t="n"/>
      <c r="Q135" s="24" t="n"/>
      <c r="R135" s="24" t="n"/>
    </row>
    <row r="136" ht="15" customHeight="1" s="21">
      <c r="A136" s="34" t="n"/>
      <c r="B136" s="35" t="n"/>
      <c r="C136" s="34" t="n"/>
      <c r="D136" s="31" t="n"/>
      <c r="E136" s="24" t="n"/>
      <c r="F136" s="24" t="n"/>
      <c r="G136" s="24" t="n"/>
      <c r="H136" s="24" t="n"/>
      <c r="I136" s="24" t="n"/>
      <c r="J136" s="34" t="n"/>
      <c r="K136" s="24" t="n"/>
      <c r="L136" s="24" t="n"/>
      <c r="M136" s="24" t="n"/>
      <c r="N136" s="24" t="n"/>
      <c r="O136" s="34" t="n"/>
      <c r="P136" s="24" t="n"/>
      <c r="Q136" s="24" t="n"/>
      <c r="R136" s="24" t="n"/>
    </row>
    <row r="137" ht="15" customHeight="1" s="21">
      <c r="A137" s="34" t="n"/>
      <c r="B137" s="35" t="n"/>
      <c r="C137" s="34" t="n"/>
      <c r="D137" s="31" t="n"/>
      <c r="E137" s="24" t="n"/>
      <c r="F137" s="24" t="n"/>
      <c r="G137" s="24" t="n"/>
      <c r="H137" s="24" t="n"/>
      <c r="I137" s="24" t="n"/>
      <c r="J137" s="34" t="n"/>
      <c r="K137" s="24" t="n"/>
      <c r="L137" s="24" t="n"/>
      <c r="M137" s="24" t="n"/>
      <c r="N137" s="24" t="n"/>
      <c r="O137" s="34" t="n"/>
      <c r="P137" s="24" t="n"/>
      <c r="Q137" s="24" t="n"/>
      <c r="R137" s="24" t="n"/>
    </row>
    <row r="138" ht="15" customHeight="1" s="21">
      <c r="A138" s="34" t="n"/>
      <c r="B138" s="35" t="n"/>
      <c r="C138" s="34" t="n"/>
      <c r="D138" s="31" t="n"/>
      <c r="E138" s="24" t="n"/>
      <c r="F138" s="24" t="n"/>
      <c r="G138" s="24" t="n"/>
      <c r="H138" s="24" t="n"/>
      <c r="I138" s="24" t="n"/>
      <c r="J138" s="34" t="n"/>
      <c r="K138" s="24" t="n"/>
      <c r="L138" s="24" t="n"/>
      <c r="M138" s="24" t="n"/>
      <c r="N138" s="24" t="n"/>
      <c r="O138" s="34" t="n"/>
      <c r="P138" s="24" t="n"/>
      <c r="Q138" s="24" t="n"/>
      <c r="R138" s="24" t="n"/>
    </row>
    <row r="139" ht="15" customHeight="1" s="21">
      <c r="A139" s="34" t="n"/>
      <c r="B139" s="35" t="n"/>
      <c r="C139" s="34" t="n"/>
      <c r="D139" s="31" t="n"/>
      <c r="E139" s="24" t="n"/>
      <c r="F139" s="24" t="n"/>
      <c r="G139" s="24" t="n"/>
      <c r="H139" s="24" t="n"/>
      <c r="I139" s="24" t="n"/>
      <c r="J139" s="34" t="n"/>
      <c r="K139" s="24" t="n"/>
      <c r="L139" s="24" t="n"/>
      <c r="M139" s="24" t="n"/>
      <c r="N139" s="24" t="n"/>
      <c r="O139" s="34" t="n"/>
      <c r="P139" s="24" t="n"/>
      <c r="Q139" s="24" t="n"/>
      <c r="R139" s="24" t="n"/>
    </row>
    <row r="140" ht="15" customHeight="1" s="21">
      <c r="A140" s="34" t="n"/>
      <c r="B140" s="35" t="n"/>
      <c r="C140" s="34" t="n"/>
      <c r="D140" s="31" t="n"/>
      <c r="E140" s="24" t="n"/>
      <c r="F140" s="24" t="n"/>
      <c r="G140" s="24" t="n"/>
      <c r="H140" s="24" t="n"/>
      <c r="I140" s="24" t="n"/>
      <c r="J140" s="34" t="n"/>
      <c r="K140" s="24" t="n"/>
      <c r="L140" s="24" t="n"/>
      <c r="M140" s="24" t="n"/>
      <c r="N140" s="24" t="n"/>
      <c r="O140" s="34" t="n"/>
      <c r="P140" s="24" t="n"/>
      <c r="Q140" s="24" t="n"/>
      <c r="R140" s="24" t="n"/>
    </row>
    <row r="141" ht="15" customHeight="1" s="21">
      <c r="A141" s="34" t="n"/>
      <c r="B141" s="35" t="n"/>
      <c r="C141" s="34" t="n"/>
      <c r="D141" s="31" t="n"/>
      <c r="E141" s="24" t="n"/>
      <c r="F141" s="24" t="n"/>
      <c r="G141" s="24" t="n"/>
      <c r="H141" s="24" t="n"/>
      <c r="I141" s="24" t="n"/>
      <c r="J141" s="34" t="n"/>
      <c r="K141" s="24" t="n"/>
      <c r="L141" s="24" t="n"/>
      <c r="M141" s="24" t="n"/>
      <c r="N141" s="24" t="n"/>
      <c r="O141" s="34" t="n"/>
      <c r="P141" s="24" t="n"/>
      <c r="Q141" s="24" t="n"/>
      <c r="R141" s="24" t="n"/>
    </row>
    <row r="142" ht="15" customHeight="1" s="21">
      <c r="A142" s="34" t="n"/>
      <c r="B142" s="35" t="n"/>
      <c r="C142" s="34" t="n"/>
      <c r="D142" s="31" t="n"/>
      <c r="E142" s="24" t="n"/>
      <c r="F142" s="24" t="n"/>
      <c r="G142" s="24" t="n"/>
      <c r="H142" s="24" t="n"/>
      <c r="I142" s="24" t="n"/>
      <c r="J142" s="34" t="n"/>
      <c r="K142" s="24" t="n"/>
      <c r="L142" s="24" t="n"/>
      <c r="M142" s="24" t="n"/>
      <c r="N142" s="24" t="n"/>
      <c r="O142" s="34" t="n"/>
      <c r="P142" s="24" t="n"/>
      <c r="Q142" s="24" t="n"/>
      <c r="R142" s="24" t="n"/>
    </row>
    <row r="143" ht="15" customHeight="1" s="21">
      <c r="A143" s="34" t="n"/>
      <c r="B143" s="35" t="n"/>
      <c r="C143" s="34" t="n"/>
      <c r="D143" s="31" t="n"/>
      <c r="E143" s="24" t="n"/>
      <c r="F143" s="24" t="n"/>
      <c r="G143" s="24" t="n"/>
      <c r="H143" s="24" t="n"/>
      <c r="I143" s="24" t="n"/>
      <c r="J143" s="34" t="n"/>
      <c r="K143" s="24" t="n"/>
      <c r="L143" s="24" t="n"/>
      <c r="M143" s="24" t="n"/>
      <c r="N143" s="24" t="n"/>
      <c r="O143" s="34" t="n"/>
      <c r="P143" s="24" t="n"/>
      <c r="Q143" s="24" t="n"/>
      <c r="R143" s="24" t="n"/>
    </row>
    <row r="144" ht="15" customHeight="1" s="21">
      <c r="A144" s="34" t="n"/>
      <c r="B144" s="35" t="n"/>
      <c r="C144" s="34" t="n"/>
      <c r="D144" s="31" t="n"/>
      <c r="E144" s="24" t="n"/>
      <c r="F144" s="24" t="n"/>
      <c r="G144" s="24" t="n"/>
      <c r="H144" s="24" t="n"/>
      <c r="I144" s="24" t="n"/>
      <c r="J144" s="34" t="n"/>
      <c r="K144" s="24" t="n"/>
      <c r="L144" s="24" t="n"/>
      <c r="M144" s="24" t="n"/>
      <c r="N144" s="24" t="n"/>
      <c r="O144" s="34" t="n"/>
      <c r="P144" s="24" t="n"/>
      <c r="Q144" s="24" t="n"/>
      <c r="R144" s="24" t="n"/>
    </row>
    <row r="145" ht="15" customHeight="1" s="21">
      <c r="A145" s="34" t="n"/>
      <c r="B145" s="35" t="n"/>
      <c r="C145" s="34" t="n"/>
      <c r="D145" s="31" t="n"/>
      <c r="E145" s="24" t="n"/>
      <c r="F145" s="24" t="n"/>
      <c r="G145" s="24" t="n"/>
      <c r="H145" s="24" t="n"/>
      <c r="I145" s="24" t="n"/>
      <c r="J145" s="34" t="n"/>
      <c r="K145" s="24" t="n"/>
      <c r="L145" s="24" t="n"/>
      <c r="M145" s="24" t="n"/>
      <c r="N145" s="24" t="n"/>
      <c r="O145" s="34" t="n"/>
      <c r="P145" s="24" t="n"/>
      <c r="Q145" s="24" t="n"/>
      <c r="R145" s="24" t="n"/>
    </row>
    <row r="146" ht="15" customHeight="1" s="21">
      <c r="A146" s="34" t="n"/>
      <c r="B146" s="35" t="n"/>
      <c r="C146" s="34" t="n"/>
      <c r="D146" s="31" t="n"/>
      <c r="E146" s="24" t="n"/>
      <c r="F146" s="24" t="n"/>
      <c r="G146" s="24" t="n"/>
      <c r="H146" s="24" t="n"/>
      <c r="I146" s="24" t="n"/>
      <c r="J146" s="34" t="n"/>
      <c r="K146" s="24" t="n"/>
      <c r="L146" s="24" t="n"/>
      <c r="M146" s="24" t="n"/>
      <c r="N146" s="24" t="n"/>
      <c r="O146" s="34" t="n"/>
      <c r="P146" s="24" t="n"/>
      <c r="Q146" s="24" t="n"/>
      <c r="R146" s="24" t="n"/>
    </row>
    <row r="147" ht="15" customHeight="1" s="21">
      <c r="A147" s="34" t="n"/>
      <c r="B147" s="35" t="n"/>
      <c r="C147" s="34" t="n"/>
      <c r="D147" s="31" t="n"/>
      <c r="E147" s="24" t="n"/>
      <c r="F147" s="24" t="n"/>
      <c r="G147" s="24" t="n"/>
      <c r="H147" s="24" t="n"/>
      <c r="I147" s="24" t="n"/>
      <c r="J147" s="34" t="n"/>
      <c r="K147" s="24" t="n"/>
      <c r="L147" s="24" t="n"/>
      <c r="M147" s="24" t="n"/>
      <c r="N147" s="24" t="n"/>
      <c r="O147" s="34" t="n"/>
      <c r="P147" s="24" t="n"/>
      <c r="Q147" s="24" t="n"/>
      <c r="R147" s="24" t="n"/>
    </row>
    <row r="148" ht="15" customHeight="1" s="21">
      <c r="A148" s="34" t="n"/>
      <c r="B148" s="35" t="n"/>
      <c r="C148" s="34" t="n"/>
      <c r="D148" s="31" t="n"/>
      <c r="E148" s="24" t="n"/>
      <c r="F148" s="24" t="n"/>
      <c r="G148" s="24" t="n"/>
      <c r="H148" s="24" t="n"/>
      <c r="I148" s="24" t="n"/>
      <c r="J148" s="34" t="n"/>
      <c r="K148" s="24" t="n"/>
      <c r="L148" s="24" t="n"/>
      <c r="M148" s="24" t="n"/>
      <c r="N148" s="24" t="n"/>
      <c r="O148" s="34" t="n"/>
      <c r="P148" s="24" t="n"/>
      <c r="Q148" s="24" t="n"/>
      <c r="R148" s="24" t="n"/>
    </row>
    <row r="149" ht="15" customHeight="1" s="21">
      <c r="A149" s="34" t="n"/>
      <c r="B149" s="35" t="n"/>
      <c r="C149" s="34" t="n"/>
      <c r="D149" s="31" t="n"/>
      <c r="E149" s="24" t="n"/>
      <c r="F149" s="24" t="n"/>
      <c r="G149" s="24" t="n"/>
      <c r="H149" s="24" t="n"/>
      <c r="I149" s="24" t="n"/>
      <c r="J149" s="34" t="n"/>
      <c r="K149" s="24" t="n"/>
      <c r="L149" s="24" t="n"/>
      <c r="M149" s="24" t="n"/>
      <c r="N149" s="24" t="n"/>
      <c r="O149" s="34" t="n"/>
      <c r="P149" s="24" t="n"/>
      <c r="Q149" s="24" t="n"/>
      <c r="R149" s="24" t="n"/>
    </row>
    <row r="150" ht="15" customHeight="1" s="21">
      <c r="A150" s="34" t="n"/>
      <c r="B150" s="35" t="n"/>
      <c r="C150" s="34" t="n"/>
      <c r="D150" s="31" t="n"/>
      <c r="E150" s="24" t="n"/>
      <c r="F150" s="24" t="n"/>
      <c r="G150" s="24" t="n"/>
      <c r="H150" s="24" t="n"/>
      <c r="I150" s="24" t="n"/>
      <c r="J150" s="34" t="n"/>
      <c r="K150" s="24" t="n"/>
      <c r="L150" s="24" t="n"/>
      <c r="M150" s="24" t="n"/>
      <c r="N150" s="24" t="n"/>
      <c r="O150" s="34" t="n"/>
      <c r="P150" s="24" t="n"/>
      <c r="Q150" s="24" t="n"/>
      <c r="R150" s="24" t="n"/>
    </row>
    <row r="151" ht="15" customHeight="1" s="21">
      <c r="A151" s="34" t="n"/>
      <c r="B151" s="35" t="n"/>
      <c r="C151" s="34" t="n"/>
      <c r="D151" s="31" t="n"/>
      <c r="E151" s="24" t="n"/>
      <c r="F151" s="24" t="n"/>
      <c r="G151" s="24" t="n"/>
      <c r="H151" s="24" t="n"/>
      <c r="I151" s="24" t="n"/>
      <c r="J151" s="34" t="n"/>
      <c r="K151" s="24" t="n"/>
      <c r="L151" s="24" t="n"/>
      <c r="M151" s="24" t="n"/>
      <c r="N151" s="24" t="n"/>
      <c r="O151" s="34" t="n"/>
      <c r="P151" s="24" t="n"/>
      <c r="Q151" s="24" t="n"/>
      <c r="R151" s="24" t="n"/>
    </row>
    <row r="152" ht="15" customHeight="1" s="21">
      <c r="A152" s="34" t="n"/>
      <c r="B152" s="35" t="n"/>
      <c r="C152" s="34" t="n"/>
      <c r="D152" s="31" t="n"/>
      <c r="E152" s="24" t="n"/>
      <c r="F152" s="24" t="n"/>
      <c r="G152" s="24" t="n"/>
      <c r="H152" s="24" t="n"/>
      <c r="I152" s="24" t="n"/>
      <c r="J152" s="34" t="n"/>
      <c r="K152" s="24" t="n"/>
      <c r="L152" s="24" t="n"/>
      <c r="M152" s="24" t="n"/>
      <c r="N152" s="24" t="n"/>
      <c r="O152" s="34" t="n"/>
      <c r="P152" s="24" t="n"/>
      <c r="Q152" s="24" t="n"/>
      <c r="R152" s="24" t="n"/>
    </row>
    <row r="153" ht="15" customHeight="1" s="21">
      <c r="A153" s="34" t="n"/>
      <c r="B153" s="35" t="n"/>
      <c r="C153" s="34" t="n"/>
      <c r="D153" s="31" t="n"/>
      <c r="E153" s="24" t="n"/>
      <c r="F153" s="24" t="n"/>
      <c r="G153" s="24" t="n"/>
      <c r="H153" s="24" t="n"/>
      <c r="I153" s="24" t="n"/>
      <c r="J153" s="34" t="n"/>
      <c r="K153" s="24" t="n"/>
      <c r="L153" s="24" t="n"/>
      <c r="M153" s="24" t="n"/>
      <c r="N153" s="24" t="n"/>
      <c r="O153" s="34" t="n"/>
      <c r="P153" s="24" t="n"/>
      <c r="Q153" s="24" t="n"/>
      <c r="R153" s="24" t="n"/>
    </row>
    <row r="154" ht="15" customHeight="1" s="21">
      <c r="A154" s="34" t="n"/>
      <c r="B154" s="35" t="n"/>
      <c r="C154" s="34" t="n"/>
      <c r="D154" s="31" t="n"/>
      <c r="E154" s="24" t="n"/>
      <c r="F154" s="24" t="n"/>
      <c r="G154" s="24" t="n"/>
      <c r="H154" s="24" t="n"/>
      <c r="I154" s="24" t="n"/>
      <c r="J154" s="34" t="n"/>
      <c r="K154" s="24" t="n"/>
      <c r="L154" s="24" t="n"/>
      <c r="M154" s="24" t="n"/>
      <c r="N154" s="24" t="n"/>
      <c r="O154" s="34" t="n"/>
      <c r="P154" s="24" t="n"/>
      <c r="Q154" s="24" t="n"/>
      <c r="R154" s="24" t="n"/>
    </row>
    <row r="155" ht="15" customHeight="1" s="21">
      <c r="A155" s="34" t="n"/>
      <c r="B155" s="35" t="n"/>
      <c r="C155" s="34" t="n"/>
      <c r="D155" s="31" t="n"/>
      <c r="E155" s="24" t="n"/>
      <c r="F155" s="24" t="n"/>
      <c r="G155" s="24" t="n"/>
      <c r="H155" s="24" t="n"/>
      <c r="I155" s="24" t="n"/>
      <c r="J155" s="34" t="n"/>
      <c r="K155" s="24" t="n"/>
      <c r="L155" s="24" t="n"/>
      <c r="M155" s="24" t="n"/>
      <c r="N155" s="24" t="n"/>
      <c r="O155" s="34" t="n"/>
      <c r="P155" s="24" t="n"/>
      <c r="Q155" s="24" t="n"/>
      <c r="R155" s="24" t="n"/>
    </row>
    <row r="156" ht="15" customHeight="1" s="21">
      <c r="A156" s="34" t="n"/>
      <c r="B156" s="35" t="n"/>
      <c r="C156" s="34" t="n"/>
      <c r="D156" s="31" t="n"/>
      <c r="E156" s="24" t="n"/>
      <c r="F156" s="24" t="n"/>
      <c r="G156" s="24" t="n"/>
      <c r="H156" s="24" t="n"/>
      <c r="I156" s="24" t="n"/>
      <c r="J156" s="34" t="n"/>
      <c r="K156" s="24" t="n"/>
      <c r="L156" s="24" t="n"/>
      <c r="M156" s="24" t="n"/>
      <c r="N156" s="24" t="n"/>
      <c r="O156" s="34" t="n"/>
      <c r="P156" s="24" t="n"/>
      <c r="Q156" s="24" t="n"/>
      <c r="R156" s="24" t="n"/>
    </row>
    <row r="157" ht="15" customHeight="1" s="21">
      <c r="A157" s="34" t="n"/>
      <c r="B157" s="35" t="n"/>
      <c r="C157" s="34" t="n"/>
      <c r="D157" s="31" t="n"/>
      <c r="E157" s="24" t="n"/>
      <c r="F157" s="24" t="n"/>
      <c r="G157" s="24" t="n"/>
      <c r="H157" s="24" t="n"/>
      <c r="I157" s="24" t="n"/>
      <c r="J157" s="34" t="n"/>
      <c r="K157" s="24" t="n"/>
      <c r="L157" s="24" t="n"/>
      <c r="M157" s="24" t="n"/>
      <c r="N157" s="24" t="n"/>
      <c r="O157" s="34" t="n"/>
      <c r="P157" s="24" t="n"/>
      <c r="Q157" s="24" t="n"/>
      <c r="R157" s="24" t="n"/>
    </row>
    <row r="158" ht="15" customHeight="1" s="21">
      <c r="A158" s="34" t="n"/>
      <c r="B158" s="35" t="n"/>
      <c r="C158" s="34" t="n"/>
      <c r="D158" s="31" t="n"/>
      <c r="E158" s="24" t="n"/>
      <c r="F158" s="24" t="n"/>
      <c r="G158" s="24" t="n"/>
      <c r="H158" s="24" t="n"/>
      <c r="I158" s="24" t="n"/>
      <c r="J158" s="34" t="n"/>
      <c r="K158" s="24" t="n"/>
      <c r="L158" s="24" t="n"/>
      <c r="M158" s="24" t="n"/>
      <c r="N158" s="24" t="n"/>
      <c r="O158" s="34" t="n"/>
      <c r="P158" s="24" t="n"/>
      <c r="Q158" s="24" t="n"/>
      <c r="R158" s="24" t="n"/>
    </row>
    <row r="159" ht="15" customHeight="1" s="21">
      <c r="A159" s="34" t="n"/>
      <c r="B159" s="35" t="n"/>
      <c r="C159" s="34" t="n"/>
      <c r="D159" s="31" t="n"/>
      <c r="E159" s="24" t="n"/>
      <c r="F159" s="24" t="n"/>
      <c r="G159" s="24" t="n"/>
      <c r="H159" s="24" t="n"/>
      <c r="I159" s="24" t="n"/>
      <c r="J159" s="34" t="n"/>
      <c r="K159" s="24" t="n"/>
      <c r="L159" s="24" t="n"/>
      <c r="M159" s="24" t="n"/>
      <c r="N159" s="24" t="n"/>
      <c r="O159" s="34" t="n"/>
      <c r="P159" s="24" t="n"/>
      <c r="Q159" s="24" t="n"/>
      <c r="R159" s="24" t="n"/>
    </row>
    <row r="160" ht="15" customHeight="1" s="21">
      <c r="A160" s="34" t="n"/>
      <c r="B160" s="35" t="n"/>
      <c r="C160" s="34" t="n"/>
      <c r="D160" s="31" t="n"/>
      <c r="E160" s="24" t="n"/>
      <c r="F160" s="24" t="n"/>
      <c r="G160" s="24" t="n"/>
      <c r="H160" s="24" t="n"/>
      <c r="I160" s="24" t="n"/>
      <c r="J160" s="34" t="n"/>
      <c r="K160" s="24" t="n"/>
      <c r="L160" s="24" t="n"/>
      <c r="M160" s="24" t="n"/>
      <c r="N160" s="24" t="n"/>
      <c r="O160" s="34" t="n"/>
      <c r="P160" s="24" t="n"/>
      <c r="Q160" s="24" t="n"/>
      <c r="R160" s="24" t="n"/>
    </row>
    <row r="161" ht="15" customHeight="1" s="21">
      <c r="A161" s="34" t="n"/>
      <c r="B161" s="35" t="n"/>
      <c r="C161" s="34" t="n"/>
      <c r="D161" s="31" t="n"/>
      <c r="E161" s="24" t="n"/>
      <c r="F161" s="24" t="n"/>
      <c r="G161" s="24" t="n"/>
      <c r="H161" s="24" t="n"/>
      <c r="I161" s="24" t="n"/>
      <c r="J161" s="34" t="n"/>
      <c r="K161" s="24" t="n"/>
      <c r="L161" s="24" t="n"/>
      <c r="M161" s="24" t="n"/>
      <c r="N161" s="24" t="n"/>
      <c r="O161" s="34" t="n"/>
      <c r="P161" s="24" t="n"/>
      <c r="Q161" s="24" t="n"/>
      <c r="R161" s="24" t="n"/>
    </row>
    <row r="162" ht="15" customHeight="1" s="21">
      <c r="A162" s="34" t="n"/>
      <c r="B162" s="35" t="n"/>
      <c r="C162" s="34" t="n"/>
      <c r="D162" s="31" t="n"/>
      <c r="E162" s="24" t="n"/>
      <c r="F162" s="24" t="n"/>
      <c r="G162" s="24" t="n"/>
      <c r="H162" s="24" t="n"/>
      <c r="I162" s="24" t="n"/>
      <c r="J162" s="34" t="n"/>
      <c r="K162" s="24" t="n"/>
      <c r="L162" s="24" t="n"/>
      <c r="M162" s="24" t="n"/>
      <c r="N162" s="24" t="n"/>
      <c r="O162" s="34" t="n"/>
      <c r="P162" s="24" t="n"/>
      <c r="Q162" s="24" t="n"/>
      <c r="R162" s="24" t="n"/>
    </row>
    <row r="163" ht="15" customHeight="1" s="21">
      <c r="A163" s="34" t="n"/>
      <c r="B163" s="35" t="n"/>
      <c r="C163" s="34" t="n"/>
      <c r="D163" s="31" t="n"/>
      <c r="E163" s="24" t="n"/>
      <c r="F163" s="24" t="n"/>
      <c r="G163" s="24" t="n"/>
      <c r="H163" s="24" t="n"/>
      <c r="I163" s="24" t="n"/>
      <c r="J163" s="34" t="n"/>
      <c r="K163" s="24" t="n"/>
      <c r="L163" s="24" t="n"/>
      <c r="M163" s="24" t="n"/>
      <c r="N163" s="24" t="n"/>
      <c r="O163" s="34" t="n"/>
      <c r="P163" s="24" t="n"/>
      <c r="Q163" s="24" t="n"/>
      <c r="R163" s="24" t="n"/>
    </row>
    <row r="164" ht="15" customHeight="1" s="21">
      <c r="A164" s="34" t="n"/>
      <c r="B164" s="35" t="n"/>
      <c r="C164" s="34" t="n"/>
      <c r="D164" s="31" t="n"/>
      <c r="E164" s="24" t="n"/>
      <c r="F164" s="24" t="n"/>
      <c r="G164" s="24" t="n"/>
      <c r="H164" s="24" t="n"/>
      <c r="I164" s="24" t="n"/>
      <c r="J164" s="34" t="n"/>
      <c r="K164" s="24" t="n"/>
      <c r="L164" s="24" t="n"/>
      <c r="M164" s="24" t="n"/>
      <c r="N164" s="24" t="n"/>
      <c r="O164" s="34" t="n"/>
      <c r="P164" s="24" t="n"/>
      <c r="Q164" s="24" t="n"/>
      <c r="R164" s="24" t="n"/>
    </row>
    <row r="165" ht="15" customHeight="1" s="21">
      <c r="A165" s="34" t="n"/>
      <c r="B165" s="35" t="n"/>
      <c r="C165" s="34" t="n"/>
      <c r="D165" s="31" t="n"/>
      <c r="E165" s="24" t="n"/>
      <c r="F165" s="24" t="n"/>
      <c r="G165" s="24" t="n"/>
      <c r="H165" s="24" t="n"/>
      <c r="I165" s="24" t="n"/>
      <c r="J165" s="34" t="n"/>
      <c r="K165" s="24" t="n"/>
      <c r="L165" s="24" t="n"/>
      <c r="M165" s="24" t="n"/>
      <c r="N165" s="24" t="n"/>
      <c r="O165" s="34" t="n"/>
      <c r="P165" s="24" t="n"/>
      <c r="Q165" s="24" t="n"/>
      <c r="R165" s="24" t="n"/>
    </row>
    <row r="166" ht="15" customHeight="1" s="21">
      <c r="A166" s="34" t="n"/>
      <c r="B166" s="35" t="n"/>
      <c r="C166" s="34" t="n"/>
      <c r="D166" s="31" t="n"/>
      <c r="E166" s="24" t="n"/>
      <c r="F166" s="24" t="n"/>
      <c r="G166" s="24" t="n"/>
      <c r="H166" s="24" t="n"/>
      <c r="I166" s="24" t="n"/>
      <c r="J166" s="34" t="n"/>
      <c r="K166" s="24" t="n"/>
      <c r="L166" s="24" t="n"/>
      <c r="M166" s="24" t="n"/>
      <c r="N166" s="24" t="n"/>
      <c r="O166" s="34" t="n"/>
      <c r="P166" s="24" t="n"/>
      <c r="Q166" s="24" t="n"/>
      <c r="R166" s="24" t="n"/>
    </row>
    <row r="167" ht="15" customHeight="1" s="21">
      <c r="A167" s="34" t="n"/>
      <c r="B167" s="35" t="n"/>
      <c r="C167" s="34" t="n"/>
      <c r="D167" s="31" t="n"/>
      <c r="E167" s="24" t="n"/>
      <c r="F167" s="24" t="n"/>
      <c r="G167" s="24" t="n"/>
      <c r="H167" s="24" t="n"/>
      <c r="I167" s="24" t="n"/>
      <c r="J167" s="34" t="n"/>
      <c r="K167" s="24" t="n"/>
      <c r="L167" s="24" t="n"/>
      <c r="M167" s="24" t="n"/>
      <c r="N167" s="24" t="n"/>
      <c r="O167" s="34" t="n"/>
      <c r="P167" s="24" t="n"/>
      <c r="Q167" s="24" t="n"/>
      <c r="R167" s="24" t="n"/>
    </row>
    <row r="168" ht="15" customHeight="1" s="21">
      <c r="A168" s="34" t="n"/>
      <c r="B168" s="35" t="n"/>
      <c r="C168" s="34" t="n"/>
      <c r="D168" s="31" t="n"/>
      <c r="E168" s="24" t="n"/>
      <c r="F168" s="24" t="n"/>
      <c r="G168" s="24" t="n"/>
      <c r="H168" s="24" t="n"/>
      <c r="I168" s="24" t="n"/>
      <c r="J168" s="34" t="n"/>
      <c r="K168" s="24" t="n"/>
      <c r="L168" s="24" t="n"/>
      <c r="M168" s="24" t="n"/>
      <c r="N168" s="24" t="n"/>
      <c r="O168" s="34" t="n"/>
      <c r="P168" s="24" t="n"/>
      <c r="Q168" s="24" t="n"/>
      <c r="R168" s="24" t="n"/>
    </row>
    <row r="169" ht="15" customHeight="1" s="21">
      <c r="A169" s="34" t="n"/>
      <c r="B169" s="35" t="n"/>
      <c r="C169" s="34" t="n"/>
      <c r="D169" s="31" t="n"/>
      <c r="E169" s="24" t="n"/>
      <c r="F169" s="24" t="n"/>
      <c r="G169" s="24" t="n"/>
      <c r="H169" s="24" t="n"/>
      <c r="I169" s="24" t="n"/>
      <c r="J169" s="34" t="n"/>
      <c r="K169" s="24" t="n"/>
      <c r="L169" s="24" t="n"/>
      <c r="M169" s="24" t="n"/>
      <c r="N169" s="24" t="n"/>
      <c r="O169" s="34" t="n"/>
      <c r="P169" s="24" t="n"/>
      <c r="Q169" s="24" t="n"/>
      <c r="R169" s="24" t="n"/>
    </row>
    <row r="170" ht="15" customHeight="1" s="21">
      <c r="A170" s="34" t="n"/>
      <c r="B170" s="35" t="n"/>
      <c r="C170" s="34" t="n"/>
      <c r="D170" s="31" t="n"/>
      <c r="E170" s="24" t="n"/>
      <c r="F170" s="24" t="n"/>
      <c r="G170" s="24" t="n"/>
      <c r="H170" s="24" t="n"/>
      <c r="I170" s="24" t="n"/>
      <c r="J170" s="34" t="n"/>
      <c r="K170" s="24" t="n"/>
      <c r="L170" s="24" t="n"/>
      <c r="M170" s="24" t="n"/>
      <c r="N170" s="24" t="n"/>
      <c r="O170" s="34" t="n"/>
      <c r="P170" s="24" t="n"/>
      <c r="Q170" s="24" t="n"/>
      <c r="R170" s="24" t="n"/>
    </row>
    <row r="171" ht="15" customHeight="1" s="21">
      <c r="A171" s="34" t="n"/>
      <c r="B171" s="35" t="n"/>
      <c r="C171" s="34" t="n"/>
      <c r="D171" s="31" t="n"/>
      <c r="E171" s="24" t="n"/>
      <c r="F171" s="24" t="n"/>
      <c r="G171" s="24" t="n"/>
      <c r="H171" s="24" t="n"/>
      <c r="I171" s="24" t="n"/>
      <c r="J171" s="34" t="n"/>
      <c r="K171" s="24" t="n"/>
      <c r="L171" s="24" t="n"/>
      <c r="M171" s="24" t="n"/>
      <c r="N171" s="24" t="n"/>
      <c r="O171" s="34" t="n"/>
      <c r="P171" s="24" t="n"/>
      <c r="Q171" s="24" t="n"/>
      <c r="R171" s="24" t="n"/>
    </row>
    <row r="172" ht="15" customHeight="1" s="21">
      <c r="A172" s="34" t="n"/>
      <c r="B172" s="35" t="n"/>
      <c r="C172" s="34" t="n"/>
      <c r="D172" s="31" t="n"/>
      <c r="E172" s="24" t="n"/>
      <c r="F172" s="24" t="n"/>
      <c r="G172" s="24" t="n"/>
      <c r="H172" s="24" t="n"/>
      <c r="I172" s="24" t="n"/>
      <c r="J172" s="34" t="n"/>
      <c r="K172" s="24" t="n"/>
      <c r="L172" s="24" t="n"/>
      <c r="M172" s="24" t="n"/>
      <c r="N172" s="24" t="n"/>
      <c r="O172" s="34" t="n"/>
      <c r="P172" s="24" t="n"/>
      <c r="Q172" s="24" t="n"/>
      <c r="R172" s="24" t="n"/>
    </row>
    <row r="173" ht="15" customHeight="1" s="21">
      <c r="A173" s="34" t="n"/>
      <c r="B173" s="35" t="n"/>
      <c r="C173" s="34" t="n"/>
      <c r="D173" s="31" t="n"/>
      <c r="E173" s="24" t="n"/>
      <c r="F173" s="24" t="n"/>
      <c r="G173" s="24" t="n"/>
      <c r="H173" s="24" t="n"/>
      <c r="I173" s="24" t="n"/>
      <c r="J173" s="34" t="n"/>
      <c r="K173" s="24" t="n"/>
      <c r="L173" s="24" t="n"/>
      <c r="M173" s="24" t="n"/>
      <c r="N173" s="24" t="n"/>
      <c r="O173" s="34" t="n"/>
      <c r="P173" s="24" t="n"/>
      <c r="Q173" s="24" t="n"/>
      <c r="R173" s="24" t="n"/>
    </row>
    <row r="174" ht="15" customHeight="1" s="21">
      <c r="A174" s="34" t="n"/>
      <c r="B174" s="35" t="n"/>
      <c r="C174" s="34" t="n"/>
      <c r="D174" s="31" t="n"/>
      <c r="E174" s="24" t="n"/>
      <c r="F174" s="24" t="n"/>
      <c r="G174" s="24" t="n"/>
      <c r="H174" s="24" t="n"/>
      <c r="I174" s="24" t="n"/>
      <c r="J174" s="34" t="n"/>
      <c r="K174" s="24" t="n"/>
      <c r="L174" s="24" t="n"/>
      <c r="M174" s="24" t="n"/>
      <c r="N174" s="24" t="n"/>
      <c r="O174" s="34" t="n"/>
      <c r="P174" s="24" t="n"/>
      <c r="Q174" s="24" t="n"/>
      <c r="R174" s="24" t="n"/>
    </row>
    <row r="175" ht="15" customHeight="1" s="21">
      <c r="A175" s="34" t="n"/>
      <c r="B175" s="35" t="n"/>
      <c r="C175" s="34" t="n"/>
      <c r="D175" s="31" t="n"/>
      <c r="E175" s="24" t="n"/>
      <c r="F175" s="24" t="n"/>
      <c r="G175" s="24" t="n"/>
      <c r="H175" s="24" t="n"/>
      <c r="I175" s="24" t="n"/>
      <c r="J175" s="34" t="n"/>
      <c r="K175" s="24" t="n"/>
      <c r="L175" s="24" t="n"/>
      <c r="M175" s="24" t="n"/>
      <c r="N175" s="24" t="n"/>
      <c r="O175" s="34" t="n"/>
      <c r="P175" s="24" t="n"/>
      <c r="Q175" s="24" t="n"/>
      <c r="R175" s="24" t="n"/>
    </row>
    <row r="176" ht="15" customHeight="1" s="21">
      <c r="A176" s="34" t="n"/>
      <c r="B176" s="35" t="n"/>
      <c r="C176" s="34" t="n"/>
      <c r="D176" s="31" t="n"/>
      <c r="E176" s="24" t="n"/>
      <c r="F176" s="24" t="n"/>
      <c r="G176" s="24" t="n"/>
      <c r="H176" s="24" t="n"/>
      <c r="I176" s="24" t="n"/>
      <c r="J176" s="34" t="n"/>
      <c r="K176" s="24" t="n"/>
      <c r="L176" s="24" t="n"/>
      <c r="M176" s="24" t="n"/>
      <c r="N176" s="24" t="n"/>
      <c r="O176" s="34" t="n"/>
      <c r="P176" s="24" t="n"/>
      <c r="Q176" s="24" t="n"/>
      <c r="R176" s="24" t="n"/>
    </row>
    <row r="177" ht="15" customHeight="1" s="21">
      <c r="A177" s="34" t="n"/>
      <c r="B177" s="35" t="n"/>
      <c r="C177" s="34" t="n"/>
      <c r="D177" s="31" t="n"/>
      <c r="E177" s="24" t="n"/>
      <c r="F177" s="24" t="n"/>
      <c r="G177" s="24" t="n"/>
      <c r="H177" s="24" t="n"/>
      <c r="I177" s="24" t="n"/>
      <c r="J177" s="34" t="n"/>
      <c r="K177" s="24" t="n"/>
      <c r="L177" s="24" t="n"/>
      <c r="M177" s="24" t="n"/>
      <c r="N177" s="24" t="n"/>
      <c r="O177" s="34" t="n"/>
      <c r="P177" s="24" t="n"/>
      <c r="Q177" s="24" t="n"/>
      <c r="R177" s="24" t="n"/>
    </row>
    <row r="178" ht="15" customHeight="1" s="21">
      <c r="A178" s="34" t="n"/>
      <c r="B178" s="35" t="n"/>
      <c r="C178" s="34" t="n"/>
      <c r="D178" s="31" t="n"/>
      <c r="E178" s="24" t="n"/>
      <c r="F178" s="24" t="n"/>
      <c r="G178" s="24" t="n"/>
      <c r="H178" s="24" t="n"/>
      <c r="I178" s="24" t="n"/>
      <c r="J178" s="34" t="n"/>
      <c r="K178" s="24" t="n"/>
      <c r="L178" s="24" t="n"/>
      <c r="M178" s="24" t="n"/>
      <c r="N178" s="24" t="n"/>
      <c r="O178" s="34" t="n"/>
      <c r="P178" s="24" t="n"/>
      <c r="Q178" s="24" t="n"/>
      <c r="R178" s="24" t="n"/>
    </row>
    <row r="179" ht="15" customHeight="1" s="21">
      <c r="A179" s="34" t="n"/>
      <c r="B179" s="35" t="n"/>
      <c r="C179" s="34" t="n"/>
      <c r="D179" s="31" t="n"/>
      <c r="E179" s="24" t="n"/>
      <c r="F179" s="24" t="n"/>
      <c r="G179" s="24" t="n"/>
      <c r="H179" s="24" t="n"/>
      <c r="I179" s="24" t="n"/>
      <c r="J179" s="34" t="n"/>
      <c r="K179" s="24" t="n"/>
      <c r="L179" s="24" t="n"/>
      <c r="M179" s="24" t="n"/>
      <c r="N179" s="24" t="n"/>
      <c r="O179" s="34" t="n"/>
      <c r="P179" s="24" t="n"/>
      <c r="Q179" s="24" t="n"/>
      <c r="R179" s="24" t="n"/>
    </row>
    <row r="180" ht="15" customHeight="1" s="21">
      <c r="A180" s="34" t="n"/>
      <c r="B180" s="35" t="n"/>
      <c r="C180" s="34" t="n"/>
      <c r="D180" s="31" t="n"/>
      <c r="E180" s="24" t="n"/>
      <c r="F180" s="24" t="n"/>
      <c r="G180" s="24" t="n"/>
      <c r="H180" s="24" t="n"/>
      <c r="I180" s="24" t="n"/>
      <c r="J180" s="34" t="n"/>
      <c r="K180" s="24" t="n"/>
      <c r="L180" s="24" t="n"/>
      <c r="M180" s="24" t="n"/>
      <c r="N180" s="24" t="n"/>
      <c r="O180" s="34" t="n"/>
      <c r="P180" s="24" t="n"/>
      <c r="Q180" s="24" t="n"/>
      <c r="R180" s="24" t="n"/>
    </row>
    <row r="181" ht="15" customHeight="1" s="21">
      <c r="A181" s="34" t="n"/>
      <c r="B181" s="35" t="n"/>
      <c r="C181" s="34" t="n"/>
      <c r="D181" s="31" t="n"/>
      <c r="E181" s="24" t="n"/>
      <c r="F181" s="24" t="n"/>
      <c r="G181" s="24" t="n"/>
      <c r="H181" s="24" t="n"/>
      <c r="I181" s="24" t="n"/>
      <c r="J181" s="34" t="n"/>
      <c r="K181" s="24" t="n"/>
      <c r="L181" s="24" t="n"/>
      <c r="M181" s="24" t="n"/>
      <c r="N181" s="24" t="n"/>
      <c r="O181" s="34" t="n"/>
      <c r="P181" s="24" t="n"/>
      <c r="Q181" s="24" t="n"/>
      <c r="R181" s="24" t="n"/>
    </row>
    <row r="182" ht="15" customHeight="1" s="21">
      <c r="A182" s="34" t="n"/>
      <c r="B182" s="35" t="n"/>
      <c r="C182" s="34" t="n"/>
      <c r="D182" s="31" t="n"/>
      <c r="E182" s="24" t="n"/>
      <c r="F182" s="24" t="n"/>
      <c r="G182" s="24" t="n"/>
      <c r="H182" s="24" t="n"/>
      <c r="I182" s="24" t="n"/>
      <c r="J182" s="34" t="n"/>
      <c r="K182" s="24" t="n"/>
      <c r="L182" s="24" t="n"/>
      <c r="M182" s="24" t="n"/>
      <c r="N182" s="24" t="n"/>
      <c r="O182" s="34" t="n"/>
      <c r="P182" s="24" t="n"/>
      <c r="Q182" s="24" t="n"/>
      <c r="R182" s="24" t="n"/>
    </row>
    <row r="183" ht="15" customHeight="1" s="21">
      <c r="A183" s="34" t="n"/>
      <c r="B183" s="35" t="n"/>
      <c r="C183" s="34" t="n"/>
      <c r="D183" s="31" t="n"/>
      <c r="E183" s="24" t="n"/>
      <c r="F183" s="24" t="n"/>
      <c r="G183" s="24" t="n"/>
      <c r="H183" s="24" t="n"/>
      <c r="I183" s="24" t="n"/>
      <c r="J183" s="34" t="n"/>
      <c r="K183" s="24" t="n"/>
      <c r="L183" s="24" t="n"/>
      <c r="M183" s="24" t="n"/>
      <c r="N183" s="24" t="n"/>
      <c r="O183" s="34" t="n"/>
      <c r="P183" s="24" t="n"/>
      <c r="Q183" s="24" t="n"/>
      <c r="R183" s="24" t="n"/>
    </row>
    <row r="184" ht="15" customHeight="1" s="21">
      <c r="A184" s="34" t="n"/>
      <c r="B184" s="35" t="n"/>
      <c r="C184" s="34" t="n"/>
      <c r="D184" s="31" t="n"/>
      <c r="E184" s="24" t="n"/>
      <c r="F184" s="24" t="n"/>
      <c r="G184" s="24" t="n"/>
      <c r="H184" s="24" t="n"/>
      <c r="I184" s="24" t="n"/>
      <c r="J184" s="34" t="n"/>
      <c r="K184" s="24" t="n"/>
      <c r="L184" s="24" t="n"/>
      <c r="M184" s="24" t="n"/>
      <c r="N184" s="24" t="n"/>
      <c r="O184" s="34" t="n"/>
      <c r="P184" s="24" t="n"/>
      <c r="Q184" s="24" t="n"/>
      <c r="R184" s="24" t="n"/>
    </row>
    <row r="185" ht="15" customHeight="1" s="21">
      <c r="A185" s="34" t="n"/>
      <c r="B185" s="35" t="n"/>
      <c r="C185" s="34" t="n"/>
      <c r="D185" s="31" t="n"/>
      <c r="E185" s="24" t="n"/>
      <c r="F185" s="24" t="n"/>
      <c r="G185" s="24" t="n"/>
      <c r="H185" s="24" t="n"/>
      <c r="I185" s="24" t="n"/>
      <c r="J185" s="34" t="n"/>
      <c r="K185" s="24" t="n"/>
      <c r="L185" s="24" t="n"/>
      <c r="M185" s="24" t="n"/>
      <c r="N185" s="24" t="n"/>
      <c r="O185" s="34" t="n"/>
      <c r="P185" s="24" t="n"/>
      <c r="Q185" s="24" t="n"/>
      <c r="R185" s="24" t="n"/>
    </row>
    <row r="186" ht="15" customHeight="1" s="21">
      <c r="A186" s="34" t="n"/>
      <c r="B186" s="35" t="n"/>
      <c r="C186" s="34" t="n"/>
      <c r="D186" s="31" t="n"/>
      <c r="E186" s="24" t="n"/>
      <c r="F186" s="24" t="n"/>
      <c r="G186" s="24" t="n"/>
      <c r="H186" s="24" t="n"/>
      <c r="I186" s="24" t="n"/>
      <c r="J186" s="34" t="n"/>
      <c r="K186" s="24" t="n"/>
      <c r="L186" s="24" t="n"/>
      <c r="M186" s="24" t="n"/>
      <c r="N186" s="24" t="n"/>
      <c r="O186" s="34" t="n"/>
      <c r="P186" s="24" t="n"/>
      <c r="Q186" s="24" t="n"/>
      <c r="R186" s="24" t="n"/>
    </row>
    <row r="187" ht="15" customHeight="1" s="21">
      <c r="A187" s="34" t="n"/>
      <c r="B187" s="35" t="n"/>
      <c r="C187" s="34" t="n"/>
      <c r="D187" s="31" t="n"/>
      <c r="E187" s="24" t="n"/>
      <c r="F187" s="24" t="n"/>
      <c r="G187" s="24" t="n"/>
      <c r="H187" s="24" t="n"/>
      <c r="I187" s="24" t="n"/>
      <c r="J187" s="34" t="n"/>
      <c r="K187" s="24" t="n"/>
      <c r="L187" s="24" t="n"/>
      <c r="M187" s="24" t="n"/>
      <c r="N187" s="24" t="n"/>
      <c r="O187" s="34" t="n"/>
      <c r="P187" s="24" t="n"/>
      <c r="Q187" s="24" t="n"/>
      <c r="R187" s="24" t="n"/>
    </row>
    <row r="188" ht="15" customHeight="1" s="21">
      <c r="A188" s="34" t="n"/>
      <c r="B188" s="35" t="n"/>
      <c r="C188" s="34" t="n"/>
      <c r="D188" s="31" t="n"/>
      <c r="E188" s="24" t="n"/>
      <c r="F188" s="24" t="n"/>
      <c r="G188" s="24" t="n"/>
      <c r="H188" s="24" t="n"/>
      <c r="I188" s="24" t="n"/>
      <c r="J188" s="34" t="n"/>
      <c r="K188" s="24" t="n"/>
      <c r="L188" s="24" t="n"/>
      <c r="M188" s="24" t="n"/>
      <c r="N188" s="24" t="n"/>
      <c r="O188" s="34" t="n"/>
      <c r="P188" s="24" t="n"/>
      <c r="Q188" s="24" t="n"/>
      <c r="R188" s="24" t="n"/>
    </row>
    <row r="189" ht="15" customHeight="1" s="21">
      <c r="A189" s="34" t="n"/>
      <c r="B189" s="35" t="n"/>
      <c r="C189" s="34" t="n"/>
      <c r="D189" s="31" t="n"/>
      <c r="E189" s="24" t="n"/>
      <c r="F189" s="24" t="n"/>
      <c r="G189" s="24" t="n"/>
      <c r="H189" s="24" t="n"/>
      <c r="I189" s="24" t="n"/>
      <c r="J189" s="34" t="n"/>
      <c r="K189" s="24" t="n"/>
      <c r="L189" s="24" t="n"/>
      <c r="M189" s="24" t="n"/>
      <c r="N189" s="24" t="n"/>
      <c r="O189" s="34" t="n"/>
      <c r="P189" s="24" t="n"/>
      <c r="Q189" s="24" t="n"/>
      <c r="R189" s="24" t="n"/>
    </row>
    <row r="190" ht="15" customHeight="1" s="21">
      <c r="A190" s="34" t="n"/>
      <c r="B190" s="35" t="n"/>
      <c r="C190" s="34" t="n"/>
      <c r="D190" s="31" t="n"/>
      <c r="E190" s="24" t="n"/>
      <c r="F190" s="24" t="n"/>
      <c r="G190" s="24" t="n"/>
      <c r="H190" s="24" t="n"/>
      <c r="I190" s="24" t="n"/>
      <c r="J190" s="34" t="n"/>
      <c r="K190" s="24" t="n"/>
      <c r="L190" s="24" t="n"/>
      <c r="M190" s="24" t="n"/>
      <c r="N190" s="24" t="n"/>
      <c r="O190" s="34" t="n"/>
      <c r="P190" s="24" t="n"/>
      <c r="Q190" s="24" t="n"/>
      <c r="R190" s="24" t="n"/>
    </row>
    <row r="191" ht="15" customHeight="1" s="21">
      <c r="A191" s="34" t="n"/>
      <c r="B191" s="35" t="n"/>
      <c r="C191" s="34" t="n"/>
      <c r="D191" s="31" t="n"/>
      <c r="E191" s="24" t="n"/>
      <c r="F191" s="24" t="n"/>
      <c r="G191" s="24" t="n"/>
      <c r="H191" s="24" t="n"/>
      <c r="I191" s="24" t="n"/>
      <c r="J191" s="34" t="n"/>
      <c r="K191" s="24" t="n"/>
      <c r="L191" s="24" t="n"/>
      <c r="M191" s="24" t="n"/>
      <c r="N191" s="24" t="n"/>
      <c r="O191" s="34" t="n"/>
      <c r="P191" s="24" t="n"/>
      <c r="Q191" s="24" t="n"/>
      <c r="R191" s="24" t="n"/>
    </row>
    <row r="192" ht="15" customHeight="1" s="21">
      <c r="A192" s="34" t="n"/>
      <c r="B192" s="35" t="n"/>
      <c r="C192" s="34" t="n"/>
      <c r="D192" s="31" t="n"/>
      <c r="E192" s="24" t="n"/>
      <c r="F192" s="24" t="n"/>
      <c r="G192" s="24" t="n"/>
      <c r="H192" s="24" t="n"/>
      <c r="I192" s="24" t="n"/>
      <c r="J192" s="34" t="n"/>
      <c r="K192" s="24" t="n"/>
      <c r="L192" s="24" t="n"/>
      <c r="M192" s="24" t="n"/>
      <c r="N192" s="24" t="n"/>
      <c r="O192" s="34" t="n"/>
      <c r="P192" s="24" t="n"/>
      <c r="Q192" s="24" t="n"/>
      <c r="R192" s="24" t="n"/>
    </row>
    <row r="193" ht="15" customHeight="1" s="21">
      <c r="A193" s="34" t="n"/>
      <c r="B193" s="35" t="n"/>
      <c r="C193" s="34" t="n"/>
      <c r="D193" s="31" t="n"/>
      <c r="E193" s="24" t="n"/>
      <c r="F193" s="24" t="n"/>
      <c r="G193" s="24" t="n"/>
      <c r="H193" s="24" t="n"/>
      <c r="I193" s="24" t="n"/>
      <c r="J193" s="34" t="n"/>
      <c r="K193" s="24" t="n"/>
      <c r="L193" s="24" t="n"/>
      <c r="M193" s="24" t="n"/>
      <c r="N193" s="24" t="n"/>
      <c r="O193" s="34" t="n"/>
      <c r="P193" s="24" t="n"/>
      <c r="Q193" s="24" t="n"/>
      <c r="R193" s="24" t="n"/>
    </row>
    <row r="194" ht="15" customHeight="1" s="21">
      <c r="A194" s="34" t="n"/>
      <c r="B194" s="35" t="n"/>
      <c r="C194" s="34" t="n"/>
      <c r="D194" s="31" t="n"/>
      <c r="E194" s="24" t="n"/>
      <c r="F194" s="24" t="n"/>
      <c r="G194" s="24" t="n"/>
      <c r="H194" s="24" t="n"/>
      <c r="I194" s="24" t="n"/>
      <c r="J194" s="34" t="n"/>
      <c r="K194" s="24" t="n"/>
      <c r="L194" s="24" t="n"/>
      <c r="M194" s="24" t="n"/>
      <c r="N194" s="24" t="n"/>
      <c r="O194" s="34" t="n"/>
      <c r="P194" s="24" t="n"/>
      <c r="Q194" s="24" t="n"/>
      <c r="R194" s="24" t="n"/>
    </row>
    <row r="195" ht="15" customHeight="1" s="21">
      <c r="A195" s="34" t="n"/>
      <c r="B195" s="35" t="n"/>
      <c r="C195" s="34" t="n"/>
      <c r="D195" s="31" t="n"/>
      <c r="E195" s="24" t="n"/>
      <c r="F195" s="24" t="n"/>
      <c r="G195" s="24" t="n"/>
      <c r="H195" s="24" t="n"/>
      <c r="I195" s="24" t="n"/>
      <c r="J195" s="34" t="n"/>
      <c r="K195" s="24" t="n"/>
      <c r="L195" s="24" t="n"/>
      <c r="M195" s="24" t="n"/>
      <c r="N195" s="24" t="n"/>
      <c r="O195" s="34" t="n"/>
      <c r="P195" s="24" t="n"/>
      <c r="Q195" s="24" t="n"/>
      <c r="R195" s="24" t="n"/>
    </row>
    <row r="196" ht="15" customHeight="1" s="21">
      <c r="A196" s="34" t="n"/>
      <c r="B196" s="35" t="n"/>
      <c r="C196" s="34" t="n"/>
      <c r="D196" s="31" t="n"/>
      <c r="E196" s="24" t="n"/>
      <c r="F196" s="24" t="n"/>
      <c r="G196" s="24" t="n"/>
      <c r="H196" s="24" t="n"/>
      <c r="I196" s="24" t="n"/>
      <c r="J196" s="34" t="n"/>
      <c r="K196" s="24" t="n"/>
      <c r="L196" s="24" t="n"/>
      <c r="M196" s="24" t="n"/>
      <c r="N196" s="24" t="n"/>
      <c r="O196" s="34" t="n"/>
      <c r="P196" s="24" t="n"/>
      <c r="Q196" s="24" t="n"/>
      <c r="R196" s="24" t="n"/>
    </row>
    <row r="197" ht="15" customHeight="1" s="21">
      <c r="A197" s="34" t="n"/>
      <c r="B197" s="35" t="n"/>
      <c r="C197" s="34" t="n"/>
      <c r="D197" s="31" t="n"/>
      <c r="E197" s="24" t="n"/>
      <c r="F197" s="24" t="n"/>
      <c r="G197" s="24" t="n"/>
      <c r="H197" s="24" t="n"/>
      <c r="I197" s="24" t="n"/>
      <c r="J197" s="34" t="n"/>
      <c r="K197" s="24" t="n"/>
      <c r="L197" s="24" t="n"/>
      <c r="M197" s="24" t="n"/>
      <c r="N197" s="24" t="n"/>
      <c r="O197" s="34" t="n"/>
      <c r="P197" s="24" t="n"/>
      <c r="Q197" s="24" t="n"/>
      <c r="R197" s="24" t="n"/>
    </row>
    <row r="198" ht="15" customHeight="1" s="21">
      <c r="A198" s="34" t="n"/>
      <c r="B198" s="35" t="n"/>
      <c r="C198" s="34" t="n"/>
      <c r="D198" s="31" t="n"/>
      <c r="E198" s="24" t="n"/>
      <c r="F198" s="24" t="n"/>
      <c r="G198" s="24" t="n"/>
      <c r="H198" s="24" t="n"/>
      <c r="I198" s="24" t="n"/>
      <c r="J198" s="34" t="n"/>
      <c r="K198" s="24" t="n"/>
      <c r="L198" s="24" t="n"/>
      <c r="M198" s="24" t="n"/>
      <c r="N198" s="24" t="n"/>
      <c r="O198" s="34" t="n"/>
      <c r="P198" s="24" t="n"/>
      <c r="Q198" s="24" t="n"/>
      <c r="R198" s="24" t="n"/>
    </row>
    <row r="199" ht="15" customHeight="1" s="21">
      <c r="A199" s="34" t="n"/>
      <c r="B199" s="35" t="n"/>
      <c r="C199" s="34" t="n"/>
      <c r="D199" s="31" t="n"/>
      <c r="E199" s="24" t="n"/>
      <c r="F199" s="24" t="n"/>
      <c r="G199" s="24" t="n"/>
      <c r="H199" s="24" t="n"/>
      <c r="I199" s="24" t="n"/>
      <c r="J199" s="34" t="n"/>
      <c r="K199" s="24" t="n"/>
      <c r="L199" s="24" t="n"/>
      <c r="M199" s="24" t="n"/>
      <c r="N199" s="24" t="n"/>
      <c r="O199" s="34" t="n"/>
      <c r="P199" s="24" t="n"/>
      <c r="Q199" s="24" t="n"/>
      <c r="R199" s="24" t="n"/>
    </row>
    <row r="200" ht="15" customHeight="1" s="21">
      <c r="A200" s="34" t="n"/>
      <c r="B200" s="35" t="n"/>
      <c r="C200" s="34" t="n"/>
      <c r="D200" s="31" t="n"/>
      <c r="E200" s="24" t="n"/>
      <c r="F200" s="24" t="n"/>
      <c r="G200" s="24" t="n"/>
      <c r="H200" s="24" t="n"/>
      <c r="I200" s="24" t="n"/>
      <c r="J200" s="34" t="n"/>
      <c r="K200" s="24" t="n"/>
      <c r="L200" s="24" t="n"/>
      <c r="M200" s="24" t="n"/>
      <c r="N200" s="24" t="n"/>
      <c r="O200" s="34" t="n"/>
      <c r="P200" s="24" t="n"/>
      <c r="Q200" s="24" t="n"/>
      <c r="R200" s="24" t="n"/>
    </row>
    <row r="201" ht="15" customHeight="1" s="21">
      <c r="A201" s="34" t="n"/>
      <c r="B201" s="35" t="n"/>
      <c r="C201" s="34" t="n"/>
      <c r="D201" s="31" t="n"/>
      <c r="E201" s="24" t="n"/>
      <c r="F201" s="24" t="n"/>
      <c r="G201" s="24" t="n"/>
      <c r="H201" s="24" t="n"/>
      <c r="I201" s="24" t="n"/>
      <c r="J201" s="34" t="n"/>
      <c r="K201" s="24" t="n"/>
      <c r="L201" s="24" t="n"/>
      <c r="M201" s="24" t="n"/>
      <c r="N201" s="24" t="n"/>
      <c r="O201" s="34" t="n"/>
      <c r="P201" s="24" t="n"/>
      <c r="Q201" s="24" t="n"/>
      <c r="R201" s="24" t="n"/>
    </row>
    <row r="202" ht="15" customHeight="1" s="21">
      <c r="A202" s="34" t="n"/>
      <c r="B202" s="35" t="n"/>
      <c r="C202" s="34" t="n"/>
      <c r="D202" s="31" t="n"/>
      <c r="E202" s="24" t="n"/>
      <c r="F202" s="24" t="n"/>
      <c r="G202" s="24" t="n"/>
      <c r="H202" s="24" t="n"/>
      <c r="I202" s="24" t="n"/>
      <c r="J202" s="34" t="n"/>
      <c r="K202" s="24" t="n"/>
      <c r="L202" s="24" t="n"/>
      <c r="M202" s="24" t="n"/>
      <c r="N202" s="24" t="n"/>
      <c r="O202" s="34" t="n"/>
      <c r="P202" s="24" t="n"/>
      <c r="Q202" s="24" t="n"/>
      <c r="R202" s="24" t="n"/>
    </row>
    <row r="203" ht="15" customHeight="1" s="21">
      <c r="A203" s="34" t="n"/>
      <c r="B203" s="35" t="n"/>
      <c r="C203" s="34" t="n"/>
      <c r="D203" s="31" t="n"/>
      <c r="E203" s="24" t="n"/>
      <c r="F203" s="24" t="n"/>
      <c r="G203" s="24" t="n"/>
      <c r="H203" s="24" t="n"/>
      <c r="I203" s="24" t="n"/>
      <c r="J203" s="34" t="n"/>
      <c r="K203" s="24" t="n"/>
      <c r="L203" s="24" t="n"/>
      <c r="M203" s="24" t="n"/>
      <c r="N203" s="24" t="n"/>
      <c r="O203" s="34" t="n"/>
      <c r="P203" s="24" t="n"/>
      <c r="Q203" s="24" t="n"/>
      <c r="R203" s="24" t="n"/>
    </row>
    <row r="204" ht="15" customHeight="1" s="21">
      <c r="A204" s="34" t="n"/>
      <c r="B204" s="35" t="n"/>
      <c r="C204" s="34" t="n"/>
      <c r="D204" s="31" t="n"/>
      <c r="E204" s="24" t="n"/>
      <c r="F204" s="24" t="n"/>
      <c r="G204" s="24" t="n"/>
      <c r="H204" s="24" t="n"/>
      <c r="I204" s="24" t="n"/>
      <c r="J204" s="34" t="n"/>
      <c r="K204" s="24" t="n"/>
      <c r="L204" s="24" t="n"/>
      <c r="M204" s="24" t="n"/>
      <c r="N204" s="24" t="n"/>
      <c r="O204" s="34" t="n"/>
      <c r="P204" s="24" t="n"/>
      <c r="Q204" s="24" t="n"/>
      <c r="R204" s="24" t="n"/>
    </row>
    <row r="205" ht="15" customHeight="1" s="21">
      <c r="A205" s="34" t="n"/>
      <c r="B205" s="35" t="n"/>
      <c r="C205" s="34" t="n"/>
      <c r="D205" s="31" t="n"/>
      <c r="E205" s="24" t="n"/>
      <c r="F205" s="24" t="n"/>
      <c r="G205" s="24" t="n"/>
      <c r="H205" s="24" t="n"/>
      <c r="I205" s="24" t="n"/>
      <c r="J205" s="34" t="n"/>
      <c r="K205" s="24" t="n"/>
      <c r="L205" s="24" t="n"/>
      <c r="M205" s="24" t="n"/>
      <c r="N205" s="24" t="n"/>
      <c r="O205" s="34" t="n"/>
      <c r="P205" s="24" t="n"/>
      <c r="Q205" s="24" t="n"/>
      <c r="R205" s="24" t="n"/>
    </row>
    <row r="206" ht="15" customHeight="1" s="21">
      <c r="A206" s="34" t="n"/>
      <c r="B206" s="35" t="n"/>
      <c r="C206" s="34" t="n"/>
      <c r="D206" s="31" t="n"/>
      <c r="E206" s="24" t="n"/>
      <c r="F206" s="24" t="n"/>
      <c r="G206" s="24" t="n"/>
      <c r="H206" s="24" t="n"/>
      <c r="I206" s="24" t="n"/>
      <c r="J206" s="34" t="n"/>
      <c r="K206" s="24" t="n"/>
      <c r="L206" s="24" t="n"/>
      <c r="M206" s="24" t="n"/>
      <c r="N206" s="24" t="n"/>
      <c r="O206" s="34" t="n"/>
      <c r="P206" s="24" t="n"/>
      <c r="Q206" s="24" t="n"/>
      <c r="R206" s="24" t="n"/>
    </row>
    <row r="207" ht="15" customHeight="1" s="21">
      <c r="A207" s="34" t="n"/>
      <c r="B207" s="35" t="n"/>
      <c r="C207" s="34" t="n"/>
      <c r="D207" s="31" t="n"/>
      <c r="E207" s="24" t="n"/>
      <c r="F207" s="24" t="n"/>
      <c r="G207" s="24" t="n"/>
      <c r="H207" s="24" t="n"/>
      <c r="I207" s="24" t="n"/>
      <c r="J207" s="34" t="n"/>
      <c r="K207" s="24" t="n"/>
      <c r="L207" s="24" t="n"/>
      <c r="M207" s="24" t="n"/>
      <c r="N207" s="24" t="n"/>
      <c r="O207" s="34" t="n"/>
      <c r="P207" s="24" t="n"/>
      <c r="Q207" s="24" t="n"/>
      <c r="R207" s="24" t="n"/>
    </row>
    <row r="208" ht="15" customHeight="1" s="21">
      <c r="A208" s="34" t="n"/>
      <c r="B208" s="35" t="n"/>
      <c r="C208" s="34" t="n"/>
      <c r="D208" s="31" t="n"/>
      <c r="E208" s="24" t="n"/>
      <c r="F208" s="24" t="n"/>
      <c r="G208" s="24" t="n"/>
      <c r="H208" s="24" t="n"/>
      <c r="I208" s="24" t="n"/>
      <c r="J208" s="34" t="n"/>
      <c r="K208" s="24" t="n"/>
      <c r="L208" s="24" t="n"/>
      <c r="M208" s="24" t="n"/>
      <c r="N208" s="24" t="n"/>
      <c r="O208" s="34" t="n"/>
      <c r="P208" s="24" t="n"/>
      <c r="Q208" s="24" t="n"/>
      <c r="R208" s="24" t="n"/>
    </row>
    <row r="209" ht="15" customHeight="1" s="21">
      <c r="A209" s="34" t="n"/>
      <c r="B209" s="35" t="n"/>
      <c r="C209" s="34" t="n"/>
      <c r="D209" s="31" t="n"/>
      <c r="E209" s="24" t="n"/>
      <c r="F209" s="24" t="n"/>
      <c r="G209" s="24" t="n"/>
      <c r="H209" s="24" t="n"/>
      <c r="I209" s="24" t="n"/>
      <c r="J209" s="34" t="n"/>
      <c r="K209" s="24" t="n"/>
      <c r="L209" s="24" t="n"/>
      <c r="M209" s="24" t="n"/>
      <c r="N209" s="24" t="n"/>
      <c r="O209" s="34" t="n"/>
      <c r="P209" s="24" t="n"/>
      <c r="Q209" s="24" t="n"/>
      <c r="R209" s="24" t="n"/>
    </row>
    <row r="210" ht="15" customHeight="1" s="21">
      <c r="A210" s="34" t="n"/>
      <c r="B210" s="35" t="n"/>
      <c r="C210" s="34" t="n"/>
      <c r="D210" s="31" t="n"/>
      <c r="E210" s="24" t="n"/>
      <c r="F210" s="24" t="n"/>
      <c r="G210" s="24" t="n"/>
      <c r="H210" s="24" t="n"/>
      <c r="I210" s="24" t="n"/>
      <c r="J210" s="34" t="n"/>
      <c r="K210" s="24" t="n"/>
      <c r="L210" s="24" t="n"/>
      <c r="M210" s="24" t="n"/>
      <c r="N210" s="24" t="n"/>
      <c r="O210" s="34" t="n"/>
      <c r="P210" s="24" t="n"/>
      <c r="Q210" s="24" t="n"/>
      <c r="R210" s="24" t="n"/>
    </row>
    <row r="211" ht="15" customHeight="1" s="21">
      <c r="A211" s="34" t="n"/>
      <c r="B211" s="35" t="n"/>
      <c r="C211" s="34" t="n"/>
      <c r="D211" s="31" t="n"/>
      <c r="E211" s="24" t="n"/>
      <c r="F211" s="24" t="n"/>
      <c r="G211" s="24" t="n"/>
      <c r="H211" s="24" t="n"/>
      <c r="I211" s="24" t="n"/>
      <c r="J211" s="34" t="n"/>
      <c r="K211" s="24" t="n"/>
      <c r="L211" s="24" t="n"/>
      <c r="M211" s="24" t="n"/>
      <c r="N211" s="24" t="n"/>
      <c r="O211" s="34" t="n"/>
      <c r="P211" s="24" t="n"/>
      <c r="Q211" s="24" t="n"/>
      <c r="R211" s="24" t="n"/>
    </row>
    <row r="212" ht="15" customHeight="1" s="21">
      <c r="A212" s="34" t="n"/>
      <c r="B212" s="35" t="n"/>
      <c r="C212" s="34" t="n"/>
      <c r="D212" s="31" t="n"/>
      <c r="E212" s="24" t="n"/>
      <c r="F212" s="24" t="n"/>
      <c r="G212" s="24" t="n"/>
      <c r="H212" s="24" t="n"/>
      <c r="I212" s="24" t="n"/>
      <c r="J212" s="34" t="n"/>
      <c r="K212" s="24" t="n"/>
      <c r="L212" s="24" t="n"/>
      <c r="M212" s="24" t="n"/>
      <c r="N212" s="24" t="n"/>
      <c r="O212" s="34" t="n"/>
      <c r="P212" s="24" t="n"/>
      <c r="Q212" s="24" t="n"/>
      <c r="R212" s="24" t="n"/>
    </row>
    <row r="213" ht="15" customHeight="1" s="21">
      <c r="A213" s="34" t="n"/>
      <c r="B213" s="35" t="n"/>
      <c r="C213" s="34" t="n"/>
      <c r="D213" s="31" t="n"/>
      <c r="E213" s="24" t="n"/>
      <c r="F213" s="24" t="n"/>
      <c r="G213" s="24" t="n"/>
      <c r="H213" s="24" t="n"/>
      <c r="I213" s="24" t="n"/>
      <c r="J213" s="34" t="n"/>
      <c r="K213" s="24" t="n"/>
      <c r="L213" s="24" t="n"/>
      <c r="M213" s="24" t="n"/>
      <c r="N213" s="24" t="n"/>
      <c r="O213" s="34" t="n"/>
      <c r="P213" s="24" t="n"/>
      <c r="Q213" s="24" t="n"/>
      <c r="R213" s="24" t="n"/>
    </row>
    <row r="214" ht="15" customHeight="1" s="21">
      <c r="A214" s="34" t="n"/>
      <c r="B214" s="35" t="n"/>
      <c r="C214" s="34" t="n"/>
      <c r="D214" s="31" t="n"/>
      <c r="E214" s="24" t="n"/>
      <c r="F214" s="24" t="n"/>
      <c r="G214" s="24" t="n"/>
      <c r="H214" s="24" t="n"/>
      <c r="I214" s="24" t="n"/>
      <c r="J214" s="34" t="n"/>
      <c r="K214" s="24" t="n"/>
      <c r="L214" s="24" t="n"/>
      <c r="M214" s="24" t="n"/>
      <c r="N214" s="24" t="n"/>
      <c r="O214" s="34" t="n"/>
      <c r="P214" s="24" t="n"/>
      <c r="Q214" s="24" t="n"/>
      <c r="R214" s="24" t="n"/>
    </row>
    <row r="215" ht="15" customHeight="1" s="21">
      <c r="A215" s="34" t="n"/>
      <c r="B215" s="35" t="n"/>
      <c r="C215" s="34" t="n"/>
      <c r="D215" s="31" t="n"/>
      <c r="E215" s="24" t="n"/>
      <c r="F215" s="24" t="n"/>
      <c r="G215" s="24" t="n"/>
      <c r="H215" s="24" t="n"/>
      <c r="I215" s="24" t="n"/>
      <c r="J215" s="34" t="n"/>
      <c r="K215" s="24" t="n"/>
      <c r="L215" s="24" t="n"/>
      <c r="M215" s="24" t="n"/>
      <c r="N215" s="24" t="n"/>
      <c r="O215" s="34" t="n"/>
      <c r="P215" s="24" t="n"/>
      <c r="Q215" s="24" t="n"/>
      <c r="R215" s="24" t="n"/>
    </row>
    <row r="216" ht="15" customHeight="1" s="21">
      <c r="A216" s="34" t="n"/>
      <c r="B216" s="35" t="n"/>
      <c r="C216" s="34" t="n"/>
      <c r="D216" s="31" t="n"/>
      <c r="E216" s="24" t="n"/>
      <c r="F216" s="24" t="n"/>
      <c r="G216" s="24" t="n"/>
      <c r="H216" s="24" t="n"/>
      <c r="I216" s="24" t="n"/>
      <c r="J216" s="34" t="n"/>
      <c r="K216" s="24" t="n"/>
      <c r="L216" s="24" t="n"/>
      <c r="M216" s="24" t="n"/>
      <c r="N216" s="24" t="n"/>
      <c r="O216" s="34" t="n"/>
      <c r="P216" s="24" t="n"/>
      <c r="Q216" s="24" t="n"/>
      <c r="R216" s="24" t="n"/>
    </row>
    <row r="217" ht="15" customHeight="1" s="21">
      <c r="A217" s="34" t="n"/>
      <c r="B217" s="35" t="n"/>
      <c r="C217" s="34" t="n"/>
      <c r="D217" s="31" t="n"/>
      <c r="E217" s="24" t="n"/>
      <c r="F217" s="24" t="n"/>
      <c r="G217" s="24" t="n"/>
      <c r="H217" s="24" t="n"/>
      <c r="I217" s="24" t="n"/>
      <c r="J217" s="34" t="n"/>
      <c r="K217" s="24" t="n"/>
      <c r="L217" s="24" t="n"/>
      <c r="M217" s="24" t="n"/>
      <c r="N217" s="24" t="n"/>
      <c r="O217" s="34" t="n"/>
      <c r="P217" s="24" t="n"/>
      <c r="Q217" s="24" t="n"/>
      <c r="R217" s="24" t="n"/>
    </row>
    <row r="218" ht="15" customHeight="1" s="21">
      <c r="A218" s="34" t="n"/>
      <c r="B218" s="35" t="n"/>
      <c r="C218" s="34" t="n"/>
      <c r="D218" s="31" t="n"/>
      <c r="E218" s="24" t="n"/>
      <c r="F218" s="24" t="n"/>
      <c r="G218" s="24" t="n"/>
      <c r="H218" s="24" t="n"/>
      <c r="I218" s="24" t="n"/>
      <c r="J218" s="34" t="n"/>
      <c r="K218" s="24" t="n"/>
      <c r="L218" s="24" t="n"/>
      <c r="M218" s="24" t="n"/>
      <c r="N218" s="24" t="n"/>
      <c r="O218" s="34" t="n"/>
      <c r="P218" s="24" t="n"/>
      <c r="Q218" s="24" t="n"/>
      <c r="R218" s="24" t="n"/>
    </row>
    <row r="219" ht="15" customHeight="1" s="21">
      <c r="A219" s="34" t="n"/>
      <c r="B219" s="35" t="n"/>
      <c r="C219" s="34" t="n"/>
      <c r="D219" s="31" t="n"/>
      <c r="E219" s="24" t="n"/>
      <c r="F219" s="24" t="n"/>
      <c r="G219" s="24" t="n"/>
      <c r="H219" s="24" t="n"/>
      <c r="I219" s="24" t="n"/>
      <c r="J219" s="34" t="n"/>
      <c r="K219" s="24" t="n"/>
      <c r="L219" s="24" t="n"/>
      <c r="M219" s="24" t="n"/>
      <c r="N219" s="24" t="n"/>
      <c r="O219" s="34" t="n"/>
      <c r="P219" s="24" t="n"/>
      <c r="Q219" s="24" t="n"/>
      <c r="R219" s="24" t="n"/>
    </row>
    <row r="220" ht="15" customHeight="1" s="21">
      <c r="A220" s="34" t="n"/>
      <c r="B220" s="35" t="n"/>
      <c r="C220" s="34" t="n"/>
      <c r="D220" s="31" t="n"/>
      <c r="E220" s="24" t="n"/>
      <c r="F220" s="24" t="n"/>
      <c r="G220" s="24" t="n"/>
      <c r="H220" s="24" t="n"/>
      <c r="I220" s="24" t="n"/>
      <c r="J220" s="34" t="n"/>
      <c r="K220" s="24" t="n"/>
      <c r="L220" s="24" t="n"/>
      <c r="M220" s="24" t="n"/>
      <c r="N220" s="24" t="n"/>
      <c r="O220" s="34" t="n"/>
      <c r="P220" s="24" t="n"/>
      <c r="Q220" s="24" t="n"/>
      <c r="R220" s="24" t="n"/>
    </row>
    <row r="221" ht="15" customHeight="1" s="21">
      <c r="A221" s="34" t="n"/>
      <c r="B221" s="35" t="n"/>
      <c r="C221" s="34" t="n"/>
      <c r="D221" s="31" t="n"/>
      <c r="E221" s="24" t="n"/>
      <c r="F221" s="24" t="n"/>
      <c r="G221" s="24" t="n"/>
      <c r="H221" s="24" t="n"/>
      <c r="I221" s="24" t="n"/>
      <c r="J221" s="34" t="n"/>
      <c r="K221" s="24" t="n"/>
      <c r="L221" s="24" t="n"/>
      <c r="M221" s="24" t="n"/>
      <c r="N221" s="24" t="n"/>
      <c r="O221" s="34" t="n"/>
      <c r="P221" s="24" t="n"/>
      <c r="Q221" s="24" t="n"/>
      <c r="R221" s="24" t="n"/>
    </row>
    <row r="222" ht="15" customHeight="1" s="21">
      <c r="A222" s="34" t="n"/>
      <c r="B222" s="35" t="n"/>
      <c r="C222" s="34" t="n"/>
      <c r="D222" s="31" t="n"/>
      <c r="E222" s="24" t="n"/>
      <c r="F222" s="24" t="n"/>
      <c r="G222" s="24" t="n"/>
      <c r="H222" s="24" t="n"/>
      <c r="I222" s="24" t="n"/>
      <c r="J222" s="34" t="n"/>
      <c r="K222" s="24" t="n"/>
      <c r="L222" s="24" t="n"/>
      <c r="M222" s="24" t="n"/>
      <c r="N222" s="24" t="n"/>
      <c r="O222" s="34" t="n"/>
      <c r="P222" s="24" t="n"/>
      <c r="Q222" s="24" t="n"/>
      <c r="R222" s="24" t="n"/>
    </row>
    <row r="223" ht="15" customHeight="1" s="21">
      <c r="A223" s="34" t="n"/>
      <c r="B223" s="35" t="n"/>
      <c r="C223" s="34" t="n"/>
      <c r="D223" s="31" t="n"/>
      <c r="E223" s="24" t="n"/>
      <c r="F223" s="24" t="n"/>
      <c r="G223" s="24" t="n"/>
      <c r="H223" s="24" t="n"/>
      <c r="I223" s="24" t="n"/>
      <c r="J223" s="34" t="n"/>
      <c r="K223" s="24" t="n"/>
      <c r="L223" s="24" t="n"/>
      <c r="M223" s="24" t="n"/>
      <c r="N223" s="24" t="n"/>
      <c r="O223" s="34" t="n"/>
      <c r="P223" s="24" t="n"/>
      <c r="Q223" s="24" t="n"/>
      <c r="R223" s="24" t="n"/>
    </row>
    <row r="224" ht="15" customHeight="1" s="21">
      <c r="A224" s="34" t="n"/>
      <c r="B224" s="35" t="n"/>
      <c r="C224" s="34" t="n"/>
      <c r="D224" s="31" t="n"/>
      <c r="E224" s="24" t="n"/>
      <c r="F224" s="24" t="n"/>
      <c r="G224" s="24" t="n"/>
      <c r="H224" s="24" t="n"/>
      <c r="I224" s="24" t="n"/>
      <c r="J224" s="34" t="n"/>
      <c r="K224" s="24" t="n"/>
      <c r="L224" s="24" t="n"/>
      <c r="M224" s="24" t="n"/>
      <c r="N224" s="24" t="n"/>
      <c r="O224" s="34" t="n"/>
      <c r="P224" s="24" t="n"/>
      <c r="Q224" s="24" t="n"/>
      <c r="R224" s="24" t="n"/>
    </row>
    <row r="225" ht="15" customHeight="1" s="21">
      <c r="A225" s="34" t="n"/>
      <c r="B225" s="35" t="n"/>
      <c r="C225" s="34" t="n"/>
      <c r="D225" s="31" t="n"/>
      <c r="E225" s="24" t="n"/>
      <c r="F225" s="24" t="n"/>
      <c r="G225" s="24" t="n"/>
      <c r="H225" s="24" t="n"/>
      <c r="I225" s="24" t="n"/>
      <c r="J225" s="34" t="n"/>
      <c r="K225" s="24" t="n"/>
      <c r="L225" s="24" t="n"/>
      <c r="M225" s="24" t="n"/>
      <c r="N225" s="24" t="n"/>
      <c r="O225" s="34" t="n"/>
      <c r="P225" s="24" t="n"/>
      <c r="Q225" s="24" t="n"/>
      <c r="R225" s="24" t="n"/>
    </row>
    <row r="226" ht="15" customHeight="1" s="21">
      <c r="A226" s="34" t="n"/>
      <c r="B226" s="35" t="n"/>
      <c r="C226" s="34" t="n"/>
      <c r="D226" s="31" t="n"/>
      <c r="E226" s="24" t="n"/>
      <c r="F226" s="24" t="n"/>
      <c r="G226" s="24" t="n"/>
      <c r="H226" s="24" t="n"/>
      <c r="I226" s="24" t="n"/>
      <c r="J226" s="34" t="n"/>
      <c r="K226" s="24" t="n"/>
      <c r="L226" s="24" t="n"/>
      <c r="M226" s="24" t="n"/>
      <c r="N226" s="24" t="n"/>
      <c r="O226" s="34" t="n"/>
      <c r="P226" s="24" t="n"/>
      <c r="Q226" s="24" t="n"/>
      <c r="R226" s="24" t="n"/>
    </row>
    <row r="227" ht="15" customHeight="1" s="21">
      <c r="A227" s="34" t="n"/>
      <c r="B227" s="35" t="n"/>
      <c r="C227" s="34" t="n"/>
      <c r="D227" s="31" t="n"/>
      <c r="E227" s="24" t="n"/>
      <c r="F227" s="24" t="n"/>
      <c r="G227" s="24" t="n"/>
      <c r="H227" s="24" t="n"/>
      <c r="I227" s="24" t="n"/>
      <c r="J227" s="34" t="n"/>
      <c r="K227" s="24" t="n"/>
      <c r="L227" s="24" t="n"/>
      <c r="M227" s="24" t="n"/>
      <c r="N227" s="24" t="n"/>
      <c r="O227" s="34" t="n"/>
      <c r="P227" s="24" t="n"/>
      <c r="Q227" s="24" t="n"/>
      <c r="R227" s="24" t="n"/>
    </row>
    <row r="228" ht="15" customHeight="1" s="21">
      <c r="A228" s="34" t="n"/>
      <c r="B228" s="35" t="n"/>
      <c r="C228" s="34" t="n"/>
      <c r="D228" s="31" t="n"/>
      <c r="E228" s="24" t="n"/>
      <c r="F228" s="24" t="n"/>
      <c r="G228" s="24" t="n"/>
      <c r="H228" s="24" t="n"/>
      <c r="I228" s="24" t="n"/>
      <c r="J228" s="34" t="n"/>
      <c r="K228" s="24" t="n"/>
      <c r="L228" s="24" t="n"/>
      <c r="M228" s="24" t="n"/>
      <c r="N228" s="24" t="n"/>
      <c r="O228" s="34" t="n"/>
      <c r="P228" s="24" t="n"/>
      <c r="Q228" s="24" t="n"/>
      <c r="R228" s="24" t="n"/>
    </row>
    <row r="229" ht="15" customHeight="1" s="21">
      <c r="A229" s="34" t="n"/>
      <c r="B229" s="35" t="n"/>
      <c r="C229" s="34" t="n"/>
      <c r="D229" s="31" t="n"/>
      <c r="E229" s="24" t="n"/>
      <c r="F229" s="24" t="n"/>
      <c r="G229" s="24" t="n"/>
      <c r="H229" s="24" t="n"/>
      <c r="I229" s="24" t="n"/>
      <c r="J229" s="34" t="n"/>
      <c r="K229" s="24" t="n"/>
      <c r="L229" s="24" t="n"/>
      <c r="M229" s="24" t="n"/>
      <c r="N229" s="24" t="n"/>
      <c r="O229" s="34" t="n"/>
      <c r="P229" s="24" t="n"/>
      <c r="Q229" s="24" t="n"/>
      <c r="R229" s="24" t="n"/>
    </row>
    <row r="230" ht="15" customHeight="1" s="21">
      <c r="A230" s="34" t="n"/>
      <c r="B230" s="35" t="n"/>
      <c r="C230" s="34" t="n"/>
      <c r="D230" s="31" t="n"/>
      <c r="E230" s="24" t="n"/>
      <c r="F230" s="24" t="n"/>
      <c r="G230" s="24" t="n"/>
      <c r="H230" s="24" t="n"/>
      <c r="I230" s="24" t="n"/>
      <c r="J230" s="34" t="n"/>
      <c r="K230" s="24" t="n"/>
      <c r="L230" s="24" t="n"/>
      <c r="M230" s="24" t="n"/>
      <c r="N230" s="24" t="n"/>
      <c r="O230" s="34" t="n"/>
      <c r="P230" s="24" t="n"/>
      <c r="Q230" s="24" t="n"/>
      <c r="R230" s="24" t="n"/>
    </row>
    <row r="231" ht="15" customHeight="1" s="21">
      <c r="A231" s="34" t="n"/>
      <c r="B231" s="35" t="n"/>
      <c r="C231" s="34" t="n"/>
      <c r="D231" s="31" t="n"/>
      <c r="E231" s="24" t="n"/>
      <c r="F231" s="24" t="n"/>
      <c r="G231" s="24" t="n"/>
      <c r="H231" s="24" t="n"/>
      <c r="I231" s="24" t="n"/>
      <c r="J231" s="34" t="n"/>
      <c r="K231" s="24" t="n"/>
      <c r="L231" s="24" t="n"/>
      <c r="M231" s="24" t="n"/>
      <c r="N231" s="24" t="n"/>
      <c r="O231" s="34" t="n"/>
      <c r="P231" s="24" t="n"/>
      <c r="Q231" s="24" t="n"/>
      <c r="R231" s="24" t="n"/>
    </row>
    <row r="232" ht="15" customHeight="1" s="21">
      <c r="A232" s="34" t="n"/>
      <c r="B232" s="35" t="n"/>
      <c r="C232" s="34" t="n"/>
      <c r="D232" s="31" t="n"/>
      <c r="E232" s="24" t="n"/>
      <c r="F232" s="24" t="n"/>
      <c r="G232" s="24" t="n"/>
      <c r="H232" s="24" t="n"/>
      <c r="I232" s="24" t="n"/>
      <c r="J232" s="34" t="n"/>
      <c r="K232" s="24" t="n"/>
      <c r="L232" s="24" t="n"/>
      <c r="M232" s="24" t="n"/>
      <c r="N232" s="24" t="n"/>
      <c r="O232" s="34" t="n"/>
      <c r="P232" s="24" t="n"/>
      <c r="Q232" s="24" t="n"/>
      <c r="R232" s="24" t="n"/>
    </row>
    <row r="233" ht="15" customHeight="1" s="21">
      <c r="A233" s="34" t="n"/>
      <c r="B233" s="35" t="n"/>
      <c r="C233" s="34" t="n"/>
      <c r="D233" s="31" t="n"/>
      <c r="E233" s="24" t="n"/>
      <c r="F233" s="24" t="n"/>
      <c r="G233" s="24" t="n"/>
      <c r="H233" s="24" t="n"/>
      <c r="I233" s="24" t="n"/>
      <c r="J233" s="34" t="n"/>
      <c r="K233" s="24" t="n"/>
      <c r="L233" s="24" t="n"/>
      <c r="M233" s="24" t="n"/>
      <c r="N233" s="24" t="n"/>
      <c r="O233" s="34" t="n"/>
      <c r="P233" s="24" t="n"/>
      <c r="Q233" s="24" t="n"/>
      <c r="R233" s="24" t="n"/>
    </row>
    <row r="234" ht="15" customHeight="1" s="21">
      <c r="A234" s="34" t="n"/>
      <c r="B234" s="35" t="n"/>
      <c r="C234" s="34" t="n"/>
      <c r="D234" s="31" t="n"/>
      <c r="E234" s="24" t="n"/>
      <c r="F234" s="24" t="n"/>
      <c r="G234" s="24" t="n"/>
      <c r="H234" s="24" t="n"/>
      <c r="I234" s="24" t="n"/>
      <c r="J234" s="34" t="n"/>
      <c r="K234" s="24" t="n"/>
      <c r="L234" s="24" t="n"/>
      <c r="M234" s="24" t="n"/>
      <c r="N234" s="24" t="n"/>
      <c r="O234" s="34" t="n"/>
      <c r="P234" s="24" t="n"/>
      <c r="Q234" s="24" t="n"/>
      <c r="R234" s="24" t="n"/>
    </row>
    <row r="235" ht="15" customHeight="1" s="21">
      <c r="A235" s="34" t="n"/>
      <c r="B235" s="35" t="n"/>
      <c r="C235" s="34" t="n"/>
      <c r="D235" s="31" t="n"/>
      <c r="E235" s="24" t="n"/>
      <c r="F235" s="24" t="n"/>
      <c r="G235" s="24" t="n"/>
      <c r="H235" s="24" t="n"/>
      <c r="I235" s="24" t="n"/>
      <c r="J235" s="34" t="n"/>
      <c r="K235" s="24" t="n"/>
      <c r="L235" s="24" t="n"/>
      <c r="M235" s="24" t="n"/>
      <c r="N235" s="24" t="n"/>
      <c r="O235" s="34" t="n"/>
      <c r="P235" s="24" t="n"/>
      <c r="Q235" s="24" t="n"/>
      <c r="R235" s="24" t="n"/>
    </row>
    <row r="236" ht="15" customHeight="1" s="21">
      <c r="A236" s="34" t="n"/>
      <c r="B236" s="35" t="n"/>
      <c r="C236" s="34" t="n"/>
      <c r="D236" s="31" t="n"/>
      <c r="E236" s="24" t="n"/>
      <c r="F236" s="24" t="n"/>
      <c r="G236" s="24" t="n"/>
      <c r="H236" s="24" t="n"/>
      <c r="I236" s="24" t="n"/>
      <c r="J236" s="34" t="n"/>
      <c r="K236" s="24" t="n"/>
      <c r="L236" s="24" t="n"/>
      <c r="M236" s="24" t="n"/>
      <c r="N236" s="24" t="n"/>
      <c r="O236" s="34" t="n"/>
      <c r="P236" s="24" t="n"/>
      <c r="Q236" s="24" t="n"/>
      <c r="R236" s="24" t="n"/>
    </row>
    <row r="237" ht="15" customHeight="1" s="21">
      <c r="A237" s="34" t="n"/>
      <c r="B237" s="35" t="n"/>
      <c r="C237" s="34" t="n"/>
      <c r="D237" s="31" t="n"/>
      <c r="E237" s="24" t="n"/>
      <c r="F237" s="24" t="n"/>
      <c r="G237" s="24" t="n"/>
      <c r="H237" s="24" t="n"/>
      <c r="I237" s="24" t="n"/>
      <c r="J237" s="34" t="n"/>
      <c r="K237" s="24" t="n"/>
      <c r="L237" s="24" t="n"/>
      <c r="M237" s="24" t="n"/>
      <c r="N237" s="24" t="n"/>
      <c r="O237" s="34" t="n"/>
      <c r="P237" s="24" t="n"/>
      <c r="Q237" s="24" t="n"/>
      <c r="R237" s="24" t="n"/>
    </row>
    <row r="238" ht="15" customHeight="1" s="21">
      <c r="A238" s="34" t="n"/>
      <c r="B238" s="35" t="n"/>
      <c r="C238" s="34" t="n"/>
      <c r="D238" s="31" t="n"/>
      <c r="E238" s="24" t="n"/>
      <c r="F238" s="24" t="n"/>
      <c r="G238" s="24" t="n"/>
      <c r="H238" s="24" t="n"/>
      <c r="I238" s="24" t="n"/>
      <c r="J238" s="34" t="n"/>
      <c r="K238" s="24" t="n"/>
      <c r="L238" s="24" t="n"/>
      <c r="M238" s="24" t="n"/>
      <c r="N238" s="24" t="n"/>
      <c r="O238" s="34" t="n"/>
      <c r="P238" s="24" t="n"/>
      <c r="Q238" s="24" t="n"/>
      <c r="R238" s="24" t="n"/>
    </row>
    <row r="239" ht="15" customHeight="1" s="21">
      <c r="A239" s="34" t="n"/>
      <c r="B239" s="35" t="n"/>
      <c r="C239" s="34" t="n"/>
      <c r="D239" s="31" t="n"/>
      <c r="E239" s="24" t="n"/>
      <c r="F239" s="24" t="n"/>
      <c r="G239" s="24" t="n"/>
      <c r="H239" s="24" t="n"/>
      <c r="I239" s="24" t="n"/>
      <c r="J239" s="34" t="n"/>
      <c r="K239" s="24" t="n"/>
      <c r="L239" s="24" t="n"/>
      <c r="M239" s="24" t="n"/>
      <c r="N239" s="24" t="n"/>
      <c r="O239" s="34" t="n"/>
      <c r="P239" s="24" t="n"/>
      <c r="Q239" s="24" t="n"/>
      <c r="R239" s="24" t="n"/>
    </row>
    <row r="240" ht="15" customHeight="1" s="21">
      <c r="A240" s="34" t="n"/>
      <c r="B240" s="35" t="n"/>
      <c r="C240" s="34" t="n"/>
      <c r="D240" s="31" t="n"/>
      <c r="E240" s="24" t="n"/>
      <c r="F240" s="24" t="n"/>
      <c r="G240" s="24" t="n"/>
      <c r="H240" s="24" t="n"/>
      <c r="I240" s="24" t="n"/>
      <c r="J240" s="34" t="n"/>
      <c r="K240" s="24" t="n"/>
      <c r="L240" s="24" t="n"/>
      <c r="M240" s="24" t="n"/>
      <c r="N240" s="24" t="n"/>
      <c r="O240" s="34" t="n"/>
      <c r="P240" s="24" t="n"/>
      <c r="Q240" s="24" t="n"/>
      <c r="R240" s="24" t="n"/>
    </row>
    <row r="241" ht="15" customHeight="1" s="21">
      <c r="A241" s="34" t="n"/>
      <c r="B241" s="35" t="n"/>
      <c r="C241" s="34" t="n"/>
      <c r="D241" s="31" t="n"/>
      <c r="E241" s="24" t="n"/>
      <c r="F241" s="24" t="n"/>
      <c r="G241" s="24" t="n"/>
      <c r="H241" s="24" t="n"/>
      <c r="I241" s="24" t="n"/>
      <c r="J241" s="34" t="n"/>
      <c r="K241" s="24" t="n"/>
      <c r="L241" s="24" t="n"/>
      <c r="M241" s="24" t="n"/>
      <c r="N241" s="24" t="n"/>
      <c r="O241" s="34" t="n"/>
      <c r="P241" s="24" t="n"/>
      <c r="Q241" s="24" t="n"/>
      <c r="R241" s="24" t="n"/>
    </row>
    <row r="242" ht="15" customHeight="1" s="21">
      <c r="A242" s="34" t="n"/>
      <c r="B242" s="35" t="n"/>
      <c r="C242" s="34" t="n"/>
      <c r="D242" s="31" t="n"/>
      <c r="E242" s="24" t="n"/>
      <c r="F242" s="24" t="n"/>
      <c r="G242" s="24" t="n"/>
      <c r="H242" s="24" t="n"/>
      <c r="I242" s="24" t="n"/>
      <c r="J242" s="34" t="n"/>
      <c r="K242" s="24" t="n"/>
      <c r="L242" s="24" t="n"/>
      <c r="M242" s="24" t="n"/>
      <c r="N242" s="24" t="n"/>
      <c r="O242" s="34" t="n"/>
      <c r="P242" s="24" t="n"/>
      <c r="Q242" s="24" t="n"/>
      <c r="R242" s="24" t="n"/>
    </row>
    <row r="243" ht="15" customHeight="1" s="21">
      <c r="A243" s="34" t="n"/>
      <c r="B243" s="35" t="n"/>
      <c r="C243" s="34" t="n"/>
      <c r="D243" s="31" t="n"/>
      <c r="E243" s="24" t="n"/>
      <c r="F243" s="24" t="n"/>
      <c r="G243" s="24" t="n"/>
      <c r="H243" s="24" t="n"/>
      <c r="I243" s="24" t="n"/>
      <c r="J243" s="34" t="n"/>
      <c r="K243" s="24" t="n"/>
      <c r="L243" s="24" t="n"/>
      <c r="M243" s="24" t="n"/>
      <c r="N243" s="24" t="n"/>
      <c r="O243" s="34" t="n"/>
      <c r="P243" s="24" t="n"/>
      <c r="Q243" s="24" t="n"/>
      <c r="R243" s="24" t="n"/>
    </row>
    <row r="244" ht="15" customHeight="1" s="21">
      <c r="A244" s="34" t="n"/>
      <c r="B244" s="35" t="n"/>
      <c r="C244" s="34" t="n"/>
      <c r="D244" s="31" t="n"/>
      <c r="E244" s="24" t="n"/>
      <c r="F244" s="24" t="n"/>
      <c r="G244" s="24" t="n"/>
      <c r="H244" s="24" t="n"/>
      <c r="I244" s="24" t="n"/>
      <c r="J244" s="34" t="n"/>
      <c r="K244" s="24" t="n"/>
      <c r="L244" s="24" t="n"/>
      <c r="M244" s="24" t="n"/>
      <c r="N244" s="24" t="n"/>
      <c r="O244" s="34" t="n"/>
      <c r="P244" s="24" t="n"/>
      <c r="Q244" s="24" t="n"/>
      <c r="R244" s="24" t="n"/>
    </row>
    <row r="245" ht="15" customHeight="1" s="21">
      <c r="A245" s="34" t="n"/>
      <c r="B245" s="35" t="n"/>
      <c r="C245" s="34" t="n"/>
      <c r="D245" s="31" t="n"/>
      <c r="E245" s="24" t="n"/>
      <c r="F245" s="24" t="n"/>
      <c r="G245" s="24" t="n"/>
      <c r="H245" s="24" t="n"/>
      <c r="I245" s="24" t="n"/>
      <c r="J245" s="34" t="n"/>
      <c r="K245" s="24" t="n"/>
      <c r="L245" s="24" t="n"/>
      <c r="M245" s="24" t="n"/>
      <c r="N245" s="24" t="n"/>
      <c r="O245" s="34" t="n"/>
      <c r="P245" s="24" t="n"/>
      <c r="Q245" s="24" t="n"/>
      <c r="R245" s="24" t="n"/>
    </row>
    <row r="246" ht="15" customHeight="1" s="21">
      <c r="A246" s="34" t="n"/>
      <c r="B246" s="35" t="n"/>
      <c r="C246" s="34" t="n"/>
      <c r="D246" s="31" t="n"/>
      <c r="E246" s="24" t="n"/>
      <c r="F246" s="24" t="n"/>
      <c r="G246" s="24" t="n"/>
      <c r="H246" s="24" t="n"/>
      <c r="I246" s="24" t="n"/>
      <c r="J246" s="34" t="n"/>
      <c r="K246" s="24" t="n"/>
      <c r="L246" s="24" t="n"/>
      <c r="M246" s="24" t="n"/>
      <c r="N246" s="24" t="n"/>
      <c r="O246" s="34" t="n"/>
      <c r="P246" s="24" t="n"/>
      <c r="Q246" s="24" t="n"/>
      <c r="R246" s="24" t="n"/>
    </row>
    <row r="247" ht="15" customHeight="1" s="21">
      <c r="A247" s="34" t="n"/>
      <c r="B247" s="35" t="n"/>
      <c r="C247" s="34" t="n"/>
      <c r="D247" s="31" t="n"/>
      <c r="E247" s="24" t="n"/>
      <c r="F247" s="24" t="n"/>
      <c r="G247" s="24" t="n"/>
      <c r="H247" s="24" t="n"/>
      <c r="I247" s="24" t="n"/>
      <c r="J247" s="34" t="n"/>
      <c r="K247" s="24" t="n"/>
      <c r="L247" s="24" t="n"/>
      <c r="M247" s="24" t="n"/>
      <c r="N247" s="24" t="n"/>
      <c r="O247" s="34" t="n"/>
      <c r="P247" s="24" t="n"/>
      <c r="Q247" s="24" t="n"/>
      <c r="R247" s="24" t="n"/>
    </row>
    <row r="248" ht="15" customHeight="1" s="21">
      <c r="A248" s="34" t="n"/>
      <c r="B248" s="35" t="n"/>
      <c r="C248" s="34" t="n"/>
      <c r="D248" s="31" t="n"/>
      <c r="E248" s="24" t="n"/>
      <c r="F248" s="24" t="n"/>
      <c r="G248" s="24" t="n"/>
      <c r="H248" s="24" t="n"/>
      <c r="I248" s="24" t="n"/>
      <c r="J248" s="34" t="n"/>
      <c r="K248" s="24" t="n"/>
      <c r="L248" s="24" t="n"/>
      <c r="M248" s="24" t="n"/>
      <c r="N248" s="24" t="n"/>
      <c r="O248" s="34" t="n"/>
      <c r="P248" s="24" t="n"/>
      <c r="Q248" s="24" t="n"/>
      <c r="R248" s="24" t="n"/>
    </row>
    <row r="249" ht="15" customHeight="1" s="21">
      <c r="A249" s="34" t="n"/>
      <c r="B249" s="35" t="n"/>
      <c r="C249" s="34" t="n"/>
      <c r="D249" s="31" t="n"/>
      <c r="E249" s="24" t="n"/>
      <c r="F249" s="24" t="n"/>
      <c r="G249" s="24" t="n"/>
      <c r="H249" s="24" t="n"/>
      <c r="I249" s="24" t="n"/>
      <c r="J249" s="34" t="n"/>
      <c r="K249" s="24" t="n"/>
      <c r="L249" s="24" t="n"/>
      <c r="M249" s="24" t="n"/>
      <c r="N249" s="24" t="n"/>
      <c r="O249" s="34" t="n"/>
      <c r="P249" s="24" t="n"/>
      <c r="Q249" s="24" t="n"/>
      <c r="R249" s="24" t="n"/>
    </row>
    <row r="250" ht="15" customHeight="1" s="21">
      <c r="A250" s="34" t="n"/>
      <c r="B250" s="35" t="n"/>
      <c r="C250" s="34" t="n"/>
      <c r="D250" s="31" t="n"/>
      <c r="E250" s="24" t="n"/>
      <c r="F250" s="24" t="n"/>
      <c r="G250" s="24" t="n"/>
      <c r="H250" s="24" t="n"/>
      <c r="I250" s="24" t="n"/>
      <c r="J250" s="34" t="n"/>
      <c r="K250" s="24" t="n"/>
      <c r="L250" s="24" t="n"/>
      <c r="M250" s="24" t="n"/>
      <c r="N250" s="24" t="n"/>
      <c r="O250" s="34" t="n"/>
      <c r="P250" s="24" t="n"/>
      <c r="Q250" s="24" t="n"/>
      <c r="R250" s="24" t="n"/>
    </row>
    <row r="251" ht="15" customHeight="1" s="21">
      <c r="A251" s="34" t="n"/>
      <c r="B251" s="35" t="n"/>
      <c r="C251" s="34" t="n"/>
      <c r="D251" s="31" t="n"/>
      <c r="E251" s="24" t="n"/>
      <c r="F251" s="24" t="n"/>
      <c r="G251" s="24" t="n"/>
      <c r="H251" s="24" t="n"/>
      <c r="I251" s="24" t="n"/>
      <c r="J251" s="34" t="n"/>
      <c r="K251" s="24" t="n"/>
      <c r="L251" s="24" t="n"/>
      <c r="M251" s="24" t="n"/>
      <c r="N251" s="24" t="n"/>
      <c r="O251" s="34" t="n"/>
      <c r="P251" s="24" t="n"/>
      <c r="Q251" s="24" t="n"/>
      <c r="R251" s="24" t="n"/>
    </row>
    <row r="252" ht="15" customHeight="1" s="21">
      <c r="A252" s="34" t="n"/>
      <c r="B252" s="35" t="n"/>
      <c r="C252" s="34" t="n"/>
      <c r="D252" s="31" t="n"/>
      <c r="E252" s="24" t="n"/>
      <c r="F252" s="24" t="n"/>
      <c r="G252" s="24" t="n"/>
      <c r="H252" s="24" t="n"/>
      <c r="I252" s="24" t="n"/>
      <c r="J252" s="34" t="n"/>
      <c r="K252" s="24" t="n"/>
      <c r="L252" s="24" t="n"/>
      <c r="M252" s="24" t="n"/>
      <c r="N252" s="24" t="n"/>
      <c r="O252" s="34" t="n"/>
      <c r="P252" s="24" t="n"/>
      <c r="Q252" s="24" t="n"/>
      <c r="R252" s="24" t="n"/>
    </row>
    <row r="253" ht="15" customHeight="1" s="21">
      <c r="A253" s="34" t="n"/>
      <c r="B253" s="35" t="n"/>
      <c r="C253" s="34" t="n"/>
      <c r="D253" s="31" t="n"/>
      <c r="E253" s="24" t="n"/>
      <c r="F253" s="24" t="n"/>
      <c r="G253" s="24" t="n"/>
      <c r="H253" s="24" t="n"/>
      <c r="I253" s="24" t="n"/>
      <c r="J253" s="34" t="n"/>
      <c r="K253" s="24" t="n"/>
      <c r="L253" s="24" t="n"/>
      <c r="M253" s="24" t="n"/>
      <c r="N253" s="24" t="n"/>
      <c r="O253" s="34" t="n"/>
      <c r="P253" s="24" t="n"/>
      <c r="Q253" s="24" t="n"/>
      <c r="R253" s="24" t="n"/>
    </row>
    <row r="254" ht="15" customHeight="1" s="21">
      <c r="A254" s="34" t="n"/>
      <c r="B254" s="35" t="n"/>
      <c r="C254" s="34" t="n"/>
      <c r="D254" s="31" t="n"/>
      <c r="E254" s="24" t="n"/>
      <c r="F254" s="24" t="n"/>
      <c r="G254" s="24" t="n"/>
      <c r="H254" s="24" t="n"/>
      <c r="I254" s="24" t="n"/>
      <c r="J254" s="34" t="n"/>
      <c r="K254" s="24" t="n"/>
      <c r="L254" s="24" t="n"/>
      <c r="M254" s="24" t="n"/>
      <c r="N254" s="24" t="n"/>
      <c r="O254" s="34" t="n"/>
      <c r="P254" s="24" t="n"/>
      <c r="Q254" s="24" t="n"/>
      <c r="R254" s="24" t="n"/>
    </row>
    <row r="255" ht="15" customHeight="1" s="21">
      <c r="A255" s="34" t="n"/>
      <c r="B255" s="35" t="n"/>
      <c r="C255" s="34" t="n"/>
      <c r="D255" s="31" t="n"/>
      <c r="E255" s="24" t="n"/>
      <c r="F255" s="24" t="n"/>
      <c r="G255" s="24" t="n"/>
      <c r="H255" s="24" t="n"/>
      <c r="I255" s="24" t="n"/>
      <c r="J255" s="34" t="n"/>
      <c r="K255" s="24" t="n"/>
      <c r="L255" s="24" t="n"/>
      <c r="M255" s="24" t="n"/>
      <c r="N255" s="24" t="n"/>
      <c r="O255" s="34" t="n"/>
      <c r="P255" s="24" t="n"/>
      <c r="Q255" s="24" t="n"/>
      <c r="R255" s="24" t="n"/>
    </row>
    <row r="256" ht="15" customHeight="1" s="21">
      <c r="A256" s="34" t="n"/>
      <c r="B256" s="35" t="n"/>
      <c r="C256" s="34" t="n"/>
      <c r="D256" s="31" t="n"/>
      <c r="E256" s="24" t="n"/>
      <c r="F256" s="24" t="n"/>
      <c r="G256" s="24" t="n"/>
      <c r="H256" s="24" t="n"/>
      <c r="I256" s="24" t="n"/>
      <c r="J256" s="34" t="n"/>
      <c r="K256" s="24" t="n"/>
      <c r="L256" s="24" t="n"/>
      <c r="M256" s="24" t="n"/>
      <c r="N256" s="24" t="n"/>
      <c r="O256" s="34" t="n"/>
      <c r="P256" s="24" t="n"/>
      <c r="Q256" s="24" t="n"/>
      <c r="R256" s="24" t="n"/>
    </row>
    <row r="257" ht="15" customHeight="1" s="21">
      <c r="A257" s="34" t="n"/>
      <c r="B257" s="35" t="n"/>
      <c r="C257" s="34" t="n"/>
      <c r="D257" s="31" t="n"/>
      <c r="E257" s="24" t="n"/>
      <c r="F257" s="24" t="n"/>
      <c r="G257" s="24" t="n"/>
      <c r="H257" s="24" t="n"/>
      <c r="I257" s="24" t="n"/>
      <c r="J257" s="34" t="n"/>
      <c r="K257" s="24" t="n"/>
      <c r="L257" s="24" t="n"/>
      <c r="M257" s="24" t="n"/>
      <c r="N257" s="24" t="n"/>
      <c r="O257" s="34" t="n"/>
      <c r="P257" s="24" t="n"/>
      <c r="Q257" s="24" t="n"/>
      <c r="R257" s="24" t="n"/>
    </row>
    <row r="258" ht="15" customHeight="1" s="21">
      <c r="A258" s="34" t="n"/>
      <c r="B258" s="35" t="n"/>
      <c r="C258" s="34" t="n"/>
      <c r="D258" s="31" t="n"/>
      <c r="E258" s="24" t="n"/>
      <c r="F258" s="24" t="n"/>
      <c r="G258" s="24" t="n"/>
      <c r="H258" s="24" t="n"/>
      <c r="I258" s="24" t="n"/>
      <c r="J258" s="34" t="n"/>
      <c r="K258" s="24" t="n"/>
      <c r="L258" s="24" t="n"/>
      <c r="M258" s="24" t="n"/>
      <c r="N258" s="24" t="n"/>
      <c r="O258" s="34" t="n"/>
      <c r="P258" s="24" t="n"/>
      <c r="Q258" s="24" t="n"/>
      <c r="R258" s="24" t="n"/>
    </row>
    <row r="259" ht="15" customHeight="1" s="21">
      <c r="A259" s="34" t="n"/>
      <c r="B259" s="35" t="n"/>
      <c r="C259" s="34" t="n"/>
      <c r="D259" s="31" t="n"/>
      <c r="E259" s="24" t="n"/>
      <c r="F259" s="24" t="n"/>
      <c r="G259" s="24" t="n"/>
      <c r="H259" s="24" t="n"/>
      <c r="I259" s="24" t="n"/>
      <c r="J259" s="34" t="n"/>
      <c r="K259" s="24" t="n"/>
      <c r="L259" s="24" t="n"/>
      <c r="M259" s="24" t="n"/>
      <c r="N259" s="24" t="n"/>
      <c r="O259" s="34" t="n"/>
      <c r="P259" s="24" t="n"/>
      <c r="Q259" s="24" t="n"/>
      <c r="R259" s="24" t="n"/>
    </row>
    <row r="260" ht="15" customHeight="1" s="21">
      <c r="A260" s="34" t="n"/>
      <c r="B260" s="35" t="n"/>
      <c r="C260" s="34" t="n"/>
      <c r="D260" s="31" t="n"/>
      <c r="E260" s="24" t="n"/>
      <c r="F260" s="24" t="n"/>
      <c r="G260" s="24" t="n"/>
      <c r="H260" s="24" t="n"/>
      <c r="I260" s="24" t="n"/>
      <c r="J260" s="34" t="n"/>
      <c r="K260" s="24" t="n"/>
      <c r="L260" s="24" t="n"/>
      <c r="M260" s="24" t="n"/>
      <c r="N260" s="24" t="n"/>
      <c r="O260" s="34" t="n"/>
      <c r="P260" s="24" t="n"/>
      <c r="Q260" s="24" t="n"/>
      <c r="R260" s="24" t="n"/>
    </row>
    <row r="261" ht="15" customHeight="1" s="21">
      <c r="A261" s="34" t="n"/>
      <c r="B261" s="35" t="n"/>
      <c r="C261" s="34" t="n"/>
      <c r="D261" s="31" t="n"/>
      <c r="E261" s="24" t="n"/>
      <c r="F261" s="24" t="n"/>
      <c r="G261" s="24" t="n"/>
      <c r="H261" s="24" t="n"/>
      <c r="I261" s="24" t="n"/>
      <c r="J261" s="34" t="n"/>
      <c r="K261" s="24" t="n"/>
      <c r="L261" s="24" t="n"/>
      <c r="M261" s="24" t="n"/>
      <c r="N261" s="24" t="n"/>
      <c r="O261" s="34" t="n"/>
      <c r="P261" s="24" t="n"/>
      <c r="Q261" s="24" t="n"/>
      <c r="R261" s="24" t="n"/>
    </row>
    <row r="262" ht="15" customHeight="1" s="21">
      <c r="A262" s="34" t="n"/>
      <c r="B262" s="35" t="n"/>
      <c r="C262" s="34" t="n"/>
      <c r="D262" s="31" t="n"/>
      <c r="E262" s="24" t="n"/>
      <c r="F262" s="24" t="n"/>
      <c r="G262" s="24" t="n"/>
      <c r="H262" s="24" t="n"/>
      <c r="I262" s="24" t="n"/>
      <c r="J262" s="34" t="n"/>
      <c r="K262" s="24" t="n"/>
      <c r="L262" s="24" t="n"/>
      <c r="M262" s="24" t="n"/>
      <c r="N262" s="24" t="n"/>
      <c r="O262" s="34" t="n"/>
      <c r="P262" s="24" t="n"/>
      <c r="Q262" s="24" t="n"/>
      <c r="R262" s="24" t="n"/>
    </row>
    <row r="263" ht="15" customHeight="1" s="21">
      <c r="A263" s="34" t="n"/>
      <c r="B263" s="35" t="n"/>
      <c r="C263" s="34" t="n"/>
      <c r="D263" s="31" t="n"/>
      <c r="E263" s="24" t="n"/>
      <c r="F263" s="24" t="n"/>
      <c r="G263" s="24" t="n"/>
      <c r="H263" s="24" t="n"/>
      <c r="I263" s="24" t="n"/>
      <c r="J263" s="34" t="n"/>
      <c r="K263" s="24" t="n"/>
      <c r="L263" s="24" t="n"/>
      <c r="M263" s="24" t="n"/>
      <c r="N263" s="24" t="n"/>
      <c r="O263" s="34" t="n"/>
      <c r="P263" s="24" t="n"/>
      <c r="Q263" s="24" t="n"/>
      <c r="R263" s="24" t="n"/>
    </row>
    <row r="264" ht="15" customHeight="1" s="21">
      <c r="A264" s="34" t="n"/>
      <c r="B264" s="35" t="n"/>
      <c r="C264" s="34" t="n"/>
      <c r="D264" s="31" t="n"/>
      <c r="E264" s="24" t="n"/>
      <c r="F264" s="24" t="n"/>
      <c r="G264" s="24" t="n"/>
      <c r="H264" s="24" t="n"/>
      <c r="I264" s="24" t="n"/>
      <c r="J264" s="34" t="n"/>
      <c r="K264" s="24" t="n"/>
      <c r="L264" s="24" t="n"/>
      <c r="M264" s="24" t="n"/>
      <c r="N264" s="24" t="n"/>
      <c r="O264" s="34" t="n"/>
      <c r="P264" s="24" t="n"/>
      <c r="Q264" s="24" t="n"/>
      <c r="R264" s="24" t="n"/>
    </row>
    <row r="265" ht="15" customHeight="1" s="21">
      <c r="A265" s="34" t="n"/>
      <c r="B265" s="35" t="n"/>
      <c r="C265" s="34" t="n"/>
      <c r="D265" s="31" t="n"/>
      <c r="E265" s="24" t="n"/>
      <c r="F265" s="24" t="n"/>
      <c r="G265" s="24" t="n"/>
      <c r="H265" s="24" t="n"/>
      <c r="I265" s="24" t="n"/>
      <c r="J265" s="34" t="n"/>
      <c r="K265" s="24" t="n"/>
      <c r="L265" s="24" t="n"/>
      <c r="M265" s="24" t="n"/>
      <c r="N265" s="24" t="n"/>
      <c r="O265" s="34" t="n"/>
      <c r="P265" s="24" t="n"/>
      <c r="Q265" s="24" t="n"/>
      <c r="R265" s="24" t="n"/>
    </row>
    <row r="266" ht="15" customHeight="1" s="21">
      <c r="A266" s="34" t="n"/>
      <c r="B266" s="35" t="n"/>
      <c r="C266" s="34" t="n"/>
      <c r="D266" s="31" t="n"/>
      <c r="E266" s="24" t="n"/>
      <c r="F266" s="24" t="n"/>
      <c r="G266" s="24" t="n"/>
      <c r="H266" s="24" t="n"/>
      <c r="I266" s="24" t="n"/>
      <c r="J266" s="34" t="n"/>
      <c r="K266" s="24" t="n"/>
      <c r="L266" s="24" t="n"/>
      <c r="M266" s="24" t="n"/>
      <c r="N266" s="24" t="n"/>
      <c r="O266" s="34" t="n"/>
      <c r="P266" s="24" t="n"/>
      <c r="Q266" s="24" t="n"/>
      <c r="R266" s="24" t="n"/>
    </row>
    <row r="267" ht="15" customHeight="1" s="21">
      <c r="A267" s="34" t="n"/>
      <c r="B267" s="35" t="n"/>
      <c r="C267" s="34" t="n"/>
      <c r="D267" s="31" t="n"/>
      <c r="E267" s="24" t="n"/>
      <c r="F267" s="24" t="n"/>
      <c r="G267" s="24" t="n"/>
      <c r="H267" s="24" t="n"/>
      <c r="I267" s="24" t="n"/>
      <c r="J267" s="34" t="n"/>
      <c r="K267" s="24" t="n"/>
      <c r="L267" s="24" t="n"/>
      <c r="M267" s="24" t="n"/>
      <c r="N267" s="24" t="n"/>
      <c r="O267" s="34" t="n"/>
      <c r="P267" s="24" t="n"/>
      <c r="Q267" s="24" t="n"/>
      <c r="R267" s="24" t="n"/>
    </row>
    <row r="268" ht="15" customHeight="1" s="21">
      <c r="A268" s="34" t="n"/>
      <c r="B268" s="35" t="n"/>
      <c r="C268" s="34" t="n"/>
      <c r="D268" s="31" t="n"/>
      <c r="E268" s="24" t="n"/>
      <c r="F268" s="24" t="n"/>
      <c r="G268" s="24" t="n"/>
      <c r="H268" s="24" t="n"/>
      <c r="I268" s="24" t="n"/>
      <c r="J268" s="34" t="n"/>
      <c r="K268" s="24" t="n"/>
      <c r="L268" s="24" t="n"/>
      <c r="M268" s="24" t="n"/>
      <c r="N268" s="24" t="n"/>
      <c r="O268" s="34" t="n"/>
      <c r="P268" s="24" t="n"/>
      <c r="Q268" s="24" t="n"/>
      <c r="R268" s="24" t="n"/>
    </row>
    <row r="269" ht="15" customHeight="1" s="21">
      <c r="A269" s="34" t="n"/>
      <c r="B269" s="35" t="n"/>
      <c r="C269" s="34" t="n"/>
      <c r="D269" s="31" t="n"/>
      <c r="E269" s="24" t="n"/>
      <c r="F269" s="24" t="n"/>
      <c r="G269" s="24" t="n"/>
      <c r="H269" s="24" t="n"/>
      <c r="I269" s="24" t="n"/>
      <c r="J269" s="34" t="n"/>
      <c r="K269" s="24" t="n"/>
      <c r="L269" s="24" t="n"/>
      <c r="M269" s="24" t="n"/>
      <c r="N269" s="24" t="n"/>
      <c r="O269" s="34" t="n"/>
      <c r="P269" s="24" t="n"/>
      <c r="Q269" s="24" t="n"/>
      <c r="R269" s="24" t="n"/>
    </row>
    <row r="270" ht="15" customHeight="1" s="21">
      <c r="A270" s="34" t="n"/>
      <c r="B270" s="35" t="n"/>
      <c r="C270" s="34" t="n"/>
      <c r="D270" s="31" t="n"/>
      <c r="E270" s="24" t="n"/>
      <c r="F270" s="24" t="n"/>
      <c r="G270" s="24" t="n"/>
      <c r="H270" s="24" t="n"/>
      <c r="I270" s="24" t="n"/>
      <c r="J270" s="34" t="n"/>
      <c r="K270" s="24" t="n"/>
      <c r="L270" s="24" t="n"/>
      <c r="M270" s="24" t="n"/>
      <c r="N270" s="24" t="n"/>
      <c r="O270" s="34" t="n"/>
      <c r="P270" s="24" t="n"/>
      <c r="Q270" s="24" t="n"/>
      <c r="R270" s="24" t="n"/>
    </row>
    <row r="271" ht="15" customHeight="1" s="21">
      <c r="A271" s="34" t="n"/>
      <c r="B271" s="35" t="n"/>
      <c r="C271" s="34" t="n"/>
      <c r="D271" s="31" t="n"/>
      <c r="E271" s="24" t="n"/>
      <c r="F271" s="24" t="n"/>
      <c r="G271" s="24" t="n"/>
      <c r="H271" s="24" t="n"/>
      <c r="I271" s="24" t="n"/>
      <c r="J271" s="34" t="n"/>
      <c r="K271" s="24" t="n"/>
      <c r="L271" s="24" t="n"/>
      <c r="M271" s="24" t="n"/>
      <c r="N271" s="24" t="n"/>
      <c r="O271" s="34" t="n"/>
      <c r="P271" s="24" t="n"/>
      <c r="Q271" s="24" t="n"/>
      <c r="R271" s="24" t="n"/>
    </row>
    <row r="272" ht="15" customHeight="1" s="21">
      <c r="A272" s="34" t="n"/>
      <c r="B272" s="35" t="n"/>
      <c r="C272" s="34" t="n"/>
      <c r="D272" s="31" t="n"/>
      <c r="E272" s="24" t="n"/>
      <c r="F272" s="24" t="n"/>
      <c r="G272" s="24" t="n"/>
      <c r="H272" s="24" t="n"/>
      <c r="I272" s="24" t="n"/>
      <c r="J272" s="34" t="n"/>
      <c r="K272" s="24" t="n"/>
      <c r="L272" s="24" t="n"/>
      <c r="M272" s="24" t="n"/>
      <c r="N272" s="24" t="n"/>
      <c r="O272" s="34" t="n"/>
      <c r="P272" s="24" t="n"/>
      <c r="Q272" s="24" t="n"/>
      <c r="R272" s="24" t="n"/>
    </row>
    <row r="273" ht="15" customHeight="1" s="21">
      <c r="A273" s="34" t="n"/>
      <c r="B273" s="35" t="n"/>
      <c r="C273" s="34" t="n"/>
      <c r="D273" s="31" t="n"/>
      <c r="E273" s="24" t="n"/>
      <c r="F273" s="24" t="n"/>
      <c r="G273" s="24" t="n"/>
      <c r="H273" s="24" t="n"/>
      <c r="I273" s="24" t="n"/>
      <c r="J273" s="34" t="n"/>
      <c r="K273" s="24" t="n"/>
      <c r="L273" s="24" t="n"/>
      <c r="M273" s="24" t="n"/>
      <c r="N273" s="24" t="n"/>
      <c r="O273" s="34" t="n"/>
      <c r="P273" s="24" t="n"/>
      <c r="Q273" s="24" t="n"/>
      <c r="R273" s="24" t="n"/>
    </row>
    <row r="274" ht="15" customHeight="1" s="21">
      <c r="A274" s="34" t="n"/>
      <c r="B274" s="35" t="n"/>
      <c r="C274" s="34" t="n"/>
      <c r="D274" s="31" t="n"/>
      <c r="E274" s="24" t="n"/>
      <c r="F274" s="24" t="n"/>
      <c r="G274" s="24" t="n"/>
      <c r="H274" s="24" t="n"/>
      <c r="I274" s="24" t="n"/>
      <c r="J274" s="34" t="n"/>
      <c r="K274" s="24" t="n"/>
      <c r="L274" s="24" t="n"/>
      <c r="M274" s="24" t="n"/>
      <c r="N274" s="24" t="n"/>
      <c r="O274" s="34" t="n"/>
      <c r="P274" s="24" t="n"/>
      <c r="Q274" s="24" t="n"/>
      <c r="R274" s="24" t="n"/>
    </row>
    <row r="275" ht="15" customHeight="1" s="21">
      <c r="A275" s="34" t="n"/>
      <c r="B275" s="35" t="n"/>
      <c r="C275" s="34" t="n"/>
      <c r="D275" s="31" t="n"/>
      <c r="E275" s="24" t="n"/>
      <c r="F275" s="24" t="n"/>
      <c r="G275" s="24" t="n"/>
      <c r="H275" s="24" t="n"/>
      <c r="I275" s="24" t="n"/>
      <c r="J275" s="34" t="n"/>
      <c r="K275" s="24" t="n"/>
      <c r="L275" s="24" t="n"/>
      <c r="M275" s="24" t="n"/>
      <c r="N275" s="24" t="n"/>
      <c r="O275" s="34" t="n"/>
      <c r="P275" s="24" t="n"/>
      <c r="Q275" s="24" t="n"/>
      <c r="R275" s="24" t="n"/>
    </row>
    <row r="276" ht="15" customHeight="1" s="21">
      <c r="A276" s="34" t="n"/>
      <c r="B276" s="35" t="n"/>
      <c r="C276" s="34" t="n"/>
      <c r="D276" s="31" t="n"/>
      <c r="E276" s="24" t="n"/>
      <c r="F276" s="24" t="n"/>
      <c r="G276" s="24" t="n"/>
      <c r="H276" s="24" t="n"/>
      <c r="I276" s="24" t="n"/>
      <c r="J276" s="34" t="n"/>
      <c r="K276" s="24" t="n"/>
      <c r="L276" s="24" t="n"/>
      <c r="M276" s="24" t="n"/>
      <c r="N276" s="24" t="n"/>
      <c r="O276" s="34" t="n"/>
      <c r="P276" s="24" t="n"/>
      <c r="Q276" s="24" t="n"/>
      <c r="R276" s="24" t="n"/>
    </row>
    <row r="277" ht="15" customHeight="1" s="21">
      <c r="A277" s="34" t="n"/>
      <c r="B277" s="35" t="n"/>
      <c r="C277" s="34" t="n"/>
      <c r="D277" s="31" t="n"/>
      <c r="E277" s="24" t="n"/>
      <c r="F277" s="24" t="n"/>
      <c r="G277" s="24" t="n"/>
      <c r="H277" s="24" t="n"/>
      <c r="I277" s="24" t="n"/>
      <c r="J277" s="34" t="n"/>
      <c r="K277" s="24" t="n"/>
      <c r="L277" s="24" t="n"/>
      <c r="M277" s="24" t="n"/>
      <c r="N277" s="24" t="n"/>
      <c r="O277" s="34" t="n"/>
      <c r="P277" s="24" t="n"/>
      <c r="Q277" s="24" t="n"/>
      <c r="R277" s="24" t="n"/>
    </row>
    <row r="278" ht="15" customHeight="1" s="21">
      <c r="A278" s="34" t="n"/>
      <c r="B278" s="35" t="n"/>
      <c r="C278" s="34" t="n"/>
      <c r="D278" s="31" t="n"/>
      <c r="E278" s="24" t="n"/>
      <c r="F278" s="24" t="n"/>
      <c r="G278" s="24" t="n"/>
      <c r="H278" s="24" t="n"/>
      <c r="I278" s="24" t="n"/>
      <c r="J278" s="34" t="n"/>
      <c r="K278" s="24" t="n"/>
      <c r="L278" s="24" t="n"/>
      <c r="M278" s="24" t="n"/>
      <c r="N278" s="24" t="n"/>
      <c r="O278" s="34" t="n"/>
      <c r="P278" s="24" t="n"/>
      <c r="Q278" s="24" t="n"/>
      <c r="R278" s="24" t="n"/>
    </row>
    <row r="279" ht="15" customHeight="1" s="21">
      <c r="A279" s="34" t="n"/>
      <c r="B279" s="35" t="n"/>
      <c r="C279" s="34" t="n"/>
      <c r="D279" s="31" t="n"/>
      <c r="E279" s="24" t="n"/>
      <c r="F279" s="24" t="n"/>
      <c r="G279" s="24" t="n"/>
      <c r="H279" s="24" t="n"/>
      <c r="I279" s="24" t="n"/>
      <c r="J279" s="34" t="n"/>
      <c r="K279" s="24" t="n"/>
      <c r="L279" s="24" t="n"/>
      <c r="M279" s="24" t="n"/>
      <c r="N279" s="24" t="n"/>
      <c r="O279" s="34" t="n"/>
      <c r="P279" s="24" t="n"/>
      <c r="Q279" s="24" t="n"/>
      <c r="R279" s="24" t="n"/>
    </row>
    <row r="280" ht="15" customHeight="1" s="21">
      <c r="A280" s="34" t="n"/>
      <c r="B280" s="35" t="n"/>
      <c r="C280" s="34" t="n"/>
      <c r="D280" s="31" t="n"/>
      <c r="E280" s="24" t="n"/>
      <c r="F280" s="24" t="n"/>
      <c r="G280" s="24" t="n"/>
      <c r="H280" s="24" t="n"/>
      <c r="I280" s="24" t="n"/>
      <c r="J280" s="34" t="n"/>
      <c r="K280" s="24" t="n"/>
      <c r="L280" s="24" t="n"/>
      <c r="M280" s="24" t="n"/>
      <c r="N280" s="24" t="n"/>
      <c r="O280" s="34" t="n"/>
      <c r="P280" s="24" t="n"/>
      <c r="Q280" s="24" t="n"/>
      <c r="R280" s="24" t="n"/>
    </row>
    <row r="281" ht="15" customHeight="1" s="21">
      <c r="A281" s="34" t="n"/>
      <c r="B281" s="35" t="n"/>
      <c r="C281" s="34" t="n"/>
      <c r="D281" s="31" t="n"/>
      <c r="E281" s="24" t="n"/>
      <c r="F281" s="24" t="n"/>
      <c r="G281" s="24" t="n"/>
      <c r="H281" s="24" t="n"/>
      <c r="I281" s="24" t="n"/>
      <c r="J281" s="34" t="n"/>
      <c r="K281" s="24" t="n"/>
      <c r="L281" s="24" t="n"/>
      <c r="M281" s="24" t="n"/>
      <c r="N281" s="24" t="n"/>
      <c r="O281" s="34" t="n"/>
      <c r="P281" s="24" t="n"/>
      <c r="Q281" s="24" t="n"/>
      <c r="R281" s="24" t="n"/>
    </row>
    <row r="282" ht="15" customHeight="1" s="21">
      <c r="A282" s="34" t="n"/>
      <c r="B282" s="35" t="n"/>
      <c r="C282" s="34" t="n"/>
      <c r="D282" s="31" t="n"/>
      <c r="E282" s="24" t="n"/>
      <c r="F282" s="24" t="n"/>
      <c r="G282" s="24" t="n"/>
      <c r="H282" s="24" t="n"/>
      <c r="I282" s="24" t="n"/>
      <c r="J282" s="34" t="n"/>
      <c r="K282" s="24" t="n"/>
      <c r="L282" s="24" t="n"/>
      <c r="M282" s="24" t="n"/>
      <c r="N282" s="24" t="n"/>
      <c r="O282" s="34" t="n"/>
      <c r="P282" s="24" t="n"/>
      <c r="Q282" s="24" t="n"/>
      <c r="R282" s="24" t="n"/>
    </row>
    <row r="283" ht="15" customHeight="1" s="21">
      <c r="A283" s="34" t="n"/>
      <c r="B283" s="35" t="n"/>
      <c r="C283" s="34" t="n"/>
      <c r="D283" s="31" t="n"/>
      <c r="E283" s="24" t="n"/>
      <c r="F283" s="24" t="n"/>
      <c r="G283" s="24" t="n"/>
      <c r="H283" s="24" t="n"/>
      <c r="I283" s="24" t="n"/>
      <c r="J283" s="34" t="n"/>
      <c r="K283" s="24" t="n"/>
      <c r="L283" s="24" t="n"/>
      <c r="M283" s="24" t="n"/>
      <c r="N283" s="24" t="n"/>
      <c r="O283" s="34" t="n"/>
      <c r="P283" s="24" t="n"/>
      <c r="Q283" s="24" t="n"/>
      <c r="R283" s="24" t="n"/>
    </row>
    <row r="284" ht="15" customHeight="1" s="21">
      <c r="A284" s="34" t="n"/>
      <c r="B284" s="35" t="n"/>
      <c r="C284" s="34" t="n"/>
      <c r="D284" s="31" t="n"/>
      <c r="E284" s="24" t="n"/>
      <c r="F284" s="24" t="n"/>
      <c r="G284" s="24" t="n"/>
      <c r="H284" s="24" t="n"/>
      <c r="I284" s="24" t="n"/>
      <c r="J284" s="34" t="n"/>
      <c r="K284" s="24" t="n"/>
      <c r="L284" s="24" t="n"/>
      <c r="M284" s="24" t="n"/>
      <c r="N284" s="24" t="n"/>
      <c r="O284" s="34" t="n"/>
      <c r="P284" s="24" t="n"/>
      <c r="Q284" s="24" t="n"/>
      <c r="R284" s="24" t="n"/>
    </row>
    <row r="285" ht="15" customHeight="1" s="21">
      <c r="A285" s="34" t="n"/>
      <c r="B285" s="35" t="n"/>
      <c r="C285" s="34" t="n"/>
      <c r="D285" s="31" t="n"/>
      <c r="E285" s="24" t="n"/>
      <c r="F285" s="24" t="n"/>
      <c r="G285" s="24" t="n"/>
      <c r="H285" s="24" t="n"/>
      <c r="I285" s="24" t="n"/>
      <c r="J285" s="34" t="n"/>
      <c r="K285" s="24" t="n"/>
      <c r="L285" s="24" t="n"/>
      <c r="M285" s="24" t="n"/>
      <c r="N285" s="24" t="n"/>
      <c r="O285" s="34" t="n"/>
      <c r="P285" s="24" t="n"/>
      <c r="Q285" s="24" t="n"/>
      <c r="R285" s="24" t="n"/>
    </row>
    <row r="286" ht="15" customHeight="1" s="21">
      <c r="A286" s="34" t="n"/>
      <c r="B286" s="35" t="n"/>
      <c r="C286" s="34" t="n"/>
      <c r="D286" s="31" t="n"/>
      <c r="E286" s="24" t="n"/>
      <c r="F286" s="24" t="n"/>
      <c r="G286" s="24" t="n"/>
      <c r="H286" s="24" t="n"/>
      <c r="I286" s="24" t="n"/>
      <c r="J286" s="34" t="n"/>
      <c r="K286" s="24" t="n"/>
      <c r="L286" s="24" t="n"/>
      <c r="M286" s="24" t="n"/>
      <c r="N286" s="24" t="n"/>
      <c r="O286" s="34" t="n"/>
      <c r="P286" s="24" t="n"/>
      <c r="Q286" s="24" t="n"/>
      <c r="R286" s="24" t="n"/>
    </row>
    <row r="287" ht="15" customHeight="1" s="21">
      <c r="A287" s="34" t="n"/>
      <c r="B287" s="35" t="n"/>
      <c r="C287" s="34" t="n"/>
      <c r="D287" s="31" t="n"/>
      <c r="E287" s="24" t="n"/>
      <c r="F287" s="24" t="n"/>
      <c r="G287" s="24" t="n"/>
      <c r="H287" s="24" t="n"/>
      <c r="I287" s="24" t="n"/>
      <c r="J287" s="34" t="n"/>
      <c r="K287" s="24" t="n"/>
      <c r="L287" s="24" t="n"/>
      <c r="M287" s="24" t="n"/>
      <c r="N287" s="24" t="n"/>
      <c r="O287" s="34" t="n"/>
      <c r="P287" s="24" t="n"/>
      <c r="Q287" s="24" t="n"/>
      <c r="R287" s="24" t="n"/>
    </row>
    <row r="288" ht="15" customHeight="1" s="21">
      <c r="A288" s="34" t="n"/>
      <c r="B288" s="35" t="n"/>
      <c r="C288" s="34" t="n"/>
      <c r="D288" s="31" t="n"/>
      <c r="E288" s="24" t="n"/>
      <c r="F288" s="24" t="n"/>
      <c r="G288" s="24" t="n"/>
      <c r="H288" s="24" t="n"/>
      <c r="I288" s="24" t="n"/>
      <c r="J288" s="34" t="n"/>
      <c r="K288" s="24" t="n"/>
      <c r="L288" s="24" t="n"/>
      <c r="M288" s="24" t="n"/>
      <c r="N288" s="24" t="n"/>
      <c r="O288" s="34" t="n"/>
      <c r="P288" s="24" t="n"/>
      <c r="Q288" s="24" t="n"/>
      <c r="R288" s="24" t="n"/>
    </row>
    <row r="289" ht="15" customHeight="1" s="21">
      <c r="A289" s="34" t="n"/>
      <c r="B289" s="35" t="n"/>
      <c r="C289" s="34" t="n"/>
      <c r="D289" s="31" t="n"/>
      <c r="E289" s="24" t="n"/>
      <c r="F289" s="24" t="n"/>
      <c r="G289" s="24" t="n"/>
      <c r="H289" s="24" t="n"/>
      <c r="I289" s="24" t="n"/>
      <c r="J289" s="34" t="n"/>
      <c r="K289" s="24" t="n"/>
      <c r="L289" s="24" t="n"/>
      <c r="M289" s="24" t="n"/>
      <c r="N289" s="24" t="n"/>
      <c r="O289" s="34" t="n"/>
      <c r="P289" s="24" t="n"/>
      <c r="Q289" s="24" t="n"/>
      <c r="R289" s="24" t="n"/>
    </row>
    <row r="290" ht="15" customHeight="1" s="21">
      <c r="A290" s="34" t="n"/>
      <c r="B290" s="35" t="n"/>
      <c r="C290" s="34" t="n"/>
      <c r="D290" s="31" t="n"/>
      <c r="E290" s="24" t="n"/>
      <c r="F290" s="24" t="n"/>
      <c r="G290" s="24" t="n"/>
      <c r="H290" s="24" t="n"/>
      <c r="I290" s="24" t="n"/>
      <c r="J290" s="34" t="n"/>
      <c r="K290" s="24" t="n"/>
      <c r="L290" s="24" t="n"/>
      <c r="M290" s="24" t="n"/>
      <c r="N290" s="24" t="n"/>
      <c r="O290" s="34" t="n"/>
      <c r="P290" s="24" t="n"/>
      <c r="Q290" s="24" t="n"/>
      <c r="R290" s="24" t="n"/>
    </row>
    <row r="291" ht="15" customHeight="1" s="21">
      <c r="A291" s="34" t="n"/>
      <c r="B291" s="35" t="n"/>
      <c r="C291" s="34" t="n"/>
      <c r="D291" s="31" t="n"/>
      <c r="E291" s="24" t="n"/>
      <c r="F291" s="24" t="n"/>
      <c r="G291" s="24" t="n"/>
      <c r="H291" s="24" t="n"/>
      <c r="I291" s="24" t="n"/>
      <c r="J291" s="34" t="n"/>
      <c r="K291" s="24" t="n"/>
      <c r="L291" s="24" t="n"/>
      <c r="M291" s="24" t="n"/>
      <c r="N291" s="24" t="n"/>
      <c r="O291" s="34" t="n"/>
      <c r="P291" s="24" t="n"/>
      <c r="Q291" s="24" t="n"/>
      <c r="R291" s="24" t="n"/>
    </row>
    <row r="292" ht="15" customHeight="1" s="21">
      <c r="A292" s="34" t="n"/>
      <c r="B292" s="35" t="n"/>
      <c r="C292" s="34" t="n"/>
      <c r="D292" s="31" t="n"/>
      <c r="E292" s="24" t="n"/>
      <c r="F292" s="24" t="n"/>
      <c r="G292" s="24" t="n"/>
      <c r="H292" s="24" t="n"/>
      <c r="I292" s="24" t="n"/>
      <c r="J292" s="34" t="n"/>
      <c r="K292" s="24" t="n"/>
      <c r="L292" s="24" t="n"/>
      <c r="M292" s="24" t="n"/>
      <c r="N292" s="24" t="n"/>
      <c r="O292" s="34" t="n"/>
      <c r="P292" s="24" t="n"/>
      <c r="Q292" s="24" t="n"/>
      <c r="R292" s="24" t="n"/>
    </row>
    <row r="293" ht="15" customHeight="1" s="21">
      <c r="A293" s="34" t="n"/>
      <c r="B293" s="35" t="n"/>
      <c r="C293" s="34" t="n"/>
      <c r="D293" s="31" t="n"/>
      <c r="E293" s="24" t="n"/>
      <c r="F293" s="24" t="n"/>
      <c r="G293" s="24" t="n"/>
      <c r="H293" s="24" t="n"/>
      <c r="I293" s="24" t="n"/>
      <c r="J293" s="34" t="n"/>
      <c r="K293" s="24" t="n"/>
      <c r="L293" s="24" t="n"/>
      <c r="M293" s="24" t="n"/>
      <c r="N293" s="24" t="n"/>
      <c r="O293" s="34" t="n"/>
      <c r="P293" s="24" t="n"/>
      <c r="Q293" s="24" t="n"/>
      <c r="R293" s="24" t="n"/>
    </row>
    <row r="294" ht="15" customHeight="1" s="21">
      <c r="A294" s="34" t="n"/>
      <c r="B294" s="35" t="n"/>
      <c r="C294" s="34" t="n"/>
      <c r="D294" s="31" t="n"/>
      <c r="E294" s="24" t="n"/>
      <c r="F294" s="24" t="n"/>
      <c r="G294" s="24" t="n"/>
      <c r="H294" s="24" t="n"/>
      <c r="I294" s="24" t="n"/>
      <c r="J294" s="34" t="n"/>
      <c r="K294" s="24" t="n"/>
      <c r="L294" s="24" t="n"/>
      <c r="M294" s="24" t="n"/>
      <c r="N294" s="24" t="n"/>
      <c r="O294" s="34" t="n"/>
      <c r="P294" s="24" t="n"/>
      <c r="Q294" s="24" t="n"/>
      <c r="R294" s="24" t="n"/>
    </row>
    <row r="295" ht="15" customHeight="1" s="21">
      <c r="A295" s="34" t="n"/>
      <c r="B295" s="35" t="n"/>
      <c r="C295" s="34" t="n"/>
      <c r="D295" s="31" t="n"/>
      <c r="E295" s="24" t="n"/>
      <c r="F295" s="24" t="n"/>
      <c r="G295" s="24" t="n"/>
      <c r="H295" s="24" t="n"/>
      <c r="I295" s="24" t="n"/>
      <c r="J295" s="34" t="n"/>
      <c r="K295" s="24" t="n"/>
      <c r="L295" s="24" t="n"/>
      <c r="M295" s="24" t="n"/>
      <c r="N295" s="24" t="n"/>
      <c r="O295" s="34" t="n"/>
      <c r="P295" s="24" t="n"/>
      <c r="Q295" s="24" t="n"/>
      <c r="R295" s="24" t="n"/>
    </row>
    <row r="296" ht="15" customHeight="1" s="21">
      <c r="A296" s="34" t="n"/>
      <c r="B296" s="35" t="n"/>
      <c r="C296" s="34" t="n"/>
      <c r="D296" s="31" t="n"/>
      <c r="E296" s="24" t="n"/>
      <c r="F296" s="24" t="n"/>
      <c r="G296" s="24" t="n"/>
      <c r="H296" s="24" t="n"/>
      <c r="I296" s="24" t="n"/>
      <c r="J296" s="34" t="n"/>
      <c r="K296" s="24" t="n"/>
      <c r="L296" s="24" t="n"/>
      <c r="M296" s="24" t="n"/>
      <c r="N296" s="24" t="n"/>
      <c r="O296" s="34" t="n"/>
      <c r="P296" s="24" t="n"/>
      <c r="Q296" s="24" t="n"/>
      <c r="R296" s="24" t="n"/>
    </row>
    <row r="297" ht="15" customHeight="1" s="21">
      <c r="A297" s="34" t="n"/>
      <c r="B297" s="35" t="n"/>
      <c r="C297" s="34" t="n"/>
      <c r="D297" s="31" t="n"/>
      <c r="E297" s="24" t="n"/>
      <c r="F297" s="24" t="n"/>
      <c r="G297" s="24" t="n"/>
      <c r="H297" s="24" t="n"/>
      <c r="I297" s="24" t="n"/>
      <c r="J297" s="34" t="n"/>
      <c r="K297" s="24" t="n"/>
      <c r="L297" s="24" t="n"/>
      <c r="M297" s="24" t="n"/>
      <c r="N297" s="24" t="n"/>
      <c r="O297" s="34" t="n"/>
      <c r="P297" s="24" t="n"/>
      <c r="Q297" s="24" t="n"/>
      <c r="R297" s="24" t="n"/>
    </row>
    <row r="298" ht="15" customHeight="1" s="21">
      <c r="A298" s="34" t="n"/>
      <c r="B298" s="35" t="n"/>
      <c r="C298" s="34" t="n"/>
      <c r="D298" s="31" t="n"/>
      <c r="E298" s="24" t="n"/>
      <c r="F298" s="24" t="n"/>
      <c r="G298" s="24" t="n"/>
      <c r="H298" s="24" t="n"/>
      <c r="I298" s="24" t="n"/>
      <c r="J298" s="34" t="n"/>
      <c r="K298" s="24" t="n"/>
      <c r="L298" s="24" t="n"/>
      <c r="M298" s="24" t="n"/>
      <c r="N298" s="24" t="n"/>
      <c r="O298" s="34" t="n"/>
      <c r="P298" s="24" t="n"/>
      <c r="Q298" s="24" t="n"/>
      <c r="R298" s="24" t="n"/>
    </row>
    <row r="299" ht="15" customHeight="1" s="21">
      <c r="A299" s="34" t="n"/>
      <c r="B299" s="35" t="n"/>
      <c r="C299" s="34" t="n"/>
      <c r="D299" s="31" t="n"/>
      <c r="E299" s="24" t="n"/>
      <c r="F299" s="24" t="n"/>
      <c r="G299" s="24" t="n"/>
      <c r="H299" s="24" t="n"/>
      <c r="I299" s="24" t="n"/>
      <c r="J299" s="34" t="n"/>
      <c r="K299" s="24" t="n"/>
      <c r="L299" s="24" t="n"/>
      <c r="M299" s="24" t="n"/>
      <c r="N299" s="24" t="n"/>
      <c r="O299" s="34" t="n"/>
      <c r="P299" s="24" t="n"/>
      <c r="Q299" s="24" t="n"/>
      <c r="R299" s="24" t="n"/>
    </row>
    <row r="300" ht="15" customHeight="1" s="21">
      <c r="A300" s="34" t="n"/>
      <c r="B300" s="35" t="n"/>
      <c r="C300" s="34" t="n"/>
      <c r="D300" s="31" t="n"/>
      <c r="E300" s="24" t="n"/>
      <c r="F300" s="24" t="n"/>
      <c r="G300" s="24" t="n"/>
      <c r="H300" s="24" t="n"/>
      <c r="I300" s="24" t="n"/>
      <c r="J300" s="34" t="n"/>
      <c r="K300" s="24" t="n"/>
      <c r="L300" s="24" t="n"/>
      <c r="M300" s="24" t="n"/>
      <c r="N300" s="24" t="n"/>
      <c r="O300" s="34" t="n"/>
      <c r="P300" s="24" t="n"/>
      <c r="Q300" s="24" t="n"/>
      <c r="R300" s="24" t="n"/>
    </row>
    <row r="301" ht="15" customHeight="1" s="21">
      <c r="A301" s="34" t="n"/>
      <c r="B301" s="35" t="n"/>
      <c r="C301" s="34" t="n"/>
      <c r="D301" s="31" t="n"/>
      <c r="E301" s="24" t="n"/>
      <c r="F301" s="24" t="n"/>
      <c r="G301" s="24" t="n"/>
      <c r="H301" s="24" t="n"/>
      <c r="I301" s="24" t="n"/>
      <c r="J301" s="34" t="n"/>
      <c r="K301" s="24" t="n"/>
      <c r="L301" s="24" t="n"/>
      <c r="M301" s="24" t="n"/>
      <c r="N301" s="24" t="n"/>
      <c r="O301" s="34" t="n"/>
      <c r="P301" s="24" t="n"/>
      <c r="Q301" s="24" t="n"/>
      <c r="R301" s="24" t="n"/>
    </row>
    <row r="302" ht="15" customHeight="1" s="21">
      <c r="A302" s="34" t="n"/>
      <c r="B302" s="35" t="n"/>
      <c r="C302" s="34" t="n"/>
      <c r="D302" s="31" t="n"/>
      <c r="E302" s="24" t="n"/>
      <c r="F302" s="24" t="n"/>
      <c r="G302" s="24" t="n"/>
      <c r="H302" s="24" t="n"/>
      <c r="I302" s="24" t="n"/>
      <c r="J302" s="34" t="n"/>
      <c r="K302" s="24" t="n"/>
      <c r="L302" s="24" t="n"/>
      <c r="M302" s="24" t="n"/>
      <c r="N302" s="24" t="n"/>
      <c r="O302" s="34" t="n"/>
      <c r="P302" s="24" t="n"/>
      <c r="Q302" s="24" t="n"/>
      <c r="R302" s="24" t="n"/>
    </row>
    <row r="303" ht="15" customHeight="1" s="21">
      <c r="A303" s="34" t="n"/>
      <c r="B303" s="35" t="n"/>
      <c r="C303" s="34" t="n"/>
      <c r="D303" s="31" t="n"/>
      <c r="E303" s="24" t="n"/>
      <c r="F303" s="24" t="n"/>
      <c r="G303" s="24" t="n"/>
      <c r="H303" s="24" t="n"/>
      <c r="I303" s="24" t="n"/>
      <c r="J303" s="34" t="n"/>
      <c r="K303" s="24" t="n"/>
      <c r="L303" s="24" t="n"/>
      <c r="M303" s="24" t="n"/>
      <c r="N303" s="24" t="n"/>
      <c r="O303" s="34" t="n"/>
      <c r="P303" s="24" t="n"/>
      <c r="Q303" s="24" t="n"/>
      <c r="R303" s="24" t="n"/>
    </row>
    <row r="304" ht="15" customHeight="1" s="21">
      <c r="A304" s="34" t="n"/>
      <c r="B304" s="35" t="n"/>
      <c r="C304" s="34" t="n"/>
      <c r="D304" s="31" t="n"/>
      <c r="E304" s="24" t="n"/>
      <c r="F304" s="24" t="n"/>
      <c r="G304" s="24" t="n"/>
      <c r="H304" s="24" t="n"/>
      <c r="I304" s="24" t="n"/>
      <c r="J304" s="34" t="n"/>
      <c r="K304" s="24" t="n"/>
      <c r="L304" s="24" t="n"/>
      <c r="M304" s="24" t="n"/>
      <c r="N304" s="24" t="n"/>
      <c r="O304" s="34" t="n"/>
      <c r="P304" s="24" t="n"/>
      <c r="Q304" s="24" t="n"/>
      <c r="R304" s="24" t="n"/>
    </row>
    <row r="305" ht="15" customHeight="1" s="21">
      <c r="A305" s="34" t="n"/>
      <c r="B305" s="35" t="n"/>
      <c r="C305" s="34" t="n"/>
      <c r="D305" s="31" t="n"/>
      <c r="E305" s="24" t="n"/>
      <c r="F305" s="24" t="n"/>
      <c r="G305" s="24" t="n"/>
      <c r="H305" s="24" t="n"/>
      <c r="I305" s="24" t="n"/>
      <c r="J305" s="34" t="n"/>
      <c r="K305" s="24" t="n"/>
      <c r="L305" s="24" t="n"/>
      <c r="M305" s="24" t="n"/>
      <c r="N305" s="24" t="n"/>
      <c r="O305" s="34" t="n"/>
      <c r="P305" s="24" t="n"/>
      <c r="Q305" s="24" t="n"/>
      <c r="R305" s="24" t="n"/>
    </row>
    <row r="306" ht="15" customHeight="1" s="21">
      <c r="A306" s="34" t="n"/>
      <c r="B306" s="35" t="n"/>
      <c r="C306" s="34" t="n"/>
      <c r="D306" s="31" t="n"/>
      <c r="E306" s="24" t="n"/>
      <c r="F306" s="24" t="n"/>
      <c r="G306" s="24" t="n"/>
      <c r="H306" s="24" t="n"/>
      <c r="I306" s="24" t="n"/>
      <c r="J306" s="34" t="n"/>
      <c r="K306" s="24" t="n"/>
      <c r="L306" s="24" t="n"/>
      <c r="M306" s="24" t="n"/>
      <c r="N306" s="24" t="n"/>
      <c r="O306" s="34" t="n"/>
      <c r="P306" s="24" t="n"/>
      <c r="Q306" s="24" t="n"/>
      <c r="R306" s="24" t="n"/>
    </row>
    <row r="307" ht="15" customHeight="1" s="21">
      <c r="A307" s="34" t="n"/>
      <c r="B307" s="35" t="n"/>
      <c r="C307" s="34" t="n"/>
      <c r="D307" s="31" t="n"/>
      <c r="E307" s="24" t="n"/>
      <c r="F307" s="24" t="n"/>
      <c r="G307" s="24" t="n"/>
      <c r="H307" s="24" t="n"/>
      <c r="I307" s="24" t="n"/>
      <c r="J307" s="34" t="n"/>
      <c r="K307" s="24" t="n"/>
      <c r="L307" s="24" t="n"/>
      <c r="M307" s="24" t="n"/>
      <c r="N307" s="24" t="n"/>
      <c r="O307" s="34" t="n"/>
      <c r="P307" s="24" t="n"/>
      <c r="Q307" s="24" t="n"/>
      <c r="R307" s="24" t="n"/>
    </row>
    <row r="308" ht="15" customHeight="1" s="21">
      <c r="A308" s="34" t="n"/>
      <c r="B308" s="35" t="n"/>
      <c r="C308" s="34" t="n"/>
      <c r="D308" s="31" t="n"/>
      <c r="E308" s="24" t="n"/>
      <c r="F308" s="24" t="n"/>
      <c r="G308" s="24" t="n"/>
      <c r="H308" s="24" t="n"/>
      <c r="I308" s="24" t="n"/>
      <c r="J308" s="34" t="n"/>
      <c r="K308" s="24" t="n"/>
      <c r="L308" s="24" t="n"/>
      <c r="M308" s="24" t="n"/>
      <c r="N308" s="24" t="n"/>
      <c r="O308" s="34" t="n"/>
      <c r="P308" s="24" t="n"/>
      <c r="Q308" s="24" t="n"/>
      <c r="R308" s="24" t="n"/>
    </row>
    <row r="309" ht="15" customHeight="1" s="21">
      <c r="A309" s="34" t="n"/>
      <c r="B309" s="35" t="n"/>
      <c r="C309" s="34" t="n"/>
      <c r="D309" s="31" t="n"/>
      <c r="E309" s="24" t="n"/>
      <c r="F309" s="24" t="n"/>
      <c r="G309" s="24" t="n"/>
      <c r="H309" s="24" t="n"/>
      <c r="I309" s="24" t="n"/>
      <c r="J309" s="34" t="n"/>
      <c r="K309" s="24" t="n"/>
      <c r="L309" s="24" t="n"/>
      <c r="M309" s="24" t="n"/>
      <c r="N309" s="24" t="n"/>
      <c r="O309" s="34" t="n"/>
      <c r="P309" s="24" t="n"/>
      <c r="Q309" s="24" t="n"/>
      <c r="R309" s="24" t="n"/>
    </row>
    <row r="310" ht="15" customHeight="1" s="21">
      <c r="A310" s="34" t="n"/>
      <c r="B310" s="35" t="n"/>
      <c r="C310" s="34" t="n"/>
      <c r="D310" s="31" t="n"/>
      <c r="E310" s="24" t="n"/>
      <c r="F310" s="24" t="n"/>
      <c r="G310" s="24" t="n"/>
      <c r="H310" s="24" t="n"/>
      <c r="I310" s="24" t="n"/>
      <c r="J310" s="34" t="n"/>
      <c r="K310" s="24" t="n"/>
      <c r="L310" s="24" t="n"/>
      <c r="M310" s="24" t="n"/>
      <c r="N310" s="24" t="n"/>
      <c r="O310" s="34" t="n"/>
      <c r="P310" s="24" t="n"/>
      <c r="Q310" s="24" t="n"/>
      <c r="R310" s="24" t="n"/>
    </row>
    <row r="311" ht="15" customHeight="1" s="21">
      <c r="A311" s="34" t="n"/>
      <c r="B311" s="35" t="n"/>
      <c r="C311" s="34" t="n"/>
      <c r="D311" s="31" t="n"/>
      <c r="E311" s="24" t="n"/>
      <c r="F311" s="24" t="n"/>
      <c r="G311" s="24" t="n"/>
      <c r="H311" s="24" t="n"/>
      <c r="I311" s="24" t="n"/>
      <c r="J311" s="34" t="n"/>
      <c r="K311" s="24" t="n"/>
      <c r="L311" s="24" t="n"/>
      <c r="M311" s="24" t="n"/>
      <c r="N311" s="24" t="n"/>
      <c r="O311" s="34" t="n"/>
      <c r="P311" s="24" t="n"/>
      <c r="Q311" s="24" t="n"/>
      <c r="R311" s="24" t="n"/>
    </row>
    <row r="312" ht="15" customHeight="1" s="21">
      <c r="A312" s="34" t="n"/>
      <c r="B312" s="35" t="n"/>
      <c r="C312" s="34" t="n"/>
      <c r="D312" s="31" t="n"/>
      <c r="E312" s="24" t="n"/>
      <c r="F312" s="24" t="n"/>
      <c r="G312" s="24" t="n"/>
      <c r="H312" s="24" t="n"/>
      <c r="I312" s="24" t="n"/>
      <c r="J312" s="34" t="n"/>
      <c r="K312" s="24" t="n"/>
      <c r="L312" s="24" t="n"/>
      <c r="M312" s="24" t="n"/>
      <c r="N312" s="24" t="n"/>
      <c r="O312" s="34" t="n"/>
      <c r="P312" s="24" t="n"/>
      <c r="Q312" s="24" t="n"/>
      <c r="R312" s="24" t="n"/>
    </row>
    <row r="313" ht="15" customHeight="1" s="21">
      <c r="A313" s="34" t="n"/>
      <c r="B313" s="35" t="n"/>
      <c r="C313" s="34" t="n"/>
      <c r="D313" s="31" t="n"/>
      <c r="E313" s="24" t="n"/>
      <c r="F313" s="24" t="n"/>
      <c r="G313" s="24" t="n"/>
      <c r="H313" s="24" t="n"/>
      <c r="I313" s="24" t="n"/>
      <c r="J313" s="34" t="n"/>
      <c r="K313" s="24" t="n"/>
      <c r="L313" s="24" t="n"/>
      <c r="M313" s="24" t="n"/>
      <c r="N313" s="24" t="n"/>
      <c r="O313" s="34" t="n"/>
      <c r="P313" s="24" t="n"/>
      <c r="Q313" s="24" t="n"/>
      <c r="R313" s="24" t="n"/>
    </row>
    <row r="314" ht="15" customHeight="1" s="21">
      <c r="A314" s="34" t="n"/>
      <c r="B314" s="35" t="n"/>
      <c r="C314" s="34" t="n"/>
      <c r="D314" s="31" t="n"/>
      <c r="E314" s="24" t="n"/>
      <c r="F314" s="24" t="n"/>
      <c r="G314" s="24" t="n"/>
      <c r="H314" s="24" t="n"/>
      <c r="I314" s="24" t="n"/>
      <c r="J314" s="34" t="n"/>
      <c r="K314" s="24" t="n"/>
      <c r="L314" s="24" t="n"/>
      <c r="M314" s="24" t="n"/>
      <c r="N314" s="24" t="n"/>
      <c r="O314" s="34" t="n"/>
      <c r="P314" s="24" t="n"/>
      <c r="Q314" s="24" t="n"/>
      <c r="R314" s="24" t="n"/>
    </row>
    <row r="315" ht="15" customHeight="1" s="21">
      <c r="A315" s="34" t="n"/>
      <c r="B315" s="35" t="n"/>
      <c r="C315" s="34" t="n"/>
      <c r="D315" s="31" t="n"/>
      <c r="E315" s="24" t="n"/>
      <c r="F315" s="24" t="n"/>
      <c r="G315" s="24" t="n"/>
      <c r="H315" s="24" t="n"/>
      <c r="I315" s="24" t="n"/>
      <c r="J315" s="34" t="n"/>
      <c r="K315" s="24" t="n"/>
      <c r="L315" s="24" t="n"/>
      <c r="M315" s="24" t="n"/>
      <c r="N315" s="24" t="n"/>
      <c r="O315" s="34" t="n"/>
      <c r="P315" s="24" t="n"/>
      <c r="Q315" s="24" t="n"/>
      <c r="R315" s="24" t="n"/>
    </row>
    <row r="316" ht="15" customHeight="1" s="21">
      <c r="A316" s="34" t="n"/>
      <c r="B316" s="35" t="n"/>
      <c r="C316" s="34" t="n"/>
      <c r="D316" s="31" t="n"/>
      <c r="E316" s="24" t="n"/>
      <c r="F316" s="24" t="n"/>
      <c r="G316" s="24" t="n"/>
      <c r="H316" s="24" t="n"/>
      <c r="I316" s="24" t="n"/>
      <c r="J316" s="34" t="n"/>
      <c r="K316" s="24" t="n"/>
      <c r="L316" s="24" t="n"/>
      <c r="M316" s="24" t="n"/>
      <c r="N316" s="24" t="n"/>
      <c r="O316" s="34" t="n"/>
      <c r="P316" s="24" t="n"/>
      <c r="Q316" s="24" t="n"/>
      <c r="R316" s="24" t="n"/>
    </row>
    <row r="317" ht="15" customHeight="1" s="21">
      <c r="A317" s="34" t="n"/>
      <c r="B317" s="35" t="n"/>
      <c r="C317" s="34" t="n"/>
      <c r="D317" s="31" t="n"/>
      <c r="E317" s="24" t="n"/>
      <c r="F317" s="24" t="n"/>
      <c r="G317" s="24" t="n"/>
      <c r="H317" s="24" t="n"/>
      <c r="I317" s="24" t="n"/>
      <c r="J317" s="34" t="n"/>
      <c r="K317" s="24" t="n"/>
      <c r="L317" s="24" t="n"/>
      <c r="M317" s="24" t="n"/>
      <c r="N317" s="24" t="n"/>
      <c r="O317" s="34" t="n"/>
      <c r="P317" s="24" t="n"/>
      <c r="Q317" s="24" t="n"/>
      <c r="R317" s="24" t="n"/>
    </row>
    <row r="318" ht="15" customHeight="1" s="21">
      <c r="A318" s="34" t="n"/>
      <c r="B318" s="35" t="n"/>
      <c r="C318" s="34" t="n"/>
      <c r="D318" s="31" t="n"/>
      <c r="E318" s="24" t="n"/>
      <c r="F318" s="24" t="n"/>
      <c r="G318" s="24" t="n"/>
      <c r="H318" s="24" t="n"/>
      <c r="I318" s="24" t="n"/>
      <c r="J318" s="34" t="n"/>
      <c r="K318" s="24" t="n"/>
      <c r="L318" s="24" t="n"/>
      <c r="M318" s="24" t="n"/>
      <c r="N318" s="24" t="n"/>
      <c r="O318" s="34" t="n"/>
      <c r="P318" s="24" t="n"/>
      <c r="Q318" s="24" t="n"/>
      <c r="R318" s="24" t="n"/>
    </row>
    <row r="319" ht="15" customHeight="1" s="21">
      <c r="A319" s="34" t="n"/>
      <c r="B319" s="35" t="n"/>
      <c r="C319" s="34" t="n"/>
      <c r="D319" s="31" t="n"/>
      <c r="E319" s="24" t="n"/>
      <c r="F319" s="24" t="n"/>
      <c r="G319" s="24" t="n"/>
      <c r="H319" s="24" t="n"/>
      <c r="I319" s="24" t="n"/>
      <c r="J319" s="34" t="n"/>
      <c r="K319" s="24" t="n"/>
      <c r="L319" s="24" t="n"/>
      <c r="M319" s="24" t="n"/>
      <c r="N319" s="24" t="n"/>
      <c r="O319" s="34" t="n"/>
      <c r="P319" s="24" t="n"/>
      <c r="Q319" s="24" t="n"/>
      <c r="R319" s="24" t="n"/>
    </row>
    <row r="320" ht="15" customHeight="1" s="21">
      <c r="A320" s="34" t="n"/>
      <c r="B320" s="35" t="n"/>
      <c r="C320" s="34" t="n"/>
      <c r="D320" s="31" t="n"/>
      <c r="E320" s="24" t="n"/>
      <c r="F320" s="24" t="n"/>
      <c r="G320" s="24" t="n"/>
      <c r="H320" s="24" t="n"/>
      <c r="I320" s="24" t="n"/>
      <c r="J320" s="34" t="n"/>
      <c r="K320" s="24" t="n"/>
      <c r="L320" s="24" t="n"/>
      <c r="M320" s="24" t="n"/>
      <c r="N320" s="24" t="n"/>
      <c r="O320" s="34" t="n"/>
      <c r="P320" s="24" t="n"/>
      <c r="Q320" s="24" t="n"/>
      <c r="R320" s="24" t="n"/>
    </row>
    <row r="321" ht="15" customHeight="1" s="21">
      <c r="A321" s="34" t="n"/>
      <c r="B321" s="35" t="n"/>
      <c r="C321" s="34" t="n"/>
      <c r="D321" s="31" t="n"/>
      <c r="E321" s="24" t="n"/>
      <c r="F321" s="24" t="n"/>
      <c r="G321" s="24" t="n"/>
      <c r="H321" s="24" t="n"/>
      <c r="I321" s="24" t="n"/>
      <c r="J321" s="34" t="n"/>
      <c r="K321" s="24" t="n"/>
      <c r="L321" s="24" t="n"/>
      <c r="M321" s="24" t="n"/>
      <c r="N321" s="24" t="n"/>
      <c r="O321" s="34" t="n"/>
      <c r="P321" s="24" t="n"/>
      <c r="Q321" s="24" t="n"/>
      <c r="R321" s="24" t="n"/>
    </row>
    <row r="322" ht="15" customHeight="1" s="21">
      <c r="A322" s="34" t="n"/>
      <c r="B322" s="35" t="n"/>
      <c r="C322" s="34" t="n"/>
      <c r="D322" s="31" t="n"/>
      <c r="E322" s="24" t="n"/>
      <c r="F322" s="24" t="n"/>
      <c r="G322" s="24" t="n"/>
      <c r="H322" s="24" t="n"/>
      <c r="I322" s="24" t="n"/>
      <c r="J322" s="34" t="n"/>
      <c r="K322" s="24" t="n"/>
      <c r="L322" s="24" t="n"/>
      <c r="M322" s="24" t="n"/>
      <c r="N322" s="24" t="n"/>
      <c r="O322" s="34" t="n"/>
      <c r="P322" s="24" t="n"/>
      <c r="Q322" s="24" t="n"/>
      <c r="R322" s="24" t="n"/>
    </row>
    <row r="323" ht="15" customHeight="1" s="21">
      <c r="A323" s="34" t="n"/>
      <c r="B323" s="35" t="n"/>
      <c r="C323" s="34" t="n"/>
      <c r="D323" s="31" t="n"/>
      <c r="E323" s="24" t="n"/>
      <c r="F323" s="24" t="n"/>
      <c r="G323" s="24" t="n"/>
      <c r="H323" s="24" t="n"/>
      <c r="I323" s="24" t="n"/>
      <c r="J323" s="34" t="n"/>
      <c r="K323" s="24" t="n"/>
      <c r="L323" s="24" t="n"/>
      <c r="M323" s="24" t="n"/>
      <c r="N323" s="24" t="n"/>
      <c r="O323" s="34" t="n"/>
      <c r="P323" s="24" t="n"/>
      <c r="Q323" s="24" t="n"/>
      <c r="R323" s="24" t="n"/>
    </row>
    <row r="324" ht="15" customHeight="1" s="21">
      <c r="A324" s="34" t="n"/>
      <c r="B324" s="35" t="n"/>
      <c r="C324" s="34" t="n"/>
      <c r="D324" s="31" t="n"/>
      <c r="E324" s="24" t="n"/>
      <c r="F324" s="24" t="n"/>
      <c r="G324" s="24" t="n"/>
      <c r="H324" s="24" t="n"/>
      <c r="I324" s="24" t="n"/>
      <c r="J324" s="34" t="n"/>
      <c r="K324" s="24" t="n"/>
      <c r="L324" s="24" t="n"/>
      <c r="M324" s="24" t="n"/>
      <c r="N324" s="24" t="n"/>
      <c r="O324" s="34" t="n"/>
      <c r="P324" s="24" t="n"/>
      <c r="Q324" s="24" t="n"/>
      <c r="R324" s="24" t="n"/>
    </row>
    <row r="325" ht="15" customHeight="1" s="21">
      <c r="A325" s="34" t="n"/>
      <c r="B325" s="35" t="n"/>
      <c r="C325" s="34" t="n"/>
      <c r="D325" s="31" t="n"/>
      <c r="E325" s="24" t="n"/>
      <c r="F325" s="24" t="n"/>
      <c r="G325" s="24" t="n"/>
      <c r="H325" s="24" t="n"/>
      <c r="I325" s="24" t="n"/>
      <c r="J325" s="34" t="n"/>
      <c r="K325" s="24" t="n"/>
      <c r="L325" s="24" t="n"/>
      <c r="M325" s="24" t="n"/>
      <c r="N325" s="24" t="n"/>
      <c r="O325" s="34" t="n"/>
      <c r="P325" s="24" t="n"/>
      <c r="Q325" s="24" t="n"/>
      <c r="R325" s="24" t="n"/>
    </row>
    <row r="326" ht="15" customHeight="1" s="21">
      <c r="A326" s="34" t="n"/>
      <c r="B326" s="35" t="n"/>
      <c r="C326" s="34" t="n"/>
      <c r="D326" s="31" t="n"/>
      <c r="E326" s="24" t="n"/>
      <c r="F326" s="24" t="n"/>
      <c r="G326" s="24" t="n"/>
      <c r="H326" s="24" t="n"/>
      <c r="I326" s="24" t="n"/>
      <c r="J326" s="34" t="n"/>
      <c r="K326" s="24" t="n"/>
      <c r="L326" s="24" t="n"/>
      <c r="M326" s="24" t="n"/>
      <c r="N326" s="24" t="n"/>
      <c r="O326" s="34" t="n"/>
      <c r="P326" s="24" t="n"/>
      <c r="Q326" s="24" t="n"/>
      <c r="R326" s="24" t="n"/>
    </row>
    <row r="327" ht="15" customHeight="1" s="21">
      <c r="A327" s="34" t="n"/>
      <c r="B327" s="35" t="n"/>
      <c r="C327" s="34" t="n"/>
      <c r="D327" s="31" t="n"/>
      <c r="E327" s="24" t="n"/>
      <c r="F327" s="24" t="n"/>
      <c r="G327" s="24" t="n"/>
      <c r="H327" s="24" t="n"/>
      <c r="I327" s="24" t="n"/>
      <c r="J327" s="34" t="n"/>
      <c r="K327" s="24" t="n"/>
      <c r="L327" s="24" t="n"/>
      <c r="M327" s="24" t="n"/>
      <c r="N327" s="24" t="n"/>
      <c r="O327" s="34" t="n"/>
      <c r="P327" s="24" t="n"/>
      <c r="Q327" s="24" t="n"/>
      <c r="R327" s="24" t="n"/>
    </row>
    <row r="328" ht="15" customHeight="1" s="21">
      <c r="A328" s="34" t="n"/>
      <c r="B328" s="35" t="n"/>
      <c r="C328" s="34" t="n"/>
      <c r="D328" s="31" t="n"/>
      <c r="E328" s="24" t="n"/>
      <c r="F328" s="24" t="n"/>
      <c r="G328" s="24" t="n"/>
      <c r="H328" s="24" t="n"/>
      <c r="I328" s="24" t="n"/>
      <c r="J328" s="34" t="n"/>
      <c r="K328" s="24" t="n"/>
      <c r="L328" s="24" t="n"/>
      <c r="M328" s="24" t="n"/>
      <c r="N328" s="24" t="n"/>
      <c r="O328" s="34" t="n"/>
      <c r="P328" s="24" t="n"/>
      <c r="Q328" s="24" t="n"/>
      <c r="R328" s="24" t="n"/>
    </row>
    <row r="329" ht="15" customHeight="1" s="21">
      <c r="A329" s="34" t="n"/>
      <c r="B329" s="35" t="n"/>
      <c r="C329" s="34" t="n"/>
      <c r="D329" s="31" t="n"/>
      <c r="E329" s="24" t="n"/>
      <c r="F329" s="24" t="n"/>
      <c r="G329" s="24" t="n"/>
      <c r="H329" s="24" t="n"/>
      <c r="I329" s="24" t="n"/>
      <c r="J329" s="34" t="n"/>
      <c r="K329" s="24" t="n"/>
      <c r="L329" s="24" t="n"/>
      <c r="M329" s="24" t="n"/>
      <c r="N329" s="24" t="n"/>
      <c r="O329" s="34" t="n"/>
      <c r="P329" s="24" t="n"/>
      <c r="Q329" s="24" t="n"/>
      <c r="R329" s="24" t="n"/>
    </row>
    <row r="330" ht="15" customHeight="1" s="21">
      <c r="A330" s="34" t="n"/>
      <c r="B330" s="35" t="n"/>
      <c r="C330" s="34" t="n"/>
      <c r="D330" s="31" t="n"/>
      <c r="E330" s="24" t="n"/>
      <c r="F330" s="24" t="n"/>
      <c r="G330" s="24" t="n"/>
      <c r="H330" s="24" t="n"/>
      <c r="I330" s="24" t="n"/>
      <c r="J330" s="34" t="n"/>
      <c r="K330" s="24" t="n"/>
      <c r="L330" s="24" t="n"/>
      <c r="M330" s="24" t="n"/>
      <c r="N330" s="24" t="n"/>
      <c r="O330" s="34" t="n"/>
      <c r="P330" s="24" t="n"/>
      <c r="Q330" s="24" t="n"/>
      <c r="R330" s="24" t="n"/>
    </row>
    <row r="331" ht="15" customHeight="1" s="21">
      <c r="A331" s="34" t="n"/>
      <c r="B331" s="35" t="n"/>
      <c r="C331" s="34" t="n"/>
      <c r="D331" s="31" t="n"/>
      <c r="E331" s="24" t="n"/>
      <c r="F331" s="24" t="n"/>
      <c r="G331" s="24" t="n"/>
      <c r="H331" s="24" t="n"/>
      <c r="I331" s="24" t="n"/>
      <c r="J331" s="34" t="n"/>
      <c r="K331" s="24" t="n"/>
      <c r="L331" s="24" t="n"/>
      <c r="M331" s="24" t="n"/>
      <c r="N331" s="24" t="n"/>
      <c r="O331" s="34" t="n"/>
      <c r="P331" s="24" t="n"/>
      <c r="Q331" s="24" t="n"/>
      <c r="R331" s="24" t="n"/>
    </row>
    <row r="332" ht="15" customHeight="1" s="21">
      <c r="A332" s="34" t="n"/>
      <c r="B332" s="35" t="n"/>
      <c r="C332" s="34" t="n"/>
      <c r="D332" s="31" t="n"/>
      <c r="E332" s="24" t="n"/>
      <c r="F332" s="24" t="n"/>
      <c r="G332" s="24" t="n"/>
      <c r="H332" s="24" t="n"/>
      <c r="I332" s="24" t="n"/>
      <c r="J332" s="34" t="n"/>
      <c r="K332" s="24" t="n"/>
      <c r="L332" s="24" t="n"/>
      <c r="M332" s="24" t="n"/>
      <c r="N332" s="24" t="n"/>
      <c r="O332" s="34" t="n"/>
      <c r="P332" s="24" t="n"/>
      <c r="Q332" s="24" t="n"/>
      <c r="R332" s="24" t="n"/>
    </row>
    <row r="333" ht="15" customHeight="1" s="21">
      <c r="A333" s="34" t="n"/>
      <c r="B333" s="35" t="n"/>
      <c r="C333" s="34" t="n"/>
      <c r="D333" s="31" t="n"/>
      <c r="E333" s="24" t="n"/>
      <c r="F333" s="24" t="n"/>
      <c r="G333" s="24" t="n"/>
      <c r="H333" s="24" t="n"/>
      <c r="I333" s="24" t="n"/>
      <c r="J333" s="34" t="n"/>
      <c r="K333" s="24" t="n"/>
      <c r="L333" s="24" t="n"/>
      <c r="M333" s="24" t="n"/>
      <c r="N333" s="24" t="n"/>
      <c r="O333" s="34" t="n"/>
      <c r="P333" s="24" t="n"/>
      <c r="Q333" s="24" t="n"/>
      <c r="R333" s="24" t="n"/>
    </row>
    <row r="334" ht="15" customHeight="1" s="21">
      <c r="A334" s="34" t="n"/>
      <c r="B334" s="35" t="n"/>
      <c r="C334" s="34" t="n"/>
      <c r="D334" s="31" t="n"/>
      <c r="E334" s="24" t="n"/>
      <c r="F334" s="24" t="n"/>
      <c r="G334" s="24" t="n"/>
      <c r="H334" s="24" t="n"/>
      <c r="I334" s="24" t="n"/>
      <c r="J334" s="34" t="n"/>
      <c r="K334" s="24" t="n"/>
      <c r="L334" s="24" t="n"/>
      <c r="M334" s="24" t="n"/>
      <c r="N334" s="24" t="n"/>
      <c r="O334" s="34" t="n"/>
      <c r="P334" s="24" t="n"/>
      <c r="Q334" s="24" t="n"/>
      <c r="R334" s="24" t="n"/>
    </row>
    <row r="335" ht="15" customHeight="1" s="21">
      <c r="A335" s="34" t="n"/>
      <c r="B335" s="35" t="n"/>
      <c r="C335" s="34" t="n"/>
      <c r="D335" s="31" t="n"/>
      <c r="E335" s="24" t="n"/>
      <c r="F335" s="24" t="n"/>
      <c r="G335" s="24" t="n"/>
      <c r="H335" s="24" t="n"/>
      <c r="I335" s="24" t="n"/>
      <c r="J335" s="34" t="n"/>
      <c r="K335" s="24" t="n"/>
      <c r="L335" s="24" t="n"/>
      <c r="M335" s="24" t="n"/>
      <c r="N335" s="24" t="n"/>
      <c r="O335" s="34" t="n"/>
      <c r="P335" s="24" t="n"/>
      <c r="Q335" s="24" t="n"/>
      <c r="R335" s="24" t="n"/>
    </row>
    <row r="336" ht="15" customHeight="1" s="21">
      <c r="A336" s="34" t="n"/>
      <c r="B336" s="35" t="n"/>
      <c r="C336" s="34" t="n"/>
      <c r="D336" s="31" t="n"/>
      <c r="E336" s="24" t="n"/>
      <c r="F336" s="24" t="n"/>
      <c r="G336" s="24" t="n"/>
      <c r="H336" s="24" t="n"/>
      <c r="I336" s="24" t="n"/>
      <c r="J336" s="34" t="n"/>
      <c r="K336" s="24" t="n"/>
      <c r="L336" s="24" t="n"/>
      <c r="M336" s="24" t="n"/>
      <c r="N336" s="24" t="n"/>
      <c r="O336" s="34" t="n"/>
      <c r="P336" s="24" t="n"/>
      <c r="Q336" s="24" t="n"/>
      <c r="R336" s="24" t="n"/>
    </row>
    <row r="337" ht="15" customHeight="1" s="21">
      <c r="A337" s="34" t="n"/>
      <c r="B337" s="35" t="n"/>
      <c r="C337" s="34" t="n"/>
      <c r="D337" s="31" t="n"/>
      <c r="E337" s="24" t="n"/>
      <c r="F337" s="24" t="n"/>
      <c r="G337" s="24" t="n"/>
      <c r="H337" s="24" t="n"/>
      <c r="I337" s="24" t="n"/>
      <c r="J337" s="34" t="n"/>
      <c r="K337" s="24" t="n"/>
      <c r="L337" s="24" t="n"/>
      <c r="M337" s="24" t="n"/>
      <c r="N337" s="24" t="n"/>
      <c r="O337" s="34" t="n"/>
      <c r="P337" s="24" t="n"/>
      <c r="Q337" s="24" t="n"/>
      <c r="R337" s="24" t="n"/>
    </row>
    <row r="338" ht="15" customHeight="1" s="21">
      <c r="A338" s="34" t="n"/>
      <c r="B338" s="35" t="n"/>
      <c r="C338" s="34" t="n"/>
      <c r="D338" s="31" t="n"/>
      <c r="E338" s="24" t="n"/>
      <c r="F338" s="24" t="n"/>
      <c r="G338" s="24" t="n"/>
      <c r="H338" s="24" t="n"/>
      <c r="I338" s="24" t="n"/>
      <c r="J338" s="34" t="n"/>
      <c r="K338" s="24" t="n"/>
      <c r="L338" s="24" t="n"/>
      <c r="M338" s="24" t="n"/>
      <c r="N338" s="24" t="n"/>
      <c r="O338" s="34" t="n"/>
      <c r="P338" s="24" t="n"/>
      <c r="Q338" s="24" t="n"/>
      <c r="R338" s="24" t="n"/>
    </row>
    <row r="339" ht="15" customHeight="1" s="21">
      <c r="A339" s="34" t="n"/>
      <c r="B339" s="35" t="n"/>
      <c r="C339" s="34" t="n"/>
      <c r="D339" s="31" t="n"/>
      <c r="E339" s="24" t="n"/>
      <c r="F339" s="24" t="n"/>
      <c r="G339" s="24" t="n"/>
      <c r="H339" s="24" t="n"/>
      <c r="I339" s="24" t="n"/>
      <c r="J339" s="34" t="n"/>
      <c r="K339" s="24" t="n"/>
      <c r="L339" s="24" t="n"/>
      <c r="M339" s="24" t="n"/>
      <c r="N339" s="24" t="n"/>
      <c r="O339" s="34" t="n"/>
      <c r="P339" s="24" t="n"/>
      <c r="Q339" s="24" t="n"/>
      <c r="R339" s="24" t="n"/>
    </row>
    <row r="340" ht="15" customHeight="1" s="21">
      <c r="A340" s="34" t="n"/>
      <c r="B340" s="35" t="n"/>
      <c r="C340" s="34" t="n"/>
      <c r="D340" s="31" t="n"/>
      <c r="E340" s="24" t="n"/>
      <c r="F340" s="24" t="n"/>
      <c r="G340" s="24" t="n"/>
      <c r="H340" s="24" t="n"/>
      <c r="I340" s="24" t="n"/>
      <c r="J340" s="34" t="n"/>
      <c r="K340" s="24" t="n"/>
      <c r="L340" s="24" t="n"/>
      <c r="M340" s="24" t="n"/>
      <c r="N340" s="24" t="n"/>
      <c r="O340" s="34" t="n"/>
      <c r="P340" s="24" t="n"/>
      <c r="Q340" s="24" t="n"/>
      <c r="R340" s="24" t="n"/>
    </row>
    <row r="341" ht="15" customHeight="1" s="21">
      <c r="A341" s="34" t="n"/>
      <c r="B341" s="35" t="n"/>
      <c r="C341" s="34" t="n"/>
      <c r="D341" s="31" t="n"/>
      <c r="E341" s="24" t="n"/>
      <c r="F341" s="24" t="n"/>
      <c r="G341" s="24" t="n"/>
      <c r="H341" s="24" t="n"/>
      <c r="I341" s="24" t="n"/>
      <c r="J341" s="34" t="n"/>
      <c r="K341" s="24" t="n"/>
      <c r="L341" s="24" t="n"/>
      <c r="M341" s="24" t="n"/>
      <c r="N341" s="24" t="n"/>
      <c r="O341" s="34" t="n"/>
      <c r="P341" s="24" t="n"/>
      <c r="Q341" s="24" t="n"/>
      <c r="R341" s="24" t="n"/>
    </row>
    <row r="342" ht="15" customHeight="1" s="21">
      <c r="A342" s="34" t="n"/>
      <c r="B342" s="35" t="n"/>
      <c r="C342" s="34" t="n"/>
      <c r="D342" s="31" t="n"/>
      <c r="E342" s="24" t="n"/>
      <c r="F342" s="24" t="n"/>
      <c r="G342" s="24" t="n"/>
      <c r="H342" s="24" t="n"/>
      <c r="I342" s="24" t="n"/>
      <c r="J342" s="34" t="n"/>
      <c r="K342" s="24" t="n"/>
      <c r="L342" s="24" t="n"/>
      <c r="M342" s="24" t="n"/>
      <c r="N342" s="24" t="n"/>
      <c r="O342" s="34" t="n"/>
      <c r="P342" s="24" t="n"/>
      <c r="Q342" s="24" t="n"/>
      <c r="R342" s="24" t="n"/>
    </row>
    <row r="343" ht="15" customHeight="1" s="21">
      <c r="A343" s="34" t="n"/>
      <c r="B343" s="35" t="n"/>
      <c r="C343" s="34" t="n"/>
      <c r="D343" s="31" t="n"/>
      <c r="E343" s="24" t="n"/>
      <c r="F343" s="24" t="n"/>
      <c r="G343" s="24" t="n"/>
      <c r="H343" s="24" t="n"/>
      <c r="I343" s="24" t="n"/>
      <c r="J343" s="34" t="n"/>
      <c r="K343" s="24" t="n"/>
      <c r="L343" s="24" t="n"/>
      <c r="M343" s="24" t="n"/>
      <c r="N343" s="24" t="n"/>
      <c r="O343" s="34" t="n"/>
      <c r="P343" s="24" t="n"/>
      <c r="Q343" s="24" t="n"/>
      <c r="R343" s="24" t="n"/>
    </row>
    <row r="344" ht="15" customHeight="1" s="21">
      <c r="A344" s="34" t="n"/>
      <c r="B344" s="35" t="n"/>
      <c r="C344" s="34" t="n"/>
      <c r="D344" s="31" t="n"/>
      <c r="E344" s="24" t="n"/>
      <c r="F344" s="24" t="n"/>
      <c r="G344" s="24" t="n"/>
      <c r="H344" s="24" t="n"/>
      <c r="I344" s="24" t="n"/>
      <c r="J344" s="34" t="n"/>
      <c r="K344" s="24" t="n"/>
      <c r="L344" s="24" t="n"/>
      <c r="M344" s="24" t="n"/>
      <c r="N344" s="24" t="n"/>
      <c r="O344" s="34" t="n"/>
      <c r="P344" s="24" t="n"/>
      <c r="Q344" s="24" t="n"/>
      <c r="R344" s="24" t="n"/>
    </row>
    <row r="345" ht="15" customHeight="1" s="21">
      <c r="A345" s="34" t="n"/>
      <c r="B345" s="35" t="n"/>
      <c r="C345" s="34" t="n"/>
      <c r="D345" s="31" t="n"/>
      <c r="E345" s="24" t="n"/>
      <c r="F345" s="24" t="n"/>
      <c r="G345" s="24" t="n"/>
      <c r="H345" s="24" t="n"/>
      <c r="I345" s="24" t="n"/>
      <c r="J345" s="34" t="n"/>
      <c r="K345" s="24" t="n"/>
      <c r="L345" s="24" t="n"/>
      <c r="M345" s="24" t="n"/>
      <c r="N345" s="24" t="n"/>
      <c r="O345" s="34" t="n"/>
      <c r="P345" s="24" t="n"/>
      <c r="Q345" s="24" t="n"/>
      <c r="R345" s="24" t="n"/>
    </row>
    <row r="346" ht="15" customHeight="1" s="21">
      <c r="A346" s="34" t="n"/>
      <c r="B346" s="35" t="n"/>
      <c r="C346" s="34" t="n"/>
      <c r="D346" s="31" t="n"/>
      <c r="E346" s="24" t="n"/>
      <c r="F346" s="24" t="n"/>
      <c r="G346" s="24" t="n"/>
      <c r="H346" s="24" t="n"/>
      <c r="I346" s="24" t="n"/>
      <c r="J346" s="34" t="n"/>
      <c r="K346" s="24" t="n"/>
      <c r="L346" s="24" t="n"/>
      <c r="M346" s="24" t="n"/>
      <c r="N346" s="24" t="n"/>
      <c r="O346" s="34" t="n"/>
      <c r="P346" s="24" t="n"/>
      <c r="Q346" s="24" t="n"/>
      <c r="R346" s="24" t="n"/>
    </row>
    <row r="347" ht="15" customHeight="1" s="21">
      <c r="A347" s="34" t="n"/>
      <c r="B347" s="35" t="n"/>
      <c r="C347" s="34" t="n"/>
      <c r="D347" s="31" t="n"/>
      <c r="E347" s="24" t="n"/>
      <c r="F347" s="24" t="n"/>
      <c r="G347" s="24" t="n"/>
      <c r="H347" s="24" t="n"/>
      <c r="I347" s="24" t="n"/>
      <c r="J347" s="34" t="n"/>
      <c r="K347" s="24" t="n"/>
      <c r="L347" s="24" t="n"/>
      <c r="M347" s="24" t="n"/>
      <c r="N347" s="24" t="n"/>
      <c r="O347" s="34" t="n"/>
      <c r="P347" s="24" t="n"/>
      <c r="Q347" s="24" t="n"/>
      <c r="R347" s="24" t="n"/>
    </row>
    <row r="348" ht="15" customHeight="1" s="21">
      <c r="A348" s="34" t="n"/>
      <c r="B348" s="35" t="n"/>
      <c r="C348" s="34" t="n"/>
      <c r="D348" s="31" t="n"/>
      <c r="E348" s="24" t="n"/>
      <c r="F348" s="24" t="n"/>
      <c r="G348" s="24" t="n"/>
      <c r="H348" s="24" t="n"/>
      <c r="I348" s="24" t="n"/>
      <c r="J348" s="34" t="n"/>
      <c r="K348" s="24" t="n"/>
      <c r="L348" s="24" t="n"/>
      <c r="M348" s="24" t="n"/>
      <c r="N348" s="24" t="n"/>
      <c r="O348" s="34" t="n"/>
      <c r="P348" s="24" t="n"/>
      <c r="Q348" s="24" t="n"/>
      <c r="R348" s="24" t="n"/>
    </row>
    <row r="349" ht="15" customHeight="1" s="21">
      <c r="A349" s="34" t="n"/>
      <c r="B349" s="35" t="n"/>
      <c r="C349" s="34" t="n"/>
      <c r="D349" s="31" t="n"/>
      <c r="E349" s="24" t="n"/>
      <c r="F349" s="24" t="n"/>
      <c r="G349" s="24" t="n"/>
      <c r="H349" s="24" t="n"/>
      <c r="I349" s="24" t="n"/>
      <c r="J349" s="34" t="n"/>
      <c r="K349" s="24" t="n"/>
      <c r="L349" s="24" t="n"/>
      <c r="M349" s="24" t="n"/>
      <c r="N349" s="24" t="n"/>
      <c r="O349" s="34" t="n"/>
      <c r="P349" s="24" t="n"/>
      <c r="Q349" s="24" t="n"/>
      <c r="R349" s="24" t="n"/>
    </row>
    <row r="350" ht="15" customHeight="1" s="21">
      <c r="A350" s="34" t="n"/>
      <c r="B350" s="35" t="n"/>
      <c r="C350" s="34" t="n"/>
      <c r="D350" s="31" t="n"/>
      <c r="E350" s="24" t="n"/>
      <c r="F350" s="24" t="n"/>
      <c r="G350" s="24" t="n"/>
      <c r="H350" s="24" t="n"/>
      <c r="I350" s="24" t="n"/>
      <c r="J350" s="34" t="n"/>
      <c r="K350" s="24" t="n"/>
      <c r="L350" s="24" t="n"/>
      <c r="M350" s="24" t="n"/>
      <c r="N350" s="24" t="n"/>
      <c r="O350" s="34" t="n"/>
      <c r="P350" s="24" t="n"/>
      <c r="Q350" s="24" t="n"/>
      <c r="R350" s="24" t="n"/>
    </row>
    <row r="351" ht="15" customHeight="1" s="21">
      <c r="A351" s="34" t="n"/>
      <c r="B351" s="35" t="n"/>
      <c r="C351" s="34" t="n"/>
      <c r="D351" s="31" t="n"/>
      <c r="E351" s="24" t="n"/>
      <c r="F351" s="24" t="n"/>
      <c r="G351" s="24" t="n"/>
      <c r="H351" s="24" t="n"/>
      <c r="I351" s="24" t="n"/>
      <c r="J351" s="34" t="n"/>
      <c r="K351" s="24" t="n"/>
      <c r="L351" s="24" t="n"/>
      <c r="M351" s="24" t="n"/>
      <c r="N351" s="24" t="n"/>
      <c r="O351" s="34" t="n"/>
      <c r="P351" s="24" t="n"/>
      <c r="Q351" s="24" t="n"/>
      <c r="R351" s="24" t="n"/>
    </row>
    <row r="352" ht="15" customHeight="1" s="21">
      <c r="A352" s="34" t="n"/>
      <c r="B352" s="35" t="n"/>
      <c r="C352" s="34" t="n"/>
      <c r="D352" s="31" t="n"/>
      <c r="E352" s="24" t="n"/>
      <c r="F352" s="24" t="n"/>
      <c r="G352" s="24" t="n"/>
      <c r="H352" s="24" t="n"/>
      <c r="I352" s="24" t="n"/>
      <c r="J352" s="34" t="n"/>
      <c r="K352" s="24" t="n"/>
      <c r="L352" s="24" t="n"/>
      <c r="M352" s="24" t="n"/>
      <c r="N352" s="24" t="n"/>
      <c r="O352" s="34" t="n"/>
      <c r="P352" s="24" t="n"/>
      <c r="Q352" s="24" t="n"/>
      <c r="R352" s="24" t="n"/>
    </row>
    <row r="353" ht="15" customHeight="1" s="21">
      <c r="A353" s="34" t="n"/>
      <c r="B353" s="35" t="n"/>
      <c r="C353" s="34" t="n"/>
      <c r="D353" s="31" t="n"/>
      <c r="E353" s="24" t="n"/>
      <c r="F353" s="24" t="n"/>
      <c r="G353" s="24" t="n"/>
      <c r="H353" s="24" t="n"/>
      <c r="I353" s="24" t="n"/>
      <c r="J353" s="34" t="n"/>
      <c r="K353" s="24" t="n"/>
      <c r="L353" s="24" t="n"/>
      <c r="M353" s="24" t="n"/>
      <c r="N353" s="24" t="n"/>
      <c r="O353" s="34" t="n"/>
      <c r="P353" s="24" t="n"/>
      <c r="Q353" s="24" t="n"/>
      <c r="R353" s="24" t="n"/>
    </row>
    <row r="354" ht="15" customHeight="1" s="21">
      <c r="A354" s="34" t="n"/>
      <c r="B354" s="35" t="n"/>
      <c r="C354" s="34" t="n"/>
      <c r="D354" s="31" t="n"/>
      <c r="E354" s="24" t="n"/>
      <c r="F354" s="24" t="n"/>
      <c r="G354" s="24" t="n"/>
      <c r="H354" s="24" t="n"/>
      <c r="I354" s="24" t="n"/>
      <c r="J354" s="34" t="n"/>
      <c r="K354" s="24" t="n"/>
      <c r="L354" s="24" t="n"/>
      <c r="M354" s="24" t="n"/>
      <c r="N354" s="24" t="n"/>
      <c r="O354" s="34" t="n"/>
      <c r="P354" s="24" t="n"/>
      <c r="Q354" s="24" t="n"/>
      <c r="R354" s="24" t="n"/>
    </row>
    <row r="355" ht="15" customHeight="1" s="21">
      <c r="A355" s="34" t="n"/>
      <c r="B355" s="35" t="n"/>
      <c r="C355" s="34" t="n"/>
      <c r="D355" s="31" t="n"/>
      <c r="E355" s="24" t="n"/>
      <c r="F355" s="24" t="n"/>
      <c r="G355" s="24" t="n"/>
      <c r="H355" s="24" t="n"/>
      <c r="I355" s="24" t="n"/>
      <c r="J355" s="34" t="n"/>
      <c r="K355" s="24" t="n"/>
      <c r="L355" s="24" t="n"/>
      <c r="M355" s="24" t="n"/>
      <c r="N355" s="24" t="n"/>
      <c r="O355" s="34" t="n"/>
      <c r="P355" s="24" t="n"/>
      <c r="Q355" s="24" t="n"/>
      <c r="R355" s="24" t="n"/>
    </row>
    <row r="356" ht="15" customHeight="1" s="21">
      <c r="A356" s="34" t="n"/>
      <c r="B356" s="35" t="n"/>
      <c r="C356" s="34" t="n"/>
      <c r="D356" s="31" t="n"/>
      <c r="E356" s="24" t="n"/>
      <c r="F356" s="24" t="n"/>
      <c r="G356" s="24" t="n"/>
      <c r="H356" s="24" t="n"/>
      <c r="I356" s="24" t="n"/>
      <c r="J356" s="34" t="n"/>
      <c r="K356" s="24" t="n"/>
      <c r="L356" s="24" t="n"/>
      <c r="M356" s="24" t="n"/>
      <c r="N356" s="24" t="n"/>
      <c r="O356" s="34" t="n"/>
      <c r="P356" s="24" t="n"/>
      <c r="Q356" s="24" t="n"/>
      <c r="R356" s="24" t="n"/>
    </row>
    <row r="357" ht="15" customHeight="1" s="21">
      <c r="A357" s="34" t="n"/>
      <c r="B357" s="35" t="n"/>
      <c r="C357" s="34" t="n"/>
      <c r="D357" s="31" t="n"/>
      <c r="E357" s="24" t="n"/>
      <c r="F357" s="24" t="n"/>
      <c r="G357" s="24" t="n"/>
      <c r="H357" s="24" t="n"/>
      <c r="I357" s="24" t="n"/>
      <c r="J357" s="34" t="n"/>
      <c r="K357" s="24" t="n"/>
      <c r="L357" s="24" t="n"/>
      <c r="M357" s="24" t="n"/>
      <c r="N357" s="24" t="n"/>
      <c r="O357" s="34" t="n"/>
      <c r="P357" s="24" t="n"/>
      <c r="Q357" s="24" t="n"/>
      <c r="R357" s="24" t="n"/>
    </row>
    <row r="358" ht="15" customHeight="1" s="21">
      <c r="A358" s="34" t="n"/>
      <c r="B358" s="35" t="n"/>
      <c r="C358" s="34" t="n"/>
      <c r="D358" s="31" t="n"/>
      <c r="E358" s="24" t="n"/>
      <c r="F358" s="24" t="n"/>
      <c r="G358" s="24" t="n"/>
      <c r="H358" s="24" t="n"/>
      <c r="I358" s="24" t="n"/>
      <c r="J358" s="34" t="n"/>
      <c r="K358" s="24" t="n"/>
      <c r="L358" s="24" t="n"/>
      <c r="M358" s="24" t="n"/>
      <c r="N358" s="24" t="n"/>
      <c r="O358" s="34" t="n"/>
      <c r="P358" s="24" t="n"/>
      <c r="Q358" s="24" t="n"/>
      <c r="R358" s="24" t="n"/>
    </row>
    <row r="359" ht="15" customHeight="1" s="21">
      <c r="A359" s="34" t="n"/>
      <c r="B359" s="35" t="n"/>
      <c r="C359" s="34" t="n"/>
      <c r="D359" s="31" t="n"/>
      <c r="E359" s="24" t="n"/>
      <c r="F359" s="24" t="n"/>
      <c r="G359" s="24" t="n"/>
      <c r="H359" s="24" t="n"/>
      <c r="I359" s="24" t="n"/>
      <c r="J359" s="34" t="n"/>
      <c r="K359" s="24" t="n"/>
      <c r="L359" s="24" t="n"/>
      <c r="M359" s="24" t="n"/>
      <c r="N359" s="24" t="n"/>
      <c r="O359" s="34" t="n"/>
      <c r="P359" s="24" t="n"/>
      <c r="Q359" s="24" t="n"/>
      <c r="R359" s="24" t="n"/>
    </row>
    <row r="360" ht="15" customHeight="1" s="21">
      <c r="A360" s="34" t="n"/>
      <c r="B360" s="35" t="n"/>
      <c r="C360" s="34" t="n"/>
      <c r="D360" s="31" t="n"/>
      <c r="E360" s="24" t="n"/>
      <c r="F360" s="24" t="n"/>
      <c r="G360" s="24" t="n"/>
      <c r="H360" s="24" t="n"/>
      <c r="I360" s="24" t="n"/>
      <c r="J360" s="34" t="n"/>
      <c r="K360" s="24" t="n"/>
      <c r="L360" s="24" t="n"/>
      <c r="M360" s="24" t="n"/>
      <c r="N360" s="24" t="n"/>
      <c r="O360" s="34" t="n"/>
      <c r="P360" s="24" t="n"/>
      <c r="Q360" s="24" t="n"/>
      <c r="R360" s="24" t="n"/>
    </row>
    <row r="361" ht="15" customHeight="1" s="21">
      <c r="A361" s="34" t="n"/>
      <c r="B361" s="35" t="n"/>
      <c r="C361" s="34" t="n"/>
      <c r="D361" s="31" t="n"/>
      <c r="E361" s="24" t="n"/>
      <c r="F361" s="24" t="n"/>
      <c r="G361" s="24" t="n"/>
      <c r="H361" s="24" t="n"/>
      <c r="I361" s="24" t="n"/>
      <c r="J361" s="34" t="n"/>
      <c r="K361" s="24" t="n"/>
      <c r="L361" s="24" t="n"/>
      <c r="M361" s="24" t="n"/>
      <c r="N361" s="24" t="n"/>
      <c r="O361" s="34" t="n"/>
      <c r="P361" s="24" t="n"/>
      <c r="Q361" s="24" t="n"/>
      <c r="R361" s="24" t="n"/>
    </row>
    <row r="362" ht="15" customHeight="1" s="21">
      <c r="A362" s="34" t="n"/>
      <c r="B362" s="35" t="n"/>
      <c r="C362" s="34" t="n"/>
      <c r="D362" s="31" t="n"/>
      <c r="E362" s="24" t="n"/>
      <c r="F362" s="24" t="n"/>
      <c r="G362" s="24" t="n"/>
      <c r="H362" s="24" t="n"/>
      <c r="I362" s="24" t="n"/>
      <c r="J362" s="34" t="n"/>
      <c r="K362" s="24" t="n"/>
      <c r="L362" s="24" t="n"/>
      <c r="M362" s="24" t="n"/>
      <c r="N362" s="24" t="n"/>
      <c r="O362" s="34" t="n"/>
      <c r="P362" s="24" t="n"/>
      <c r="Q362" s="24" t="n"/>
      <c r="R362" s="24" t="n"/>
    </row>
    <row r="363" ht="15" customHeight="1" s="21">
      <c r="A363" s="34" t="n"/>
      <c r="B363" s="35" t="n"/>
      <c r="C363" s="34" t="n"/>
      <c r="D363" s="31" t="n"/>
      <c r="E363" s="24" t="n"/>
      <c r="F363" s="24" t="n"/>
      <c r="G363" s="24" t="n"/>
      <c r="H363" s="24" t="n"/>
      <c r="I363" s="24" t="n"/>
      <c r="J363" s="34" t="n"/>
      <c r="K363" s="24" t="n"/>
      <c r="L363" s="24" t="n"/>
      <c r="M363" s="24" t="n"/>
      <c r="N363" s="24" t="n"/>
      <c r="O363" s="34" t="n"/>
      <c r="P363" s="24" t="n"/>
      <c r="Q363" s="24" t="n"/>
      <c r="R363" s="24" t="n"/>
    </row>
    <row r="364" ht="15" customHeight="1" s="21">
      <c r="A364" s="34" t="n"/>
      <c r="B364" s="35" t="n"/>
      <c r="C364" s="34" t="n"/>
      <c r="D364" s="31" t="n"/>
      <c r="E364" s="24" t="n"/>
      <c r="F364" s="24" t="n"/>
      <c r="G364" s="24" t="n"/>
      <c r="H364" s="24" t="n"/>
      <c r="I364" s="24" t="n"/>
      <c r="J364" s="34" t="n"/>
      <c r="K364" s="24" t="n"/>
      <c r="L364" s="24" t="n"/>
      <c r="M364" s="24" t="n"/>
      <c r="N364" s="24" t="n"/>
      <c r="O364" s="34" t="n"/>
      <c r="P364" s="24" t="n"/>
      <c r="Q364" s="24" t="n"/>
      <c r="R364" s="24" t="n"/>
    </row>
    <row r="365" ht="15" customHeight="1" s="21">
      <c r="A365" s="34" t="n"/>
      <c r="B365" s="35" t="n"/>
      <c r="C365" s="34" t="n"/>
      <c r="D365" s="31" t="n"/>
      <c r="E365" s="24" t="n"/>
      <c r="F365" s="24" t="n"/>
      <c r="G365" s="24" t="n"/>
      <c r="H365" s="24" t="n"/>
      <c r="I365" s="24" t="n"/>
      <c r="J365" s="34" t="n"/>
      <c r="K365" s="24" t="n"/>
      <c r="L365" s="24" t="n"/>
      <c r="M365" s="24" t="n"/>
      <c r="N365" s="24" t="n"/>
      <c r="O365" s="34" t="n"/>
      <c r="P365" s="24" t="n"/>
      <c r="Q365" s="24" t="n"/>
      <c r="R365" s="24" t="n"/>
    </row>
    <row r="366" ht="15" customHeight="1" s="21">
      <c r="A366" s="34" t="n"/>
      <c r="B366" s="35" t="n"/>
      <c r="C366" s="34" t="n"/>
      <c r="D366" s="31" t="n"/>
      <c r="E366" s="24" t="n"/>
      <c r="F366" s="24" t="n"/>
      <c r="G366" s="24" t="n"/>
      <c r="H366" s="24" t="n"/>
      <c r="I366" s="24" t="n"/>
      <c r="J366" s="34" t="n"/>
      <c r="K366" s="24" t="n"/>
      <c r="L366" s="24" t="n"/>
      <c r="M366" s="24" t="n"/>
      <c r="N366" s="24" t="n"/>
      <c r="O366" s="34" t="n"/>
      <c r="P366" s="24" t="n"/>
      <c r="Q366" s="24" t="n"/>
      <c r="R366" s="24" t="n"/>
    </row>
    <row r="367" ht="15" customHeight="1" s="21">
      <c r="A367" s="34" t="n"/>
      <c r="B367" s="35" t="n"/>
      <c r="C367" s="34" t="n"/>
      <c r="D367" s="31" t="n"/>
      <c r="E367" s="24" t="n"/>
      <c r="F367" s="24" t="n"/>
      <c r="G367" s="24" t="n"/>
      <c r="H367" s="24" t="n"/>
      <c r="I367" s="24" t="n"/>
      <c r="J367" s="34" t="n"/>
      <c r="K367" s="24" t="n"/>
      <c r="L367" s="24" t="n"/>
      <c r="M367" s="24" t="n"/>
      <c r="N367" s="24" t="n"/>
      <c r="O367" s="34" t="n"/>
      <c r="P367" s="24" t="n"/>
      <c r="Q367" s="24" t="n"/>
      <c r="R367" s="24" t="n"/>
    </row>
    <row r="368" ht="15" customHeight="1" s="21">
      <c r="A368" s="34" t="n"/>
      <c r="B368" s="35" t="n"/>
      <c r="C368" s="34" t="n"/>
      <c r="D368" s="31" t="n"/>
      <c r="E368" s="24" t="n"/>
      <c r="F368" s="24" t="n"/>
      <c r="G368" s="24" t="n"/>
      <c r="H368" s="24" t="n"/>
      <c r="I368" s="24" t="n"/>
      <c r="J368" s="34" t="n"/>
      <c r="K368" s="24" t="n"/>
      <c r="L368" s="24" t="n"/>
      <c r="M368" s="24" t="n"/>
      <c r="N368" s="24" t="n"/>
      <c r="O368" s="34" t="n"/>
      <c r="P368" s="24" t="n"/>
      <c r="Q368" s="24" t="n"/>
      <c r="R368" s="24" t="n"/>
    </row>
    <row r="369" ht="15" customHeight="1" s="21">
      <c r="A369" s="34" t="n"/>
      <c r="B369" s="35" t="n"/>
      <c r="C369" s="34" t="n"/>
      <c r="D369" s="31" t="n"/>
      <c r="E369" s="24" t="n"/>
      <c r="F369" s="24" t="n"/>
      <c r="G369" s="24" t="n"/>
      <c r="H369" s="24" t="n"/>
      <c r="I369" s="24" t="n"/>
      <c r="J369" s="34" t="n"/>
      <c r="K369" s="24" t="n"/>
      <c r="L369" s="24" t="n"/>
      <c r="M369" s="24" t="n"/>
      <c r="N369" s="24" t="n"/>
      <c r="O369" s="34" t="n"/>
      <c r="P369" s="24" t="n"/>
      <c r="Q369" s="24" t="n"/>
      <c r="R369" s="24" t="n"/>
    </row>
    <row r="370" ht="15" customHeight="1" s="21">
      <c r="A370" s="34" t="n"/>
      <c r="B370" s="35" t="n"/>
      <c r="C370" s="34" t="n"/>
      <c r="D370" s="31" t="n"/>
      <c r="E370" s="24" t="n"/>
      <c r="F370" s="24" t="n"/>
      <c r="G370" s="24" t="n"/>
      <c r="H370" s="24" t="n"/>
      <c r="I370" s="24" t="n"/>
      <c r="J370" s="34" t="n"/>
      <c r="K370" s="24" t="n"/>
      <c r="L370" s="24" t="n"/>
      <c r="M370" s="24" t="n"/>
      <c r="N370" s="24" t="n"/>
      <c r="O370" s="34" t="n"/>
      <c r="P370" s="24" t="n"/>
      <c r="Q370" s="24" t="n"/>
      <c r="R370" s="24" t="n"/>
    </row>
    <row r="371" ht="15" customHeight="1" s="21">
      <c r="A371" s="34" t="n"/>
      <c r="B371" s="35" t="n"/>
      <c r="C371" s="34" t="n"/>
      <c r="D371" s="31" t="n"/>
      <c r="E371" s="24" t="n"/>
      <c r="F371" s="24" t="n"/>
      <c r="G371" s="24" t="n"/>
      <c r="H371" s="24" t="n"/>
      <c r="I371" s="24" t="n"/>
      <c r="J371" s="34" t="n"/>
      <c r="K371" s="24" t="n"/>
      <c r="L371" s="24" t="n"/>
      <c r="M371" s="24" t="n"/>
      <c r="N371" s="24" t="n"/>
      <c r="O371" s="34" t="n"/>
      <c r="P371" s="24" t="n"/>
      <c r="Q371" s="24" t="n"/>
      <c r="R371" s="24" t="n"/>
    </row>
    <row r="372" ht="15" customHeight="1" s="21">
      <c r="A372" s="34" t="n"/>
      <c r="B372" s="35" t="n"/>
      <c r="C372" s="34" t="n"/>
      <c r="D372" s="31" t="n"/>
      <c r="E372" s="24" t="n"/>
      <c r="F372" s="24" t="n"/>
      <c r="G372" s="24" t="n"/>
      <c r="H372" s="24" t="n"/>
      <c r="I372" s="24" t="n"/>
      <c r="J372" s="34" t="n"/>
      <c r="K372" s="24" t="n"/>
      <c r="L372" s="24" t="n"/>
      <c r="M372" s="24" t="n"/>
      <c r="N372" s="24" t="n"/>
      <c r="O372" s="34" t="n"/>
      <c r="P372" s="24" t="n"/>
      <c r="Q372" s="24" t="n"/>
      <c r="R372" s="24" t="n"/>
    </row>
    <row r="373" ht="15" customHeight="1" s="21">
      <c r="A373" s="34" t="n"/>
      <c r="B373" s="35" t="n"/>
      <c r="C373" s="34" t="n"/>
      <c r="D373" s="31" t="n"/>
      <c r="E373" s="24" t="n"/>
      <c r="F373" s="24" t="n"/>
      <c r="G373" s="24" t="n"/>
      <c r="H373" s="24" t="n"/>
      <c r="I373" s="24" t="n"/>
      <c r="J373" s="34" t="n"/>
      <c r="K373" s="24" t="n"/>
      <c r="L373" s="24" t="n"/>
      <c r="M373" s="24" t="n"/>
      <c r="N373" s="24" t="n"/>
      <c r="O373" s="34" t="n"/>
      <c r="P373" s="24" t="n"/>
      <c r="Q373" s="24" t="n"/>
      <c r="R373" s="24" t="n"/>
    </row>
    <row r="374" ht="15" customHeight="1" s="21">
      <c r="A374" s="34" t="n"/>
      <c r="B374" s="35" t="n"/>
      <c r="C374" s="34" t="n"/>
      <c r="D374" s="31" t="n"/>
      <c r="E374" s="24" t="n"/>
      <c r="F374" s="24" t="n"/>
      <c r="G374" s="24" t="n"/>
      <c r="H374" s="24" t="n"/>
      <c r="I374" s="24" t="n"/>
      <c r="J374" s="34" t="n"/>
      <c r="K374" s="24" t="n"/>
      <c r="L374" s="24" t="n"/>
      <c r="M374" s="24" t="n"/>
      <c r="N374" s="24" t="n"/>
      <c r="O374" s="34" t="n"/>
      <c r="P374" s="24" t="n"/>
      <c r="Q374" s="24" t="n"/>
      <c r="R374" s="24" t="n"/>
    </row>
    <row r="375" ht="15" customHeight="1" s="21">
      <c r="A375" s="34" t="n"/>
      <c r="B375" s="35" t="n"/>
      <c r="C375" s="34" t="n"/>
      <c r="D375" s="31" t="n"/>
      <c r="E375" s="24" t="n"/>
      <c r="F375" s="24" t="n"/>
      <c r="G375" s="24" t="n"/>
      <c r="H375" s="24" t="n"/>
      <c r="I375" s="24" t="n"/>
      <c r="J375" s="34" t="n"/>
      <c r="K375" s="24" t="n"/>
      <c r="L375" s="24" t="n"/>
      <c r="M375" s="24" t="n"/>
      <c r="N375" s="24" t="n"/>
      <c r="O375" s="34" t="n"/>
      <c r="P375" s="24" t="n"/>
      <c r="Q375" s="24" t="n"/>
      <c r="R375" s="24" t="n"/>
    </row>
    <row r="376" ht="15" customHeight="1" s="21">
      <c r="A376" s="34" t="n"/>
      <c r="B376" s="35" t="n"/>
      <c r="C376" s="34" t="n"/>
      <c r="D376" s="31" t="n"/>
      <c r="E376" s="24" t="n"/>
      <c r="F376" s="24" t="n"/>
      <c r="G376" s="24" t="n"/>
      <c r="H376" s="24" t="n"/>
      <c r="I376" s="24" t="n"/>
      <c r="J376" s="34" t="n"/>
      <c r="K376" s="24" t="n"/>
      <c r="L376" s="24" t="n"/>
      <c r="M376" s="24" t="n"/>
      <c r="N376" s="24" t="n"/>
      <c r="O376" s="34" t="n"/>
      <c r="P376" s="24" t="n"/>
      <c r="Q376" s="24" t="n"/>
      <c r="R376" s="24" t="n"/>
    </row>
    <row r="377" ht="15" customHeight="1" s="21">
      <c r="A377" s="34" t="n"/>
      <c r="B377" s="35" t="n"/>
      <c r="C377" s="34" t="n"/>
      <c r="D377" s="31" t="n"/>
      <c r="E377" s="24" t="n"/>
      <c r="F377" s="24" t="n"/>
      <c r="G377" s="24" t="n"/>
      <c r="H377" s="24" t="n"/>
      <c r="I377" s="24" t="n"/>
      <c r="J377" s="34" t="n"/>
      <c r="K377" s="24" t="n"/>
      <c r="L377" s="24" t="n"/>
      <c r="M377" s="24" t="n"/>
      <c r="N377" s="24" t="n"/>
      <c r="O377" s="34" t="n"/>
      <c r="P377" s="24" t="n"/>
      <c r="Q377" s="24" t="n"/>
      <c r="R377" s="24" t="n"/>
    </row>
    <row r="378" ht="15" customHeight="1" s="21">
      <c r="A378" s="34" t="n"/>
      <c r="B378" s="35" t="n"/>
      <c r="C378" s="34" t="n"/>
      <c r="D378" s="31" t="n"/>
      <c r="E378" s="24" t="n"/>
      <c r="F378" s="24" t="n"/>
      <c r="G378" s="24" t="n"/>
      <c r="H378" s="24" t="n"/>
      <c r="I378" s="24" t="n"/>
      <c r="J378" s="34" t="n"/>
      <c r="K378" s="24" t="n"/>
      <c r="L378" s="24" t="n"/>
      <c r="M378" s="24" t="n"/>
      <c r="N378" s="24" t="n"/>
      <c r="O378" s="34" t="n"/>
      <c r="P378" s="24" t="n"/>
      <c r="Q378" s="24" t="n"/>
      <c r="R378" s="24" t="n"/>
    </row>
    <row r="379" ht="15" customHeight="1" s="21">
      <c r="A379" s="34" t="n"/>
      <c r="B379" s="35" t="n"/>
      <c r="C379" s="34" t="n"/>
      <c r="D379" s="31" t="n"/>
      <c r="E379" s="24" t="n"/>
      <c r="F379" s="24" t="n"/>
      <c r="G379" s="24" t="n"/>
      <c r="H379" s="24" t="n"/>
      <c r="I379" s="24" t="n"/>
      <c r="J379" s="34" t="n"/>
      <c r="K379" s="24" t="n"/>
      <c r="L379" s="24" t="n"/>
      <c r="M379" s="24" t="n"/>
      <c r="N379" s="24" t="n"/>
      <c r="O379" s="34" t="n"/>
      <c r="P379" s="24" t="n"/>
      <c r="Q379" s="24" t="n"/>
      <c r="R379" s="24" t="n"/>
    </row>
    <row r="380" ht="15" customHeight="1" s="21">
      <c r="A380" s="34" t="n"/>
      <c r="B380" s="35" t="n"/>
      <c r="C380" s="34" t="n"/>
      <c r="D380" s="31" t="n"/>
      <c r="E380" s="24" t="n"/>
      <c r="F380" s="24" t="n"/>
      <c r="G380" s="24" t="n"/>
      <c r="H380" s="24" t="n"/>
      <c r="I380" s="24" t="n"/>
      <c r="J380" s="34" t="n"/>
      <c r="K380" s="24" t="n"/>
      <c r="L380" s="24" t="n"/>
      <c r="M380" s="24" t="n"/>
      <c r="N380" s="24" t="n"/>
      <c r="O380" s="34" t="n"/>
      <c r="P380" s="24" t="n"/>
      <c r="Q380" s="24" t="n"/>
      <c r="R380" s="24" t="n"/>
    </row>
    <row r="381" ht="15" customHeight="1" s="21">
      <c r="A381" s="34" t="n"/>
      <c r="B381" s="35" t="n"/>
      <c r="C381" s="34" t="n"/>
      <c r="D381" s="31" t="n"/>
      <c r="E381" s="24" t="n"/>
      <c r="F381" s="24" t="n"/>
      <c r="G381" s="24" t="n"/>
      <c r="H381" s="24" t="n"/>
      <c r="I381" s="24" t="n"/>
      <c r="J381" s="34" t="n"/>
      <c r="K381" s="24" t="n"/>
      <c r="L381" s="24" t="n"/>
      <c r="M381" s="24" t="n"/>
      <c r="N381" s="24" t="n"/>
      <c r="O381" s="34" t="n"/>
      <c r="P381" s="24" t="n"/>
      <c r="Q381" s="24" t="n"/>
      <c r="R381" s="24" t="n"/>
    </row>
    <row r="382" ht="15" customHeight="1" s="21">
      <c r="A382" s="34" t="n"/>
      <c r="B382" s="35" t="n"/>
      <c r="C382" s="34" t="n"/>
      <c r="D382" s="31" t="n"/>
      <c r="E382" s="24" t="n"/>
      <c r="F382" s="24" t="n"/>
      <c r="G382" s="24" t="n"/>
      <c r="H382" s="24" t="n"/>
      <c r="I382" s="24" t="n"/>
      <c r="J382" s="34" t="n"/>
      <c r="K382" s="24" t="n"/>
      <c r="L382" s="24" t="n"/>
      <c r="M382" s="24" t="n"/>
      <c r="N382" s="24" t="n"/>
      <c r="O382" s="34" t="n"/>
      <c r="P382" s="24" t="n"/>
      <c r="Q382" s="24" t="n"/>
      <c r="R382" s="24" t="n"/>
    </row>
    <row r="383" ht="15" customHeight="1" s="21">
      <c r="A383" s="34" t="n"/>
      <c r="B383" s="35" t="n"/>
      <c r="C383" s="34" t="n"/>
      <c r="D383" s="31" t="n"/>
      <c r="E383" s="24" t="n"/>
      <c r="F383" s="24" t="n"/>
      <c r="G383" s="24" t="n"/>
      <c r="H383" s="24" t="n"/>
      <c r="I383" s="24" t="n"/>
      <c r="J383" s="34" t="n"/>
      <c r="K383" s="24" t="n"/>
      <c r="L383" s="24" t="n"/>
      <c r="M383" s="24" t="n"/>
      <c r="N383" s="24" t="n"/>
      <c r="O383" s="34" t="n"/>
      <c r="P383" s="24" t="n"/>
      <c r="Q383" s="24" t="n"/>
      <c r="R383" s="24" t="n"/>
    </row>
    <row r="384" ht="15" customHeight="1" s="21">
      <c r="A384" s="34" t="n"/>
      <c r="B384" s="35" t="n"/>
      <c r="C384" s="34" t="n"/>
      <c r="D384" s="31" t="n"/>
      <c r="E384" s="24" t="n"/>
      <c r="F384" s="24" t="n"/>
      <c r="G384" s="24" t="n"/>
      <c r="H384" s="24" t="n"/>
      <c r="I384" s="24" t="n"/>
      <c r="J384" s="34" t="n"/>
      <c r="K384" s="24" t="n"/>
      <c r="L384" s="24" t="n"/>
      <c r="M384" s="24" t="n"/>
      <c r="N384" s="24" t="n"/>
      <c r="O384" s="34" t="n"/>
      <c r="P384" s="24" t="n"/>
      <c r="Q384" s="24" t="n"/>
      <c r="R384" s="24" t="n"/>
    </row>
    <row r="385" ht="15" customHeight="1" s="21">
      <c r="A385" s="34" t="n"/>
      <c r="B385" s="35" t="n"/>
      <c r="C385" s="34" t="n"/>
      <c r="D385" s="31" t="n"/>
      <c r="E385" s="24" t="n"/>
      <c r="F385" s="24" t="n"/>
      <c r="G385" s="24" t="n"/>
      <c r="H385" s="24" t="n"/>
      <c r="I385" s="24" t="n"/>
      <c r="J385" s="34" t="n"/>
      <c r="K385" s="24" t="n"/>
      <c r="L385" s="24" t="n"/>
      <c r="M385" s="24" t="n"/>
      <c r="N385" s="24" t="n"/>
      <c r="O385" s="34" t="n"/>
      <c r="P385" s="24" t="n"/>
      <c r="Q385" s="24" t="n"/>
      <c r="R385" s="24" t="n"/>
    </row>
    <row r="386" ht="15" customHeight="1" s="21">
      <c r="A386" s="34" t="n"/>
      <c r="B386" s="35" t="n"/>
      <c r="C386" s="34" t="n"/>
      <c r="D386" s="31" t="n"/>
      <c r="E386" s="24" t="n"/>
      <c r="F386" s="24" t="n"/>
      <c r="G386" s="24" t="n"/>
      <c r="H386" s="24" t="n"/>
      <c r="I386" s="24" t="n"/>
      <c r="J386" s="34" t="n"/>
      <c r="K386" s="24" t="n"/>
      <c r="L386" s="24" t="n"/>
      <c r="M386" s="24" t="n"/>
      <c r="N386" s="24" t="n"/>
      <c r="O386" s="34" t="n"/>
      <c r="P386" s="24" t="n"/>
      <c r="Q386" s="24" t="n"/>
      <c r="R386" s="24" t="n"/>
    </row>
    <row r="387" ht="15" customHeight="1" s="21">
      <c r="A387" s="34" t="n"/>
      <c r="B387" s="35" t="n"/>
      <c r="C387" s="34" t="n"/>
      <c r="D387" s="31" t="n"/>
      <c r="E387" s="24" t="n"/>
      <c r="F387" s="24" t="n"/>
      <c r="G387" s="24" t="n"/>
      <c r="H387" s="24" t="n"/>
      <c r="I387" s="24" t="n"/>
      <c r="J387" s="34" t="n"/>
      <c r="K387" s="24" t="n"/>
      <c r="L387" s="24" t="n"/>
      <c r="M387" s="24" t="n"/>
      <c r="N387" s="24" t="n"/>
      <c r="O387" s="34" t="n"/>
      <c r="P387" s="24" t="n"/>
      <c r="Q387" s="24" t="n"/>
      <c r="R387" s="24" t="n"/>
    </row>
    <row r="388" ht="15" customHeight="1" s="21">
      <c r="A388" s="34" t="n"/>
      <c r="B388" s="35" t="n"/>
      <c r="C388" s="34" t="n"/>
      <c r="D388" s="31" t="n"/>
      <c r="E388" s="24" t="n"/>
      <c r="F388" s="24" t="n"/>
      <c r="G388" s="24" t="n"/>
      <c r="H388" s="24" t="n"/>
      <c r="I388" s="24" t="n"/>
      <c r="J388" s="34" t="n"/>
      <c r="K388" s="24" t="n"/>
      <c r="L388" s="24" t="n"/>
      <c r="M388" s="24" t="n"/>
      <c r="N388" s="24" t="n"/>
      <c r="O388" s="34" t="n"/>
      <c r="P388" s="24" t="n"/>
      <c r="Q388" s="24" t="n"/>
      <c r="R388" s="24" t="n"/>
    </row>
    <row r="389" ht="15" customHeight="1" s="21">
      <c r="A389" s="34" t="n"/>
      <c r="B389" s="35" t="n"/>
      <c r="C389" s="34" t="n"/>
      <c r="D389" s="31" t="n"/>
      <c r="E389" s="24" t="n"/>
      <c r="F389" s="24" t="n"/>
      <c r="G389" s="24" t="n"/>
      <c r="H389" s="24" t="n"/>
      <c r="I389" s="24" t="n"/>
      <c r="J389" s="34" t="n"/>
      <c r="K389" s="24" t="n"/>
      <c r="L389" s="24" t="n"/>
      <c r="M389" s="24" t="n"/>
      <c r="N389" s="24" t="n"/>
      <c r="O389" s="34" t="n"/>
      <c r="P389" s="24" t="n"/>
      <c r="Q389" s="24" t="n"/>
      <c r="R389" s="24" t="n"/>
    </row>
    <row r="390" ht="15" customHeight="1" s="21">
      <c r="A390" s="34" t="n"/>
      <c r="B390" s="35" t="n"/>
      <c r="C390" s="34" t="n"/>
      <c r="D390" s="31" t="n"/>
      <c r="E390" s="24" t="n"/>
      <c r="F390" s="24" t="n"/>
      <c r="G390" s="24" t="n"/>
      <c r="H390" s="24" t="n"/>
      <c r="I390" s="24" t="n"/>
      <c r="J390" s="34" t="n"/>
      <c r="K390" s="24" t="n"/>
      <c r="L390" s="24" t="n"/>
      <c r="M390" s="24" t="n"/>
      <c r="N390" s="24" t="n"/>
      <c r="O390" s="34" t="n"/>
      <c r="P390" s="24" t="n"/>
      <c r="Q390" s="24" t="n"/>
      <c r="R390" s="24" t="n"/>
    </row>
    <row r="391" ht="15" customHeight="1" s="21">
      <c r="A391" s="34" t="n"/>
      <c r="B391" s="35" t="n"/>
      <c r="C391" s="34" t="n"/>
      <c r="D391" s="31" t="n"/>
      <c r="E391" s="24" t="n"/>
      <c r="F391" s="24" t="n"/>
      <c r="G391" s="24" t="n"/>
      <c r="H391" s="24" t="n"/>
      <c r="I391" s="24" t="n"/>
      <c r="J391" s="34" t="n"/>
      <c r="K391" s="24" t="n"/>
      <c r="L391" s="24" t="n"/>
      <c r="M391" s="24" t="n"/>
      <c r="N391" s="24" t="n"/>
      <c r="O391" s="34" t="n"/>
      <c r="P391" s="24" t="n"/>
      <c r="Q391" s="24" t="n"/>
      <c r="R391" s="24" t="n"/>
    </row>
    <row r="392" ht="15" customHeight="1" s="21">
      <c r="A392" s="34" t="n"/>
      <c r="B392" s="35" t="n"/>
      <c r="C392" s="34" t="n"/>
      <c r="D392" s="31" t="n"/>
      <c r="E392" s="24" t="n"/>
      <c r="F392" s="24" t="n"/>
      <c r="G392" s="24" t="n"/>
      <c r="H392" s="24" t="n"/>
      <c r="I392" s="24" t="n"/>
      <c r="J392" s="34" t="n"/>
      <c r="K392" s="24" t="n"/>
      <c r="L392" s="24" t="n"/>
      <c r="M392" s="24" t="n"/>
      <c r="N392" s="24" t="n"/>
      <c r="O392" s="34" t="n"/>
      <c r="P392" s="24" t="n"/>
      <c r="Q392" s="24" t="n"/>
      <c r="R392" s="24" t="n"/>
    </row>
    <row r="393" ht="15" customHeight="1" s="21">
      <c r="A393" s="34" t="n"/>
      <c r="B393" s="35" t="n"/>
      <c r="C393" s="34" t="n"/>
      <c r="D393" s="31" t="n"/>
      <c r="E393" s="24" t="n"/>
      <c r="F393" s="24" t="n"/>
      <c r="G393" s="24" t="n"/>
      <c r="H393" s="24" t="n"/>
      <c r="I393" s="24" t="n"/>
      <c r="J393" s="34" t="n"/>
      <c r="K393" s="24" t="n"/>
      <c r="L393" s="24" t="n"/>
      <c r="M393" s="24" t="n"/>
      <c r="N393" s="24" t="n"/>
      <c r="O393" s="34" t="n"/>
      <c r="P393" s="24" t="n"/>
      <c r="Q393" s="24" t="n"/>
      <c r="R393" s="24" t="n"/>
    </row>
    <row r="394" ht="15" customHeight="1" s="21">
      <c r="A394" s="34" t="n"/>
      <c r="B394" s="35" t="n"/>
      <c r="C394" s="34" t="n"/>
      <c r="D394" s="31" t="n"/>
      <c r="E394" s="24" t="n"/>
      <c r="F394" s="24" t="n"/>
      <c r="G394" s="24" t="n"/>
      <c r="H394" s="24" t="n"/>
      <c r="I394" s="24" t="n"/>
      <c r="J394" s="34" t="n"/>
      <c r="K394" s="24" t="n"/>
      <c r="L394" s="24" t="n"/>
      <c r="M394" s="24" t="n"/>
      <c r="N394" s="24" t="n"/>
      <c r="O394" s="34" t="n"/>
      <c r="P394" s="24" t="n"/>
      <c r="Q394" s="24" t="n"/>
      <c r="R394" s="24" t="n"/>
    </row>
    <row r="395" ht="15" customHeight="1" s="21">
      <c r="A395" s="34" t="n"/>
      <c r="B395" s="35" t="n"/>
      <c r="C395" s="34" t="n"/>
      <c r="D395" s="31" t="n"/>
      <c r="E395" s="24" t="n"/>
      <c r="F395" s="24" t="n"/>
      <c r="G395" s="24" t="n"/>
      <c r="H395" s="24" t="n"/>
      <c r="I395" s="24" t="n"/>
      <c r="J395" s="34" t="n"/>
      <c r="K395" s="24" t="n"/>
      <c r="L395" s="24" t="n"/>
      <c r="M395" s="24" t="n"/>
      <c r="N395" s="24" t="n"/>
      <c r="O395" s="34" t="n"/>
      <c r="P395" s="24" t="n"/>
      <c r="Q395" s="24" t="n"/>
      <c r="R395" s="24" t="n"/>
    </row>
    <row r="396" ht="15" customHeight="1" s="21">
      <c r="A396" s="34" t="n"/>
      <c r="B396" s="35" t="n"/>
      <c r="C396" s="34" t="n"/>
      <c r="D396" s="31" t="n"/>
      <c r="E396" s="24" t="n"/>
      <c r="F396" s="24" t="n"/>
      <c r="G396" s="24" t="n"/>
      <c r="H396" s="24" t="n"/>
      <c r="I396" s="24" t="n"/>
      <c r="J396" s="34" t="n"/>
      <c r="K396" s="24" t="n"/>
      <c r="L396" s="24" t="n"/>
      <c r="M396" s="24" t="n"/>
      <c r="N396" s="24" t="n"/>
      <c r="O396" s="34" t="n"/>
      <c r="P396" s="24" t="n"/>
      <c r="Q396" s="24" t="n"/>
      <c r="R396" s="24" t="n"/>
    </row>
    <row r="397" ht="15" customHeight="1" s="21">
      <c r="A397" s="34" t="n"/>
      <c r="B397" s="35" t="n"/>
      <c r="C397" s="34" t="n"/>
      <c r="D397" s="31" t="n"/>
      <c r="E397" s="24" t="n"/>
      <c r="F397" s="24" t="n"/>
      <c r="G397" s="24" t="n"/>
      <c r="H397" s="24" t="n"/>
      <c r="I397" s="24" t="n"/>
      <c r="J397" s="34" t="n"/>
      <c r="K397" s="24" t="n"/>
      <c r="L397" s="24" t="n"/>
      <c r="M397" s="24" t="n"/>
      <c r="N397" s="24" t="n"/>
      <c r="O397" s="34" t="n"/>
      <c r="P397" s="24" t="n"/>
      <c r="Q397" s="24" t="n"/>
      <c r="R397" s="24" t="n"/>
    </row>
    <row r="398" ht="15" customHeight="1" s="21">
      <c r="A398" s="34" t="n"/>
      <c r="B398" s="35" t="n"/>
      <c r="C398" s="34" t="n"/>
      <c r="D398" s="31" t="n"/>
      <c r="E398" s="24" t="n"/>
      <c r="F398" s="24" t="n"/>
      <c r="G398" s="24" t="n"/>
      <c r="H398" s="24" t="n"/>
      <c r="I398" s="24" t="n"/>
      <c r="J398" s="34" t="n"/>
      <c r="K398" s="24" t="n"/>
      <c r="L398" s="24" t="n"/>
      <c r="M398" s="24" t="n"/>
      <c r="N398" s="24" t="n"/>
      <c r="O398" s="34" t="n"/>
      <c r="P398" s="24" t="n"/>
      <c r="Q398" s="24" t="n"/>
      <c r="R398" s="24" t="n"/>
    </row>
    <row r="399" ht="15" customHeight="1" s="21">
      <c r="A399" s="34" t="n"/>
      <c r="B399" s="35" t="n"/>
      <c r="C399" s="34" t="n"/>
      <c r="D399" s="31" t="n"/>
      <c r="E399" s="24" t="n"/>
      <c r="F399" s="24" t="n"/>
      <c r="G399" s="24" t="n"/>
      <c r="H399" s="24" t="n"/>
      <c r="I399" s="24" t="n"/>
      <c r="J399" s="34" t="n"/>
      <c r="K399" s="24" t="n"/>
      <c r="L399" s="24" t="n"/>
      <c r="M399" s="24" t="n"/>
      <c r="N399" s="24" t="n"/>
      <c r="O399" s="34" t="n"/>
      <c r="P399" s="24" t="n"/>
      <c r="Q399" s="24" t="n"/>
      <c r="R399" s="24" t="n"/>
    </row>
    <row r="400" ht="15" customHeight="1" s="21">
      <c r="A400" s="34" t="n"/>
      <c r="B400" s="35" t="n"/>
      <c r="C400" s="34" t="n"/>
      <c r="D400" s="31" t="n"/>
      <c r="E400" s="24" t="n"/>
      <c r="F400" s="24" t="n"/>
      <c r="G400" s="24" t="n"/>
      <c r="H400" s="24" t="n"/>
      <c r="I400" s="24" t="n"/>
      <c r="J400" s="34" t="n"/>
      <c r="K400" s="24" t="n"/>
      <c r="L400" s="24" t="n"/>
      <c r="M400" s="24" t="n"/>
      <c r="N400" s="24" t="n"/>
      <c r="O400" s="34" t="n"/>
      <c r="P400" s="24" t="n"/>
      <c r="Q400" s="24" t="n"/>
      <c r="R400" s="24" t="n"/>
    </row>
    <row r="401" ht="15" customHeight="1" s="21">
      <c r="A401" s="34" t="n"/>
      <c r="B401" s="35" t="n"/>
      <c r="C401" s="34" t="n"/>
      <c r="D401" s="31" t="n"/>
      <c r="E401" s="24" t="n"/>
      <c r="F401" s="24" t="n"/>
      <c r="G401" s="24" t="n"/>
      <c r="H401" s="24" t="n"/>
      <c r="I401" s="24" t="n"/>
      <c r="J401" s="34" t="n"/>
      <c r="K401" s="24" t="n"/>
      <c r="L401" s="24" t="n"/>
      <c r="M401" s="24" t="n"/>
      <c r="N401" s="24" t="n"/>
      <c r="O401" s="34" t="n"/>
      <c r="P401" s="24" t="n"/>
      <c r="Q401" s="24" t="n"/>
      <c r="R401" s="24" t="n"/>
    </row>
    <row r="402" ht="15" customHeight="1" s="21">
      <c r="A402" s="34" t="n"/>
      <c r="B402" s="35" t="n"/>
      <c r="C402" s="34" t="n"/>
      <c r="D402" s="31" t="n"/>
      <c r="E402" s="24" t="n"/>
      <c r="F402" s="24" t="n"/>
      <c r="G402" s="24" t="n"/>
      <c r="H402" s="24" t="n"/>
      <c r="I402" s="24" t="n"/>
      <c r="J402" s="34" t="n"/>
      <c r="K402" s="24" t="n"/>
      <c r="L402" s="24" t="n"/>
      <c r="M402" s="24" t="n"/>
      <c r="N402" s="24" t="n"/>
      <c r="O402" s="34" t="n"/>
      <c r="P402" s="24" t="n"/>
      <c r="Q402" s="24" t="n"/>
      <c r="R402" s="24" t="n"/>
    </row>
    <row r="403" ht="15" customHeight="1" s="21">
      <c r="A403" s="34" t="n"/>
      <c r="B403" s="35" t="n"/>
      <c r="C403" s="34" t="n"/>
      <c r="D403" s="31" t="n"/>
      <c r="E403" s="24" t="n"/>
      <c r="F403" s="24" t="n"/>
      <c r="G403" s="24" t="n"/>
      <c r="H403" s="24" t="n"/>
      <c r="I403" s="24" t="n"/>
      <c r="J403" s="34" t="n"/>
      <c r="K403" s="24" t="n"/>
      <c r="L403" s="24" t="n"/>
      <c r="M403" s="24" t="n"/>
      <c r="N403" s="24" t="n"/>
      <c r="O403" s="34" t="n"/>
      <c r="P403" s="24" t="n"/>
      <c r="Q403" s="24" t="n"/>
      <c r="R403" s="24" t="n"/>
    </row>
    <row r="404" ht="15" customHeight="1" s="21">
      <c r="A404" s="34" t="n"/>
      <c r="B404" s="35" t="n"/>
      <c r="C404" s="34" t="n"/>
      <c r="D404" s="31" t="n"/>
      <c r="E404" s="24" t="n"/>
      <c r="F404" s="24" t="n"/>
      <c r="G404" s="24" t="n"/>
      <c r="H404" s="24" t="n"/>
      <c r="I404" s="24" t="n"/>
      <c r="J404" s="34" t="n"/>
      <c r="K404" s="24" t="n"/>
      <c r="L404" s="24" t="n"/>
      <c r="M404" s="24" t="n"/>
      <c r="N404" s="24" t="n"/>
      <c r="O404" s="34" t="n"/>
      <c r="P404" s="24" t="n"/>
      <c r="Q404" s="24" t="n"/>
      <c r="R404" s="24" t="n"/>
    </row>
    <row r="405" ht="15" customHeight="1" s="21">
      <c r="A405" s="34" t="n"/>
      <c r="B405" s="35" t="n"/>
      <c r="C405" s="34" t="n"/>
      <c r="D405" s="31" t="n"/>
      <c r="E405" s="24" t="n"/>
      <c r="F405" s="24" t="n"/>
      <c r="G405" s="24" t="n"/>
      <c r="H405" s="24" t="n"/>
      <c r="I405" s="24" t="n"/>
      <c r="J405" s="34" t="n"/>
      <c r="K405" s="24" t="n"/>
      <c r="L405" s="24" t="n"/>
      <c r="M405" s="24" t="n"/>
      <c r="N405" s="24" t="n"/>
      <c r="O405" s="34" t="n"/>
      <c r="P405" s="24" t="n"/>
      <c r="Q405" s="24" t="n"/>
      <c r="R405" s="24" t="n"/>
    </row>
    <row r="406" ht="15" customHeight="1" s="21">
      <c r="A406" s="34" t="n"/>
      <c r="B406" s="35" t="n"/>
      <c r="C406" s="34" t="n"/>
      <c r="D406" s="31" t="n"/>
      <c r="E406" s="24" t="n"/>
      <c r="F406" s="24" t="n"/>
      <c r="G406" s="24" t="n"/>
      <c r="H406" s="24" t="n"/>
      <c r="I406" s="24" t="n"/>
      <c r="J406" s="34" t="n"/>
      <c r="K406" s="24" t="n"/>
      <c r="L406" s="24" t="n"/>
      <c r="M406" s="24" t="n"/>
      <c r="N406" s="24" t="n"/>
      <c r="O406" s="34" t="n"/>
      <c r="P406" s="24" t="n"/>
      <c r="Q406" s="24" t="n"/>
      <c r="R406" s="24" t="n"/>
    </row>
    <row r="407" ht="15" customHeight="1" s="21">
      <c r="A407" s="34" t="n"/>
      <c r="B407" s="35" t="n"/>
      <c r="C407" s="34" t="n"/>
      <c r="D407" s="31" t="n"/>
      <c r="E407" s="24" t="n"/>
      <c r="F407" s="24" t="n"/>
      <c r="G407" s="24" t="n"/>
      <c r="H407" s="24" t="n"/>
      <c r="I407" s="24" t="n"/>
      <c r="J407" s="34" t="n"/>
      <c r="K407" s="24" t="n"/>
      <c r="L407" s="24" t="n"/>
      <c r="M407" s="24" t="n"/>
      <c r="N407" s="24" t="n"/>
      <c r="O407" s="34" t="n"/>
      <c r="P407" s="24" t="n"/>
      <c r="Q407" s="24" t="n"/>
      <c r="R407" s="24" t="n"/>
    </row>
    <row r="408" ht="15" customHeight="1" s="21">
      <c r="A408" s="34" t="n"/>
      <c r="B408" s="35" t="n"/>
      <c r="C408" s="34" t="n"/>
      <c r="D408" s="31" t="n"/>
      <c r="E408" s="24" t="n"/>
      <c r="F408" s="24" t="n"/>
      <c r="G408" s="24" t="n"/>
      <c r="H408" s="24" t="n"/>
      <c r="I408" s="24" t="n"/>
      <c r="J408" s="34" t="n"/>
      <c r="K408" s="24" t="n"/>
      <c r="L408" s="24" t="n"/>
      <c r="M408" s="24" t="n"/>
      <c r="N408" s="24" t="n"/>
      <c r="O408" s="34" t="n"/>
      <c r="P408" s="24" t="n"/>
      <c r="Q408" s="24" t="n"/>
      <c r="R408" s="24" t="n"/>
    </row>
    <row r="409" ht="15" customHeight="1" s="21">
      <c r="A409" s="34" t="n"/>
      <c r="B409" s="35" t="n"/>
      <c r="C409" s="34" t="n"/>
      <c r="D409" s="31" t="n"/>
      <c r="E409" s="24" t="n"/>
      <c r="F409" s="24" t="n"/>
      <c r="G409" s="24" t="n"/>
      <c r="H409" s="24" t="n"/>
      <c r="I409" s="24" t="n"/>
      <c r="J409" s="34" t="n"/>
      <c r="K409" s="24" t="n"/>
      <c r="L409" s="24" t="n"/>
      <c r="M409" s="24" t="n"/>
      <c r="N409" s="24" t="n"/>
      <c r="O409" s="34" t="n"/>
      <c r="P409" s="24" t="n"/>
      <c r="Q409" s="24" t="n"/>
      <c r="R409" s="24" t="n"/>
    </row>
    <row r="410" ht="15" customHeight="1" s="21">
      <c r="A410" s="34" t="n"/>
      <c r="B410" s="35" t="n"/>
      <c r="C410" s="34" t="n"/>
      <c r="D410" s="31" t="n"/>
      <c r="E410" s="24" t="n"/>
      <c r="F410" s="24" t="n"/>
      <c r="G410" s="24" t="n"/>
      <c r="H410" s="24" t="n"/>
      <c r="I410" s="24" t="n"/>
      <c r="J410" s="34" t="n"/>
      <c r="K410" s="24" t="n"/>
      <c r="L410" s="24" t="n"/>
      <c r="M410" s="24" t="n"/>
      <c r="N410" s="24" t="n"/>
      <c r="O410" s="34" t="n"/>
      <c r="P410" s="24" t="n"/>
      <c r="Q410" s="24" t="n"/>
      <c r="R410" s="24" t="n"/>
    </row>
    <row r="411" ht="15" customHeight="1" s="21">
      <c r="A411" s="34" t="n"/>
      <c r="B411" s="35" t="n"/>
      <c r="C411" s="34" t="n"/>
      <c r="D411" s="31" t="n"/>
      <c r="E411" s="24" t="n"/>
      <c r="F411" s="24" t="n"/>
      <c r="G411" s="24" t="n"/>
      <c r="H411" s="24" t="n"/>
      <c r="I411" s="24" t="n"/>
      <c r="J411" s="34" t="n"/>
      <c r="K411" s="24" t="n"/>
      <c r="L411" s="24" t="n"/>
      <c r="M411" s="24" t="n"/>
      <c r="N411" s="24" t="n"/>
      <c r="O411" s="34" t="n"/>
      <c r="P411" s="24" t="n"/>
      <c r="Q411" s="24" t="n"/>
      <c r="R411" s="24" t="n"/>
    </row>
    <row r="412" ht="15" customHeight="1" s="21">
      <c r="A412" s="34" t="n"/>
      <c r="B412" s="35" t="n"/>
      <c r="C412" s="34" t="n"/>
      <c r="D412" s="31" t="n"/>
      <c r="E412" s="24" t="n"/>
      <c r="F412" s="24" t="n"/>
      <c r="G412" s="24" t="n"/>
      <c r="H412" s="24" t="n"/>
      <c r="I412" s="24" t="n"/>
      <c r="J412" s="34" t="n"/>
      <c r="K412" s="24" t="n"/>
      <c r="L412" s="24" t="n"/>
      <c r="M412" s="24" t="n"/>
      <c r="N412" s="24" t="n"/>
      <c r="O412" s="34" t="n"/>
      <c r="P412" s="24" t="n"/>
      <c r="Q412" s="24" t="n"/>
      <c r="R412" s="24" t="n"/>
    </row>
    <row r="413" ht="15" customHeight="1" s="21">
      <c r="A413" s="34" t="n"/>
      <c r="B413" s="35" t="n"/>
      <c r="C413" s="34" t="n"/>
      <c r="D413" s="31" t="n"/>
      <c r="E413" s="24" t="n"/>
      <c r="F413" s="24" t="n"/>
      <c r="G413" s="24" t="n"/>
      <c r="H413" s="24" t="n"/>
      <c r="I413" s="24" t="n"/>
      <c r="J413" s="34" t="n"/>
      <c r="K413" s="24" t="n"/>
      <c r="L413" s="24" t="n"/>
      <c r="M413" s="24" t="n"/>
      <c r="N413" s="24" t="n"/>
      <c r="O413" s="34" t="n"/>
      <c r="P413" s="24" t="n"/>
      <c r="Q413" s="24" t="n"/>
      <c r="R413" s="24" t="n"/>
    </row>
    <row r="414" ht="15" customHeight="1" s="21">
      <c r="A414" s="34" t="n"/>
      <c r="B414" s="35" t="n"/>
      <c r="C414" s="34" t="n"/>
      <c r="D414" s="31" t="n"/>
      <c r="E414" s="24" t="n"/>
      <c r="F414" s="24" t="n"/>
      <c r="G414" s="24" t="n"/>
      <c r="H414" s="24" t="n"/>
      <c r="I414" s="24" t="n"/>
      <c r="J414" s="34" t="n"/>
      <c r="K414" s="24" t="n"/>
      <c r="L414" s="24" t="n"/>
      <c r="M414" s="24" t="n"/>
      <c r="N414" s="24" t="n"/>
      <c r="O414" s="34" t="n"/>
      <c r="P414" s="24" t="n"/>
      <c r="Q414" s="24" t="n"/>
      <c r="R414" s="24" t="n"/>
    </row>
    <row r="415" ht="15" customHeight="1" s="21">
      <c r="A415" s="34" t="n"/>
      <c r="B415" s="35" t="n"/>
      <c r="C415" s="34" t="n"/>
      <c r="D415" s="31" t="n"/>
      <c r="E415" s="24" t="n"/>
      <c r="F415" s="24" t="n"/>
      <c r="G415" s="24" t="n"/>
      <c r="H415" s="24" t="n"/>
      <c r="I415" s="24" t="n"/>
      <c r="J415" s="34" t="n"/>
      <c r="K415" s="24" t="n"/>
      <c r="L415" s="24" t="n"/>
      <c r="M415" s="24" t="n"/>
      <c r="N415" s="24" t="n"/>
      <c r="O415" s="34" t="n"/>
      <c r="P415" s="24" t="n"/>
      <c r="Q415" s="24" t="n"/>
      <c r="R415" s="24" t="n"/>
    </row>
    <row r="416" ht="15" customHeight="1" s="21">
      <c r="A416" s="34" t="n"/>
      <c r="B416" s="35" t="n"/>
      <c r="C416" s="34" t="n"/>
      <c r="D416" s="31" t="n"/>
      <c r="E416" s="24" t="n"/>
      <c r="F416" s="24" t="n"/>
      <c r="G416" s="24" t="n"/>
      <c r="H416" s="24" t="n"/>
      <c r="I416" s="24" t="n"/>
      <c r="J416" s="34" t="n"/>
      <c r="K416" s="24" t="n"/>
      <c r="L416" s="24" t="n"/>
      <c r="M416" s="24" t="n"/>
      <c r="N416" s="24" t="n"/>
      <c r="O416" s="34" t="n"/>
      <c r="P416" s="24" t="n"/>
      <c r="Q416" s="24" t="n"/>
      <c r="R416" s="24" t="n"/>
    </row>
    <row r="417" ht="15" customHeight="1" s="21">
      <c r="A417" s="34" t="n"/>
      <c r="B417" s="35" t="n"/>
      <c r="C417" s="34" t="n"/>
      <c r="D417" s="31" t="n"/>
      <c r="E417" s="24" t="n"/>
      <c r="F417" s="24" t="n"/>
      <c r="G417" s="24" t="n"/>
      <c r="H417" s="24" t="n"/>
      <c r="I417" s="24" t="n"/>
      <c r="J417" s="34" t="n"/>
      <c r="K417" s="24" t="n"/>
      <c r="L417" s="24" t="n"/>
      <c r="M417" s="24" t="n"/>
      <c r="N417" s="24" t="n"/>
      <c r="O417" s="34" t="n"/>
      <c r="P417" s="24" t="n"/>
      <c r="Q417" s="24" t="n"/>
      <c r="R417" s="24" t="n"/>
    </row>
    <row r="418" ht="15" customHeight="1" s="21">
      <c r="A418" s="34" t="n"/>
      <c r="B418" s="35" t="n"/>
      <c r="C418" s="34" t="n"/>
      <c r="D418" s="31" t="n"/>
      <c r="E418" s="24" t="n"/>
      <c r="F418" s="24" t="n"/>
      <c r="G418" s="24" t="n"/>
      <c r="H418" s="24" t="n"/>
      <c r="I418" s="24" t="n"/>
      <c r="J418" s="34" t="n"/>
      <c r="K418" s="24" t="n"/>
      <c r="L418" s="24" t="n"/>
      <c r="M418" s="24" t="n"/>
      <c r="N418" s="24" t="n"/>
      <c r="O418" s="34" t="n"/>
      <c r="P418" s="24" t="n"/>
      <c r="Q418" s="24" t="n"/>
      <c r="R418" s="24" t="n"/>
    </row>
    <row r="419" ht="15" customHeight="1" s="21">
      <c r="A419" s="34" t="n"/>
      <c r="B419" s="35" t="n"/>
      <c r="C419" s="34" t="n"/>
      <c r="D419" s="31" t="n"/>
      <c r="E419" s="24" t="n"/>
      <c r="F419" s="24" t="n"/>
      <c r="G419" s="24" t="n"/>
      <c r="H419" s="24" t="n"/>
      <c r="I419" s="24" t="n"/>
      <c r="J419" s="34" t="n"/>
      <c r="K419" s="24" t="n"/>
      <c r="L419" s="24" t="n"/>
      <c r="M419" s="24" t="n"/>
      <c r="N419" s="24" t="n"/>
      <c r="O419" s="34" t="n"/>
      <c r="P419" s="24" t="n"/>
      <c r="Q419" s="24" t="n"/>
      <c r="R419" s="24" t="n"/>
    </row>
    <row r="420" ht="15" customHeight="1" s="21">
      <c r="A420" s="34" t="n"/>
      <c r="B420" s="35" t="n"/>
      <c r="C420" s="34" t="n"/>
      <c r="D420" s="31" t="n"/>
      <c r="E420" s="24" t="n"/>
      <c r="F420" s="24" t="n"/>
      <c r="G420" s="24" t="n"/>
      <c r="H420" s="24" t="n"/>
      <c r="I420" s="24" t="n"/>
      <c r="J420" s="34" t="n"/>
      <c r="K420" s="24" t="n"/>
      <c r="L420" s="24" t="n"/>
      <c r="M420" s="24" t="n"/>
      <c r="N420" s="24" t="n"/>
      <c r="O420" s="34" t="n"/>
      <c r="P420" s="24" t="n"/>
      <c r="Q420" s="24" t="n"/>
      <c r="R420" s="24" t="n"/>
    </row>
    <row r="421" ht="15" customHeight="1" s="21">
      <c r="A421" s="34" t="n"/>
      <c r="B421" s="35" t="n"/>
      <c r="C421" s="34" t="n"/>
      <c r="D421" s="31" t="n"/>
      <c r="E421" s="24" t="n"/>
      <c r="F421" s="24" t="n"/>
      <c r="G421" s="24" t="n"/>
      <c r="H421" s="24" t="n"/>
      <c r="I421" s="24" t="n"/>
      <c r="J421" s="34" t="n"/>
      <c r="K421" s="24" t="n"/>
      <c r="L421" s="24" t="n"/>
      <c r="M421" s="24" t="n"/>
      <c r="N421" s="24" t="n"/>
      <c r="O421" s="34" t="n"/>
      <c r="P421" s="24" t="n"/>
      <c r="Q421" s="24" t="n"/>
      <c r="R421" s="24" t="n"/>
    </row>
    <row r="422" ht="15" customHeight="1" s="21">
      <c r="A422" s="34" t="n"/>
      <c r="B422" s="35" t="n"/>
      <c r="C422" s="34" t="n"/>
      <c r="D422" s="31" t="n"/>
      <c r="E422" s="24" t="n"/>
      <c r="F422" s="24" t="n"/>
      <c r="G422" s="24" t="n"/>
      <c r="H422" s="24" t="n"/>
      <c r="I422" s="24" t="n"/>
      <c r="J422" s="34" t="n"/>
      <c r="K422" s="24" t="n"/>
      <c r="L422" s="24" t="n"/>
      <c r="M422" s="24" t="n"/>
      <c r="N422" s="24" t="n"/>
      <c r="O422" s="34" t="n"/>
      <c r="P422" s="24" t="n"/>
      <c r="Q422" s="24" t="n"/>
      <c r="R422" s="24" t="n"/>
    </row>
    <row r="423" ht="15" customHeight="1" s="21">
      <c r="A423" s="34" t="n"/>
      <c r="B423" s="35" t="n"/>
      <c r="C423" s="34" t="n"/>
      <c r="D423" s="31" t="n"/>
      <c r="E423" s="24" t="n"/>
      <c r="F423" s="24" t="n"/>
      <c r="G423" s="24" t="n"/>
      <c r="H423" s="24" t="n"/>
      <c r="I423" s="24" t="n"/>
      <c r="J423" s="34" t="n"/>
      <c r="K423" s="24" t="n"/>
      <c r="L423" s="24" t="n"/>
      <c r="M423" s="24" t="n"/>
      <c r="N423" s="24" t="n"/>
      <c r="O423" s="34" t="n"/>
      <c r="P423" s="24" t="n"/>
      <c r="Q423" s="24" t="n"/>
      <c r="R423" s="24" t="n"/>
    </row>
    <row r="424" ht="15" customHeight="1" s="21">
      <c r="A424" s="34" t="n"/>
      <c r="B424" s="35" t="n"/>
      <c r="C424" s="34" t="n"/>
      <c r="D424" s="31" t="n"/>
      <c r="E424" s="24" t="n"/>
      <c r="F424" s="24" t="n"/>
      <c r="G424" s="24" t="n"/>
      <c r="H424" s="24" t="n"/>
      <c r="I424" s="24" t="n"/>
      <c r="J424" s="34" t="n"/>
      <c r="K424" s="24" t="n"/>
      <c r="L424" s="24" t="n"/>
      <c r="M424" s="24" t="n"/>
      <c r="N424" s="24" t="n"/>
      <c r="O424" s="34" t="n"/>
      <c r="P424" s="24" t="n"/>
      <c r="Q424" s="24" t="n"/>
      <c r="R424" s="24" t="n"/>
    </row>
    <row r="425" ht="15" customHeight="1" s="21">
      <c r="A425" s="34" t="n"/>
      <c r="B425" s="35" t="n"/>
      <c r="C425" s="34" t="n"/>
      <c r="D425" s="31" t="n"/>
      <c r="E425" s="24" t="n"/>
      <c r="F425" s="24" t="n"/>
      <c r="G425" s="24" t="n"/>
      <c r="H425" s="24" t="n"/>
      <c r="I425" s="24" t="n"/>
      <c r="J425" s="34" t="n"/>
      <c r="K425" s="24" t="n"/>
      <c r="L425" s="24" t="n"/>
      <c r="M425" s="24" t="n"/>
      <c r="N425" s="24" t="n"/>
      <c r="O425" s="34" t="n"/>
      <c r="P425" s="24" t="n"/>
      <c r="Q425" s="24" t="n"/>
      <c r="R425" s="24" t="n"/>
    </row>
    <row r="426" ht="15" customHeight="1" s="21">
      <c r="A426" s="34" t="n"/>
      <c r="B426" s="35" t="n"/>
      <c r="C426" s="34" t="n"/>
      <c r="D426" s="31" t="n"/>
      <c r="E426" s="24" t="n"/>
      <c r="F426" s="24" t="n"/>
      <c r="G426" s="24" t="n"/>
      <c r="H426" s="24" t="n"/>
      <c r="I426" s="24" t="n"/>
      <c r="J426" s="34" t="n"/>
      <c r="K426" s="24" t="n"/>
      <c r="L426" s="24" t="n"/>
      <c r="M426" s="24" t="n"/>
      <c r="N426" s="24" t="n"/>
      <c r="O426" s="34" t="n"/>
      <c r="P426" s="24" t="n"/>
      <c r="Q426" s="24" t="n"/>
      <c r="R426" s="24" t="n"/>
    </row>
    <row r="427" ht="15" customHeight="1" s="21">
      <c r="A427" s="34" t="n"/>
      <c r="B427" s="35" t="n"/>
      <c r="C427" s="34" t="n"/>
      <c r="D427" s="31" t="n"/>
      <c r="E427" s="24" t="n"/>
      <c r="F427" s="24" t="n"/>
      <c r="G427" s="24" t="n"/>
      <c r="H427" s="24" t="n"/>
      <c r="I427" s="24" t="n"/>
      <c r="J427" s="34" t="n"/>
      <c r="K427" s="24" t="n"/>
      <c r="L427" s="24" t="n"/>
      <c r="M427" s="24" t="n"/>
      <c r="N427" s="24" t="n"/>
      <c r="O427" s="34" t="n"/>
      <c r="P427" s="24" t="n"/>
      <c r="Q427" s="24" t="n"/>
      <c r="R427" s="24" t="n"/>
    </row>
    <row r="428" ht="15" customHeight="1" s="21">
      <c r="A428" s="34" t="n"/>
      <c r="B428" s="35" t="n"/>
      <c r="C428" s="34" t="n"/>
      <c r="D428" s="31" t="n"/>
      <c r="E428" s="24" t="n"/>
      <c r="F428" s="24" t="n"/>
      <c r="G428" s="24" t="n"/>
      <c r="H428" s="24" t="n"/>
      <c r="I428" s="24" t="n"/>
      <c r="J428" s="34" t="n"/>
      <c r="K428" s="24" t="n"/>
      <c r="L428" s="24" t="n"/>
      <c r="M428" s="24" t="n"/>
      <c r="N428" s="24" t="n"/>
      <c r="O428" s="34" t="n"/>
      <c r="P428" s="24" t="n"/>
      <c r="Q428" s="24" t="n"/>
      <c r="R428" s="24" t="n"/>
    </row>
    <row r="429" ht="15" customHeight="1" s="21">
      <c r="A429" s="34" t="n"/>
      <c r="B429" s="35" t="n"/>
      <c r="C429" s="34" t="n"/>
      <c r="D429" s="31" t="n"/>
      <c r="E429" s="24" t="n"/>
      <c r="F429" s="24" t="n"/>
      <c r="G429" s="24" t="n"/>
      <c r="H429" s="24" t="n"/>
      <c r="I429" s="24" t="n"/>
      <c r="J429" s="34" t="n"/>
      <c r="K429" s="24" t="n"/>
      <c r="L429" s="24" t="n"/>
      <c r="M429" s="24" t="n"/>
      <c r="N429" s="24" t="n"/>
      <c r="O429" s="34" t="n"/>
      <c r="P429" s="24" t="n"/>
      <c r="Q429" s="24" t="n"/>
      <c r="R429" s="24" t="n"/>
    </row>
    <row r="430" ht="15" customHeight="1" s="21">
      <c r="A430" s="34" t="n"/>
      <c r="B430" s="35" t="n"/>
      <c r="C430" s="34" t="n"/>
      <c r="D430" s="31" t="n"/>
      <c r="E430" s="24" t="n"/>
      <c r="F430" s="24" t="n"/>
      <c r="G430" s="24" t="n"/>
      <c r="H430" s="24" t="n"/>
      <c r="I430" s="24" t="n"/>
      <c r="J430" s="34" t="n"/>
      <c r="K430" s="24" t="n"/>
      <c r="L430" s="24" t="n"/>
      <c r="M430" s="24" t="n"/>
      <c r="N430" s="24" t="n"/>
      <c r="O430" s="34" t="n"/>
      <c r="P430" s="24" t="n"/>
      <c r="Q430" s="24" t="n"/>
      <c r="R430" s="24" t="n"/>
    </row>
    <row r="431" ht="15" customHeight="1" s="21">
      <c r="A431" s="34" t="n"/>
      <c r="B431" s="35" t="n"/>
      <c r="C431" s="34" t="n"/>
      <c r="D431" s="31" t="n"/>
      <c r="E431" s="24" t="n"/>
      <c r="F431" s="24" t="n"/>
      <c r="G431" s="24" t="n"/>
      <c r="H431" s="24" t="n"/>
      <c r="I431" s="24" t="n"/>
      <c r="J431" s="34" t="n"/>
      <c r="K431" s="24" t="n"/>
      <c r="L431" s="24" t="n"/>
      <c r="M431" s="24" t="n"/>
      <c r="N431" s="24" t="n"/>
      <c r="O431" s="34" t="n"/>
      <c r="P431" s="24" t="n"/>
      <c r="Q431" s="24" t="n"/>
      <c r="R431" s="24" t="n"/>
    </row>
    <row r="432" ht="15" customHeight="1" s="21">
      <c r="A432" s="34" t="n"/>
      <c r="B432" s="35" t="n"/>
      <c r="C432" s="34" t="n"/>
      <c r="D432" s="31" t="n"/>
      <c r="E432" s="24" t="n"/>
      <c r="F432" s="24" t="n"/>
      <c r="G432" s="24" t="n"/>
      <c r="H432" s="24" t="n"/>
      <c r="I432" s="24" t="n"/>
      <c r="J432" s="34" t="n"/>
      <c r="K432" s="24" t="n"/>
      <c r="L432" s="24" t="n"/>
      <c r="M432" s="24" t="n"/>
      <c r="N432" s="24" t="n"/>
      <c r="O432" s="34" t="n"/>
      <c r="P432" s="24" t="n"/>
      <c r="Q432" s="24" t="n"/>
      <c r="R432" s="24" t="n"/>
    </row>
    <row r="433" ht="15" customHeight="1" s="21">
      <c r="A433" s="34" t="n"/>
      <c r="B433" s="35" t="n"/>
      <c r="C433" s="34" t="n"/>
      <c r="D433" s="31" t="n"/>
      <c r="E433" s="24" t="n"/>
      <c r="F433" s="24" t="n"/>
      <c r="G433" s="24" t="n"/>
      <c r="H433" s="24" t="n"/>
      <c r="I433" s="24" t="n"/>
      <c r="J433" s="34" t="n"/>
      <c r="K433" s="24" t="n"/>
      <c r="L433" s="24" t="n"/>
      <c r="M433" s="24" t="n"/>
      <c r="N433" s="24" t="n"/>
      <c r="O433" s="34" t="n"/>
      <c r="P433" s="24" t="n"/>
      <c r="Q433" s="24" t="n"/>
      <c r="R433" s="24" t="n"/>
    </row>
    <row r="434" ht="15" customHeight="1" s="21">
      <c r="A434" s="34" t="n"/>
      <c r="B434" s="35" t="n"/>
      <c r="C434" s="34" t="n"/>
      <c r="D434" s="31" t="n"/>
      <c r="E434" s="24" t="n"/>
      <c r="F434" s="24" t="n"/>
      <c r="G434" s="24" t="n"/>
      <c r="H434" s="24" t="n"/>
      <c r="I434" s="24" t="n"/>
      <c r="J434" s="34" t="n"/>
      <c r="K434" s="24" t="n"/>
      <c r="L434" s="24" t="n"/>
      <c r="M434" s="24" t="n"/>
      <c r="N434" s="24" t="n"/>
      <c r="O434" s="34" t="n"/>
      <c r="P434" s="24" t="n"/>
      <c r="Q434" s="24" t="n"/>
      <c r="R434" s="24" t="n"/>
    </row>
    <row r="435" ht="15" customHeight="1" s="21">
      <c r="A435" s="34" t="n"/>
      <c r="B435" s="35" t="n"/>
      <c r="C435" s="34" t="n"/>
      <c r="D435" s="31" t="n"/>
      <c r="E435" s="24" t="n"/>
      <c r="F435" s="24" t="n"/>
      <c r="G435" s="24" t="n"/>
      <c r="H435" s="24" t="n"/>
      <c r="I435" s="24" t="n"/>
      <c r="J435" s="34" t="n"/>
      <c r="K435" s="24" t="n"/>
      <c r="L435" s="24" t="n"/>
      <c r="M435" s="24" t="n"/>
      <c r="N435" s="24" t="n"/>
      <c r="O435" s="34" t="n"/>
      <c r="P435" s="24" t="n"/>
      <c r="Q435" s="24" t="n"/>
      <c r="R435" s="24" t="n"/>
    </row>
    <row r="436" ht="15" customHeight="1" s="21">
      <c r="A436" s="34" t="n"/>
      <c r="B436" s="35" t="n"/>
      <c r="C436" s="34" t="n"/>
      <c r="D436" s="31" t="n"/>
      <c r="E436" s="24" t="n"/>
      <c r="F436" s="24" t="n"/>
      <c r="G436" s="24" t="n"/>
      <c r="H436" s="24" t="n"/>
      <c r="I436" s="24" t="n"/>
      <c r="J436" s="34" t="n"/>
      <c r="K436" s="24" t="n"/>
      <c r="L436" s="24" t="n"/>
      <c r="M436" s="24" t="n"/>
      <c r="N436" s="24" t="n"/>
      <c r="O436" s="34" t="n"/>
      <c r="P436" s="24" t="n"/>
      <c r="Q436" s="24" t="n"/>
      <c r="R436" s="24" t="n"/>
    </row>
    <row r="437" ht="15" customHeight="1" s="21">
      <c r="A437" s="34" t="n"/>
      <c r="B437" s="35" t="n"/>
      <c r="C437" s="34" t="n"/>
      <c r="D437" s="31" t="n"/>
      <c r="E437" s="24" t="n"/>
      <c r="F437" s="24" t="n"/>
      <c r="G437" s="24" t="n"/>
      <c r="H437" s="24" t="n"/>
      <c r="I437" s="24" t="n"/>
      <c r="J437" s="34" t="n"/>
      <c r="K437" s="24" t="n"/>
      <c r="L437" s="24" t="n"/>
      <c r="M437" s="24" t="n"/>
      <c r="N437" s="24" t="n"/>
      <c r="O437" s="34" t="n"/>
      <c r="P437" s="24" t="n"/>
      <c r="Q437" s="24" t="n"/>
      <c r="R437" s="24" t="n"/>
    </row>
    <row r="438" ht="15" customHeight="1" s="21">
      <c r="A438" s="34" t="n"/>
      <c r="B438" s="35" t="n"/>
      <c r="C438" s="34" t="n"/>
      <c r="D438" s="31" t="n"/>
      <c r="E438" s="24" t="n"/>
      <c r="F438" s="24" t="n"/>
      <c r="G438" s="24" t="n"/>
      <c r="H438" s="24" t="n"/>
      <c r="I438" s="24" t="n"/>
      <c r="J438" s="34" t="n"/>
      <c r="K438" s="24" t="n"/>
      <c r="L438" s="24" t="n"/>
      <c r="M438" s="24" t="n"/>
      <c r="N438" s="24" t="n"/>
      <c r="O438" s="34" t="n"/>
      <c r="P438" s="24" t="n"/>
      <c r="Q438" s="24" t="n"/>
      <c r="R438" s="24" t="n"/>
    </row>
    <row r="439" ht="15" customHeight="1" s="21">
      <c r="A439" s="34" t="n"/>
      <c r="B439" s="35" t="n"/>
      <c r="C439" s="34" t="n"/>
      <c r="D439" s="31" t="n"/>
      <c r="E439" s="24" t="n"/>
      <c r="F439" s="24" t="n"/>
      <c r="G439" s="24" t="n"/>
      <c r="H439" s="24" t="n"/>
      <c r="I439" s="24" t="n"/>
      <c r="J439" s="34" t="n"/>
      <c r="K439" s="24" t="n"/>
      <c r="L439" s="24" t="n"/>
      <c r="M439" s="24" t="n"/>
      <c r="N439" s="24" t="n"/>
      <c r="O439" s="34" t="n"/>
      <c r="P439" s="24" t="n"/>
      <c r="Q439" s="24" t="n"/>
      <c r="R439" s="24" t="n"/>
    </row>
    <row r="440" ht="15" customHeight="1" s="21">
      <c r="A440" s="34" t="n"/>
      <c r="B440" s="35" t="n"/>
      <c r="C440" s="34" t="n"/>
      <c r="D440" s="31" t="n"/>
      <c r="E440" s="24" t="n"/>
      <c r="F440" s="24" t="n"/>
      <c r="G440" s="24" t="n"/>
      <c r="H440" s="24" t="n"/>
      <c r="I440" s="24" t="n"/>
      <c r="J440" s="34" t="n"/>
      <c r="K440" s="24" t="n"/>
      <c r="L440" s="24" t="n"/>
      <c r="M440" s="24" t="n"/>
      <c r="N440" s="24" t="n"/>
      <c r="O440" s="34" t="n"/>
      <c r="P440" s="24" t="n"/>
      <c r="Q440" s="24" t="n"/>
      <c r="R440" s="24" t="n"/>
    </row>
    <row r="441" ht="15" customHeight="1" s="21">
      <c r="A441" s="34" t="n"/>
      <c r="B441" s="35" t="n"/>
      <c r="C441" s="34" t="n"/>
      <c r="D441" s="31" t="n"/>
      <c r="E441" s="24" t="n"/>
      <c r="F441" s="24" t="n"/>
      <c r="G441" s="24" t="n"/>
      <c r="H441" s="24" t="n"/>
      <c r="I441" s="24" t="n"/>
      <c r="J441" s="34" t="n"/>
      <c r="K441" s="24" t="n"/>
      <c r="L441" s="24" t="n"/>
      <c r="M441" s="24" t="n"/>
      <c r="N441" s="24" t="n"/>
      <c r="O441" s="34" t="n"/>
      <c r="P441" s="24" t="n"/>
      <c r="Q441" s="24" t="n"/>
      <c r="R441" s="24" t="n"/>
    </row>
    <row r="442" ht="15" customHeight="1" s="21">
      <c r="A442" s="34" t="n"/>
      <c r="B442" s="35" t="n"/>
      <c r="C442" s="34" t="n"/>
      <c r="D442" s="31" t="n"/>
      <c r="E442" s="24" t="n"/>
      <c r="F442" s="24" t="n"/>
      <c r="G442" s="24" t="n"/>
      <c r="H442" s="24" t="n"/>
      <c r="I442" s="24" t="n"/>
      <c r="J442" s="34" t="n"/>
      <c r="K442" s="24" t="n"/>
      <c r="L442" s="24" t="n"/>
      <c r="M442" s="24" t="n"/>
      <c r="N442" s="24" t="n"/>
      <c r="O442" s="34" t="n"/>
      <c r="P442" s="24" t="n"/>
      <c r="Q442" s="24" t="n"/>
      <c r="R442" s="24" t="n"/>
    </row>
    <row r="443" ht="15" customHeight="1" s="21">
      <c r="A443" s="34" t="n"/>
      <c r="B443" s="35" t="n"/>
      <c r="C443" s="34" t="n"/>
      <c r="D443" s="31" t="n"/>
      <c r="E443" s="24" t="n"/>
      <c r="F443" s="24" t="n"/>
      <c r="G443" s="24" t="n"/>
      <c r="H443" s="24" t="n"/>
      <c r="I443" s="24" t="n"/>
      <c r="J443" s="34" t="n"/>
      <c r="K443" s="24" t="n"/>
      <c r="L443" s="24" t="n"/>
      <c r="M443" s="24" t="n"/>
      <c r="N443" s="24" t="n"/>
      <c r="O443" s="34" t="n"/>
      <c r="P443" s="24" t="n"/>
      <c r="Q443" s="24" t="n"/>
      <c r="R443" s="24" t="n"/>
    </row>
    <row r="444" ht="15" customHeight="1" s="21">
      <c r="A444" s="34" t="n"/>
      <c r="B444" s="35" t="n"/>
      <c r="C444" s="34" t="n"/>
      <c r="D444" s="31" t="n"/>
      <c r="E444" s="24" t="n"/>
      <c r="F444" s="24" t="n"/>
      <c r="G444" s="24" t="n"/>
      <c r="H444" s="24" t="n"/>
      <c r="I444" s="24" t="n"/>
      <c r="J444" s="34" t="n"/>
      <c r="K444" s="24" t="n"/>
      <c r="L444" s="24" t="n"/>
      <c r="M444" s="24" t="n"/>
      <c r="N444" s="24" t="n"/>
      <c r="O444" s="34" t="n"/>
      <c r="P444" s="24" t="n"/>
      <c r="Q444" s="24" t="n"/>
      <c r="R444" s="24" t="n"/>
    </row>
    <row r="445" ht="15" customHeight="1" s="21">
      <c r="A445" s="34" t="n"/>
      <c r="B445" s="35" t="n"/>
      <c r="C445" s="34" t="n"/>
      <c r="D445" s="31" t="n"/>
      <c r="E445" s="24" t="n"/>
      <c r="F445" s="24" t="n"/>
      <c r="G445" s="24" t="n"/>
      <c r="H445" s="24" t="n"/>
      <c r="I445" s="24" t="n"/>
      <c r="J445" s="34" t="n"/>
      <c r="K445" s="24" t="n"/>
      <c r="L445" s="24" t="n"/>
      <c r="M445" s="24" t="n"/>
      <c r="N445" s="24" t="n"/>
      <c r="O445" s="34" t="n"/>
      <c r="P445" s="24" t="n"/>
      <c r="Q445" s="24" t="n"/>
      <c r="R445" s="24" t="n"/>
    </row>
    <row r="446" ht="15" customHeight="1" s="21">
      <c r="A446" s="34" t="n"/>
      <c r="B446" s="35" t="n"/>
      <c r="C446" s="34" t="n"/>
      <c r="D446" s="31" t="n"/>
      <c r="E446" s="24" t="n"/>
      <c r="F446" s="24" t="n"/>
      <c r="G446" s="24" t="n"/>
      <c r="H446" s="24" t="n"/>
      <c r="I446" s="24" t="n"/>
      <c r="J446" s="34" t="n"/>
      <c r="K446" s="24" t="n"/>
      <c r="L446" s="24" t="n"/>
      <c r="M446" s="24" t="n"/>
      <c r="N446" s="24" t="n"/>
      <c r="O446" s="34" t="n"/>
      <c r="P446" s="24" t="n"/>
      <c r="Q446" s="24" t="n"/>
      <c r="R446" s="24" t="n"/>
    </row>
    <row r="447" ht="15" customHeight="1" s="21">
      <c r="A447" s="34" t="n"/>
      <c r="B447" s="35" t="n"/>
      <c r="C447" s="34" t="n"/>
      <c r="D447" s="31" t="n"/>
      <c r="E447" s="24" t="n"/>
      <c r="F447" s="24" t="n"/>
      <c r="G447" s="24" t="n"/>
      <c r="H447" s="24" t="n"/>
      <c r="I447" s="24" t="n"/>
      <c r="J447" s="34" t="n"/>
      <c r="K447" s="24" t="n"/>
      <c r="L447" s="24" t="n"/>
      <c r="M447" s="24" t="n"/>
      <c r="N447" s="24" t="n"/>
      <c r="O447" s="34" t="n"/>
      <c r="P447" s="24" t="n"/>
      <c r="Q447" s="24" t="n"/>
      <c r="R447" s="24" t="n"/>
    </row>
    <row r="448" ht="15" customHeight="1" s="21">
      <c r="A448" s="34" t="n"/>
      <c r="B448" s="35" t="n"/>
      <c r="C448" s="34" t="n"/>
      <c r="D448" s="31" t="n"/>
      <c r="E448" s="24" t="n"/>
      <c r="F448" s="24" t="n"/>
      <c r="G448" s="24" t="n"/>
      <c r="H448" s="24" t="n"/>
      <c r="I448" s="24" t="n"/>
      <c r="J448" s="34" t="n"/>
      <c r="K448" s="24" t="n"/>
      <c r="L448" s="24" t="n"/>
      <c r="M448" s="24" t="n"/>
      <c r="N448" s="24" t="n"/>
      <c r="O448" s="34" t="n"/>
      <c r="P448" s="24" t="n"/>
      <c r="Q448" s="24" t="n"/>
      <c r="R448" s="24" t="n"/>
    </row>
    <row r="449" ht="15" customHeight="1" s="21">
      <c r="A449" s="34" t="n"/>
      <c r="B449" s="35" t="n"/>
      <c r="C449" s="34" t="n"/>
      <c r="D449" s="31" t="n"/>
      <c r="E449" s="24" t="n"/>
      <c r="F449" s="24" t="n"/>
      <c r="G449" s="24" t="n"/>
      <c r="H449" s="24" t="n"/>
      <c r="I449" s="24" t="n"/>
      <c r="J449" s="34" t="n"/>
      <c r="K449" s="24" t="n"/>
      <c r="L449" s="24" t="n"/>
      <c r="M449" s="24" t="n"/>
      <c r="N449" s="24" t="n"/>
      <c r="O449" s="34" t="n"/>
      <c r="P449" s="24" t="n"/>
      <c r="Q449" s="24" t="n"/>
      <c r="R449" s="24" t="n"/>
    </row>
    <row r="450" ht="15" customHeight="1" s="21">
      <c r="A450" s="34" t="n"/>
      <c r="B450" s="35" t="n"/>
      <c r="C450" s="34" t="n"/>
      <c r="D450" s="31" t="n"/>
      <c r="E450" s="24" t="n"/>
      <c r="F450" s="24" t="n"/>
      <c r="G450" s="24" t="n"/>
      <c r="H450" s="24" t="n"/>
      <c r="I450" s="24" t="n"/>
      <c r="J450" s="34" t="n"/>
      <c r="K450" s="24" t="n"/>
      <c r="L450" s="24" t="n"/>
      <c r="M450" s="24" t="n"/>
      <c r="N450" s="24" t="n"/>
      <c r="O450" s="34" t="n"/>
      <c r="P450" s="24" t="n"/>
      <c r="Q450" s="24" t="n"/>
      <c r="R450" s="24" t="n"/>
    </row>
    <row r="451" ht="15" customHeight="1" s="21">
      <c r="A451" s="34" t="n"/>
      <c r="B451" s="35" t="n"/>
      <c r="C451" s="34" t="n"/>
      <c r="D451" s="31" t="n"/>
      <c r="E451" s="24" t="n"/>
      <c r="F451" s="24" t="n"/>
      <c r="G451" s="24" t="n"/>
      <c r="H451" s="24" t="n"/>
      <c r="I451" s="24" t="n"/>
      <c r="J451" s="34" t="n"/>
      <c r="K451" s="24" t="n"/>
      <c r="L451" s="24" t="n"/>
      <c r="M451" s="24" t="n"/>
      <c r="N451" s="24" t="n"/>
      <c r="O451" s="34" t="n"/>
      <c r="P451" s="24" t="n"/>
      <c r="Q451" s="24" t="n"/>
      <c r="R451" s="24" t="n"/>
    </row>
    <row r="452" ht="15" customHeight="1" s="21">
      <c r="A452" s="34" t="n"/>
      <c r="B452" s="35" t="n"/>
      <c r="C452" s="34" t="n"/>
      <c r="D452" s="31" t="n"/>
      <c r="E452" s="24" t="n"/>
      <c r="F452" s="24" t="n"/>
      <c r="G452" s="24" t="n"/>
      <c r="H452" s="24" t="n"/>
      <c r="I452" s="24" t="n"/>
      <c r="J452" s="34" t="n"/>
      <c r="K452" s="24" t="n"/>
      <c r="L452" s="24" t="n"/>
      <c r="M452" s="24" t="n"/>
      <c r="N452" s="24" t="n"/>
      <c r="O452" s="34" t="n"/>
      <c r="P452" s="24" t="n"/>
      <c r="Q452" s="24" t="n"/>
      <c r="R452" s="24" t="n"/>
    </row>
    <row r="453" ht="15" customHeight="1" s="21">
      <c r="A453" s="34" t="n"/>
      <c r="B453" s="35" t="n"/>
      <c r="C453" s="34" t="n"/>
      <c r="D453" s="31" t="n"/>
      <c r="E453" s="24" t="n"/>
      <c r="F453" s="24" t="n"/>
      <c r="G453" s="24" t="n"/>
      <c r="H453" s="24" t="n"/>
      <c r="I453" s="24" t="n"/>
      <c r="J453" s="34" t="n"/>
      <c r="K453" s="24" t="n"/>
      <c r="L453" s="24" t="n"/>
      <c r="M453" s="24" t="n"/>
      <c r="N453" s="24" t="n"/>
      <c r="O453" s="34" t="n"/>
      <c r="P453" s="24" t="n"/>
      <c r="Q453" s="24" t="n"/>
      <c r="R453" s="24" t="n"/>
    </row>
    <row r="454" ht="15" customHeight="1" s="21">
      <c r="A454" s="34" t="n"/>
      <c r="B454" s="35" t="n"/>
      <c r="C454" s="34" t="n"/>
      <c r="D454" s="31" t="n"/>
      <c r="E454" s="24" t="n"/>
      <c r="F454" s="24" t="n"/>
      <c r="G454" s="24" t="n"/>
      <c r="H454" s="24" t="n"/>
      <c r="I454" s="24" t="n"/>
      <c r="J454" s="34" t="n"/>
      <c r="K454" s="24" t="n"/>
      <c r="L454" s="24" t="n"/>
      <c r="M454" s="24" t="n"/>
      <c r="N454" s="24" t="n"/>
      <c r="O454" s="34" t="n"/>
      <c r="P454" s="24" t="n"/>
      <c r="Q454" s="24" t="n"/>
      <c r="R454" s="24" t="n"/>
    </row>
    <row r="455" ht="15" customHeight="1" s="21">
      <c r="A455" s="34" t="n"/>
      <c r="B455" s="35" t="n"/>
      <c r="C455" s="34" t="n"/>
      <c r="D455" s="31" t="n"/>
      <c r="E455" s="24" t="n"/>
      <c r="F455" s="24" t="n"/>
      <c r="G455" s="24" t="n"/>
      <c r="H455" s="24" t="n"/>
      <c r="I455" s="24" t="n"/>
      <c r="J455" s="34" t="n"/>
      <c r="K455" s="24" t="n"/>
      <c r="L455" s="24" t="n"/>
      <c r="M455" s="24" t="n"/>
      <c r="N455" s="24" t="n"/>
      <c r="O455" s="34" t="n"/>
      <c r="P455" s="24" t="n"/>
      <c r="Q455" s="24" t="n"/>
      <c r="R455" s="24" t="n"/>
    </row>
    <row r="456" ht="15" customHeight="1" s="21">
      <c r="A456" s="34" t="n"/>
      <c r="B456" s="35" t="n"/>
      <c r="C456" s="34" t="n"/>
      <c r="D456" s="31" t="n"/>
      <c r="E456" s="24" t="n"/>
      <c r="F456" s="24" t="n"/>
      <c r="G456" s="24" t="n"/>
      <c r="H456" s="24" t="n"/>
      <c r="I456" s="24" t="n"/>
      <c r="J456" s="34" t="n"/>
      <c r="K456" s="24" t="n"/>
      <c r="L456" s="24" t="n"/>
      <c r="M456" s="24" t="n"/>
      <c r="N456" s="24" t="n"/>
      <c r="O456" s="34" t="n"/>
      <c r="P456" s="24" t="n"/>
      <c r="Q456" s="24" t="n"/>
      <c r="R456" s="24" t="n"/>
    </row>
    <row r="457" ht="15" customHeight="1" s="21">
      <c r="A457" s="34" t="n"/>
      <c r="B457" s="35" t="n"/>
      <c r="C457" s="34" t="n"/>
      <c r="D457" s="31" t="n"/>
      <c r="E457" s="24" t="n"/>
      <c r="F457" s="24" t="n"/>
      <c r="G457" s="24" t="n"/>
      <c r="H457" s="24" t="n"/>
      <c r="I457" s="24" t="n"/>
      <c r="J457" s="34" t="n"/>
      <c r="K457" s="24" t="n"/>
      <c r="L457" s="24" t="n"/>
      <c r="M457" s="24" t="n"/>
      <c r="N457" s="24" t="n"/>
      <c r="O457" s="34" t="n"/>
      <c r="P457" s="24" t="n"/>
      <c r="Q457" s="24" t="n"/>
      <c r="R457" s="24" t="n"/>
    </row>
    <row r="458" ht="15" customHeight="1" s="21">
      <c r="A458" s="34" t="n"/>
      <c r="B458" s="35" t="n"/>
      <c r="C458" s="34" t="n"/>
      <c r="D458" s="31" t="n"/>
      <c r="E458" s="24" t="n"/>
      <c r="F458" s="24" t="n"/>
      <c r="G458" s="24" t="n"/>
      <c r="H458" s="24" t="n"/>
      <c r="I458" s="24" t="n"/>
      <c r="J458" s="34" t="n"/>
      <c r="K458" s="24" t="n"/>
      <c r="L458" s="24" t="n"/>
      <c r="M458" s="24" t="n"/>
      <c r="N458" s="24" t="n"/>
      <c r="O458" s="34" t="n"/>
      <c r="P458" s="24" t="n"/>
      <c r="Q458" s="24" t="n"/>
      <c r="R458" s="24" t="n"/>
    </row>
    <row r="459" ht="15" customHeight="1" s="21">
      <c r="A459" s="34" t="n"/>
      <c r="B459" s="35" t="n"/>
      <c r="C459" s="34" t="n"/>
      <c r="D459" s="31" t="n"/>
      <c r="E459" s="24" t="n"/>
      <c r="F459" s="24" t="n"/>
      <c r="G459" s="24" t="n"/>
      <c r="H459" s="24" t="n"/>
      <c r="I459" s="24" t="n"/>
      <c r="J459" s="34" t="n"/>
      <c r="K459" s="24" t="n"/>
      <c r="L459" s="24" t="n"/>
      <c r="M459" s="24" t="n"/>
      <c r="N459" s="24" t="n"/>
      <c r="O459" s="34" t="n"/>
      <c r="P459" s="24" t="n"/>
      <c r="Q459" s="24" t="n"/>
      <c r="R459" s="24" t="n"/>
    </row>
    <row r="460" ht="15" customHeight="1" s="21">
      <c r="A460" s="34" t="n"/>
      <c r="B460" s="35" t="n"/>
      <c r="C460" s="34" t="n"/>
      <c r="D460" s="31" t="n"/>
      <c r="E460" s="24" t="n"/>
      <c r="F460" s="24" t="n"/>
      <c r="G460" s="24" t="n"/>
      <c r="H460" s="24" t="n"/>
      <c r="I460" s="24" t="n"/>
      <c r="J460" s="34" t="n"/>
      <c r="K460" s="24" t="n"/>
      <c r="L460" s="24" t="n"/>
      <c r="M460" s="24" t="n"/>
      <c r="N460" s="24" t="n"/>
      <c r="O460" s="34" t="n"/>
      <c r="P460" s="24" t="n"/>
      <c r="Q460" s="24" t="n"/>
      <c r="R460" s="24" t="n"/>
    </row>
    <row r="461" ht="15" customHeight="1" s="21">
      <c r="A461" s="34" t="n"/>
      <c r="B461" s="35" t="n"/>
      <c r="C461" s="34" t="n"/>
      <c r="D461" s="31" t="n"/>
      <c r="E461" s="24" t="n"/>
      <c r="F461" s="24" t="n"/>
      <c r="G461" s="24" t="n"/>
      <c r="H461" s="24" t="n"/>
      <c r="I461" s="24" t="n"/>
      <c r="J461" s="34" t="n"/>
      <c r="K461" s="24" t="n"/>
      <c r="L461" s="24" t="n"/>
      <c r="M461" s="24" t="n"/>
      <c r="N461" s="24" t="n"/>
      <c r="O461" s="34" t="n"/>
      <c r="P461" s="24" t="n"/>
      <c r="Q461" s="24" t="n"/>
      <c r="R461" s="24" t="n"/>
    </row>
    <row r="462" ht="15" customHeight="1" s="21">
      <c r="A462" s="34" t="n"/>
      <c r="B462" s="35" t="n"/>
      <c r="C462" s="34" t="n"/>
      <c r="D462" s="31" t="n"/>
      <c r="E462" s="24" t="n"/>
      <c r="F462" s="24" t="n"/>
      <c r="G462" s="24" t="n"/>
      <c r="H462" s="24" t="n"/>
      <c r="I462" s="24" t="n"/>
      <c r="J462" s="34" t="n"/>
      <c r="K462" s="24" t="n"/>
      <c r="L462" s="24" t="n"/>
      <c r="M462" s="24" t="n"/>
      <c r="N462" s="24" t="n"/>
      <c r="O462" s="34" t="n"/>
      <c r="P462" s="24" t="n"/>
      <c r="Q462" s="24" t="n"/>
      <c r="R462" s="24" t="n"/>
    </row>
    <row r="463" ht="15" customHeight="1" s="21">
      <c r="A463" s="34" t="n"/>
      <c r="B463" s="35" t="n"/>
      <c r="C463" s="34" t="n"/>
      <c r="D463" s="31" t="n"/>
      <c r="E463" s="24" t="n"/>
      <c r="F463" s="24" t="n"/>
      <c r="G463" s="24" t="n"/>
      <c r="H463" s="24" t="n"/>
      <c r="I463" s="24" t="n"/>
      <c r="J463" s="34" t="n"/>
      <c r="K463" s="24" t="n"/>
      <c r="L463" s="24" t="n"/>
      <c r="M463" s="24" t="n"/>
      <c r="N463" s="24" t="n"/>
      <c r="O463" s="34" t="n"/>
      <c r="P463" s="24" t="n"/>
      <c r="Q463" s="24" t="n"/>
      <c r="R463" s="24" t="n"/>
    </row>
    <row r="464" ht="15" customHeight="1" s="21">
      <c r="A464" s="34" t="n"/>
      <c r="B464" s="35" t="n"/>
      <c r="C464" s="34" t="n"/>
      <c r="D464" s="31" t="n"/>
      <c r="E464" s="24" t="n"/>
      <c r="F464" s="24" t="n"/>
      <c r="G464" s="24" t="n"/>
      <c r="H464" s="24" t="n"/>
      <c r="I464" s="24" t="n"/>
      <c r="J464" s="34" t="n"/>
      <c r="K464" s="24" t="n"/>
      <c r="L464" s="24" t="n"/>
      <c r="M464" s="24" t="n"/>
      <c r="N464" s="24" t="n"/>
      <c r="O464" s="34" t="n"/>
      <c r="P464" s="24" t="n"/>
      <c r="Q464" s="24" t="n"/>
      <c r="R464" s="24" t="n"/>
    </row>
    <row r="465" ht="15" customHeight="1" s="21">
      <c r="A465" s="34" t="n"/>
      <c r="B465" s="35" t="n"/>
      <c r="C465" s="34" t="n"/>
      <c r="D465" s="31" t="n"/>
      <c r="E465" s="24" t="n"/>
      <c r="F465" s="24" t="n"/>
      <c r="G465" s="24" t="n"/>
      <c r="H465" s="24" t="n"/>
      <c r="I465" s="24" t="n"/>
      <c r="J465" s="34" t="n"/>
      <c r="K465" s="24" t="n"/>
      <c r="L465" s="24" t="n"/>
      <c r="M465" s="24" t="n"/>
      <c r="N465" s="24" t="n"/>
      <c r="O465" s="34" t="n"/>
      <c r="P465" s="24" t="n"/>
      <c r="Q465" s="24" t="n"/>
      <c r="R465" s="24" t="n"/>
    </row>
    <row r="466" ht="15" customHeight="1" s="21">
      <c r="A466" s="34" t="n"/>
      <c r="B466" s="35" t="n"/>
      <c r="C466" s="34" t="n"/>
      <c r="D466" s="31" t="n"/>
      <c r="E466" s="24" t="n"/>
      <c r="F466" s="24" t="n"/>
      <c r="G466" s="24" t="n"/>
      <c r="H466" s="24" t="n"/>
      <c r="I466" s="24" t="n"/>
      <c r="J466" s="34" t="n"/>
      <c r="K466" s="24" t="n"/>
      <c r="L466" s="24" t="n"/>
      <c r="M466" s="24" t="n"/>
      <c r="N466" s="24" t="n"/>
      <c r="O466" s="34" t="n"/>
      <c r="P466" s="24" t="n"/>
      <c r="Q466" s="24" t="n"/>
      <c r="R466" s="24" t="n"/>
    </row>
    <row r="467" ht="15" customHeight="1" s="21">
      <c r="A467" s="34" t="n"/>
      <c r="B467" s="35" t="n"/>
      <c r="C467" s="34" t="n"/>
      <c r="D467" s="31" t="n"/>
      <c r="E467" s="24" t="n"/>
      <c r="F467" s="24" t="n"/>
      <c r="G467" s="24" t="n"/>
      <c r="H467" s="24" t="n"/>
      <c r="I467" s="24" t="n"/>
      <c r="J467" s="34" t="n"/>
      <c r="K467" s="24" t="n"/>
      <c r="L467" s="24" t="n"/>
      <c r="M467" s="24" t="n"/>
      <c r="N467" s="24" t="n"/>
      <c r="O467" s="34" t="n"/>
      <c r="P467" s="24" t="n"/>
      <c r="Q467" s="24" t="n"/>
      <c r="R467" s="24" t="n"/>
    </row>
    <row r="468" ht="15" customHeight="1" s="21">
      <c r="A468" s="34" t="n"/>
      <c r="B468" s="35" t="n"/>
      <c r="C468" s="34" t="n"/>
      <c r="D468" s="31" t="n"/>
      <c r="E468" s="24" t="n"/>
      <c r="F468" s="24" t="n"/>
      <c r="G468" s="24" t="n"/>
      <c r="H468" s="24" t="n"/>
      <c r="I468" s="24" t="n"/>
      <c r="J468" s="34" t="n"/>
      <c r="K468" s="24" t="n"/>
      <c r="L468" s="24" t="n"/>
      <c r="M468" s="24" t="n"/>
      <c r="N468" s="24" t="n"/>
      <c r="O468" s="34" t="n"/>
      <c r="P468" s="24" t="n"/>
      <c r="Q468" s="24" t="n"/>
      <c r="R468" s="24" t="n"/>
    </row>
    <row r="469" ht="15" customHeight="1" s="21">
      <c r="A469" s="34" t="n"/>
      <c r="B469" s="35" t="n"/>
      <c r="C469" s="34" t="n"/>
      <c r="D469" s="31" t="n"/>
      <c r="E469" s="24" t="n"/>
      <c r="F469" s="24" t="n"/>
      <c r="G469" s="24" t="n"/>
      <c r="H469" s="24" t="n"/>
      <c r="I469" s="24" t="n"/>
      <c r="J469" s="34" t="n"/>
      <c r="K469" s="24" t="n"/>
      <c r="L469" s="24" t="n"/>
      <c r="M469" s="24" t="n"/>
      <c r="N469" s="24" t="n"/>
      <c r="O469" s="34" t="n"/>
      <c r="P469" s="24" t="n"/>
      <c r="Q469" s="24" t="n"/>
      <c r="R469" s="24" t="n"/>
    </row>
    <row r="470" ht="15" customHeight="1" s="21">
      <c r="A470" s="34" t="n"/>
      <c r="B470" s="35" t="n"/>
      <c r="C470" s="34" t="n"/>
      <c r="D470" s="31" t="n"/>
      <c r="E470" s="24" t="n"/>
      <c r="F470" s="24" t="n"/>
      <c r="G470" s="24" t="n"/>
      <c r="H470" s="24" t="n"/>
      <c r="I470" s="24" t="n"/>
      <c r="J470" s="34" t="n"/>
      <c r="K470" s="24" t="n"/>
      <c r="L470" s="24" t="n"/>
      <c r="M470" s="24" t="n"/>
      <c r="N470" s="24" t="n"/>
      <c r="O470" s="34" t="n"/>
      <c r="P470" s="24" t="n"/>
      <c r="Q470" s="24" t="n"/>
      <c r="R470" s="24" t="n"/>
    </row>
    <row r="471" ht="15" customHeight="1" s="21">
      <c r="A471" s="34" t="n"/>
      <c r="B471" s="35" t="n"/>
      <c r="C471" s="34" t="n"/>
      <c r="D471" s="31" t="n"/>
      <c r="E471" s="24" t="n"/>
      <c r="F471" s="24" t="n"/>
      <c r="G471" s="24" t="n"/>
      <c r="H471" s="24" t="n"/>
      <c r="I471" s="24" t="n"/>
      <c r="J471" s="34" t="n"/>
      <c r="K471" s="24" t="n"/>
      <c r="L471" s="24" t="n"/>
      <c r="M471" s="24" t="n"/>
      <c r="N471" s="24" t="n"/>
      <c r="O471" s="34" t="n"/>
      <c r="P471" s="24" t="n"/>
      <c r="Q471" s="24" t="n"/>
      <c r="R471" s="24" t="n"/>
    </row>
    <row r="472" ht="15" customHeight="1" s="21">
      <c r="A472" s="34" t="n"/>
      <c r="B472" s="35" t="n"/>
      <c r="C472" s="34" t="n"/>
      <c r="D472" s="31" t="n"/>
      <c r="E472" s="24" t="n"/>
      <c r="F472" s="24" t="n"/>
      <c r="G472" s="24" t="n"/>
      <c r="H472" s="24" t="n"/>
      <c r="I472" s="24" t="n"/>
      <c r="J472" s="34" t="n"/>
      <c r="K472" s="24" t="n"/>
      <c r="L472" s="24" t="n"/>
      <c r="M472" s="24" t="n"/>
      <c r="N472" s="24" t="n"/>
      <c r="O472" s="34" t="n"/>
      <c r="P472" s="24" t="n"/>
      <c r="Q472" s="24" t="n"/>
      <c r="R472" s="24" t="n"/>
    </row>
    <row r="473" ht="15" customHeight="1" s="21">
      <c r="A473" s="34" t="n"/>
      <c r="B473" s="35" t="n"/>
      <c r="C473" s="34" t="n"/>
      <c r="D473" s="31" t="n"/>
      <c r="E473" s="24" t="n"/>
      <c r="F473" s="24" t="n"/>
      <c r="G473" s="24" t="n"/>
      <c r="H473" s="24" t="n"/>
      <c r="I473" s="24" t="n"/>
      <c r="J473" s="34" t="n"/>
      <c r="K473" s="24" t="n"/>
      <c r="L473" s="24" t="n"/>
      <c r="M473" s="24" t="n"/>
      <c r="N473" s="24" t="n"/>
      <c r="O473" s="34" t="n"/>
      <c r="P473" s="24" t="n"/>
      <c r="Q473" s="24" t="n"/>
      <c r="R473" s="24" t="n"/>
    </row>
    <row r="474" ht="15" customHeight="1" s="21">
      <c r="A474" s="34" t="n"/>
      <c r="B474" s="35" t="n"/>
      <c r="C474" s="34" t="n"/>
      <c r="D474" s="31" t="n"/>
      <c r="E474" s="24" t="n"/>
      <c r="F474" s="24" t="n"/>
      <c r="G474" s="24" t="n"/>
      <c r="H474" s="24" t="n"/>
      <c r="I474" s="24" t="n"/>
      <c r="J474" s="34" t="n"/>
      <c r="K474" s="24" t="n"/>
      <c r="L474" s="24" t="n"/>
      <c r="M474" s="24" t="n"/>
      <c r="N474" s="24" t="n"/>
      <c r="O474" s="34" t="n"/>
      <c r="P474" s="24" t="n"/>
      <c r="Q474" s="24" t="n"/>
      <c r="R474" s="24" t="n"/>
    </row>
    <row r="475" ht="15" customHeight="1" s="21">
      <c r="A475" s="34" t="n"/>
      <c r="B475" s="35" t="n"/>
      <c r="C475" s="34" t="n"/>
      <c r="D475" s="31" t="n"/>
      <c r="E475" s="24" t="n"/>
      <c r="F475" s="24" t="n"/>
      <c r="G475" s="24" t="n"/>
      <c r="H475" s="24" t="n"/>
      <c r="I475" s="24" t="n"/>
      <c r="J475" s="34" t="n"/>
      <c r="K475" s="24" t="n"/>
      <c r="L475" s="24" t="n"/>
      <c r="M475" s="24" t="n"/>
      <c r="N475" s="24" t="n"/>
      <c r="O475" s="34" t="n"/>
      <c r="P475" s="24" t="n"/>
      <c r="Q475" s="24" t="n"/>
      <c r="R475" s="24" t="n"/>
    </row>
    <row r="476" ht="15" customHeight="1" s="21">
      <c r="A476" s="34" t="n"/>
      <c r="B476" s="35" t="n"/>
      <c r="C476" s="34" t="n"/>
      <c r="D476" s="31" t="n"/>
      <c r="E476" s="24" t="n"/>
      <c r="F476" s="24" t="n"/>
      <c r="G476" s="24" t="n"/>
      <c r="H476" s="24" t="n"/>
      <c r="I476" s="24" t="n"/>
      <c r="J476" s="34" t="n"/>
      <c r="K476" s="24" t="n"/>
      <c r="L476" s="24" t="n"/>
      <c r="M476" s="24" t="n"/>
      <c r="N476" s="24" t="n"/>
      <c r="O476" s="34" t="n"/>
      <c r="P476" s="24" t="n"/>
      <c r="Q476" s="24" t="n"/>
      <c r="R476" s="24" t="n"/>
    </row>
    <row r="477" ht="15" customHeight="1" s="21">
      <c r="A477" s="34" t="n"/>
      <c r="B477" s="35" t="n"/>
      <c r="C477" s="34" t="n"/>
      <c r="D477" s="31" t="n"/>
      <c r="E477" s="24" t="n"/>
      <c r="F477" s="24" t="n"/>
      <c r="G477" s="24" t="n"/>
      <c r="H477" s="24" t="n"/>
      <c r="I477" s="24" t="n"/>
      <c r="J477" s="34" t="n"/>
      <c r="K477" s="24" t="n"/>
      <c r="L477" s="24" t="n"/>
      <c r="M477" s="24" t="n"/>
      <c r="N477" s="24" t="n"/>
      <c r="O477" s="34" t="n"/>
      <c r="P477" s="24" t="n"/>
      <c r="Q477" s="24" t="n"/>
      <c r="R477" s="24" t="n"/>
    </row>
    <row r="478" ht="15" customHeight="1" s="21">
      <c r="A478" s="34" t="n"/>
      <c r="B478" s="35" t="n"/>
      <c r="C478" s="34" t="n"/>
      <c r="D478" s="31" t="n"/>
      <c r="E478" s="24" t="n"/>
      <c r="F478" s="24" t="n"/>
      <c r="G478" s="24" t="n"/>
      <c r="H478" s="24" t="n"/>
      <c r="I478" s="24" t="n"/>
      <c r="J478" s="34" t="n"/>
      <c r="K478" s="24" t="n"/>
      <c r="L478" s="24" t="n"/>
      <c r="M478" s="24" t="n"/>
      <c r="N478" s="24" t="n"/>
      <c r="O478" s="34" t="n"/>
      <c r="P478" s="24" t="n"/>
      <c r="Q478" s="24" t="n"/>
      <c r="R478" s="24" t="n"/>
    </row>
    <row r="479" ht="15" customHeight="1" s="21">
      <c r="A479" s="34" t="n"/>
      <c r="B479" s="35" t="n"/>
      <c r="C479" s="34" t="n"/>
      <c r="D479" s="31" t="n"/>
      <c r="E479" s="24" t="n"/>
      <c r="F479" s="24" t="n"/>
      <c r="G479" s="24" t="n"/>
      <c r="H479" s="24" t="n"/>
      <c r="I479" s="24" t="n"/>
      <c r="J479" s="34" t="n"/>
      <c r="K479" s="24" t="n"/>
      <c r="L479" s="24" t="n"/>
      <c r="M479" s="24" t="n"/>
      <c r="N479" s="24" t="n"/>
      <c r="O479" s="34" t="n"/>
      <c r="P479" s="24" t="n"/>
      <c r="Q479" s="24" t="n"/>
      <c r="R479" s="24" t="n"/>
    </row>
    <row r="480" ht="15" customHeight="1" s="21">
      <c r="A480" s="34" t="n"/>
      <c r="B480" s="35" t="n"/>
      <c r="C480" s="34" t="n"/>
      <c r="D480" s="31" t="n"/>
      <c r="E480" s="24" t="n"/>
      <c r="F480" s="24" t="n"/>
      <c r="G480" s="24" t="n"/>
      <c r="H480" s="24" t="n"/>
      <c r="I480" s="24" t="n"/>
      <c r="J480" s="34" t="n"/>
      <c r="K480" s="24" t="n"/>
      <c r="L480" s="24" t="n"/>
      <c r="M480" s="24" t="n"/>
      <c r="N480" s="24" t="n"/>
      <c r="O480" s="34" t="n"/>
      <c r="P480" s="24" t="n"/>
      <c r="Q480" s="24" t="n"/>
      <c r="R480" s="24" t="n"/>
    </row>
    <row r="481" ht="15" customHeight="1" s="21">
      <c r="A481" s="34" t="n"/>
      <c r="B481" s="35" t="n"/>
      <c r="C481" s="34" t="n"/>
      <c r="D481" s="31" t="n"/>
      <c r="E481" s="24" t="n"/>
      <c r="F481" s="24" t="n"/>
      <c r="G481" s="24" t="n"/>
      <c r="H481" s="24" t="n"/>
      <c r="I481" s="24" t="n"/>
      <c r="J481" s="34" t="n"/>
      <c r="K481" s="24" t="n"/>
      <c r="L481" s="24" t="n"/>
      <c r="M481" s="24" t="n"/>
      <c r="N481" s="24" t="n"/>
      <c r="O481" s="34" t="n"/>
      <c r="P481" s="24" t="n"/>
      <c r="Q481" s="24" t="n"/>
      <c r="R481" s="24" t="n"/>
    </row>
    <row r="482" ht="15" customHeight="1" s="21">
      <c r="A482" s="34" t="n"/>
      <c r="B482" s="35" t="n"/>
      <c r="C482" s="34" t="n"/>
      <c r="D482" s="31" t="n"/>
      <c r="E482" s="24" t="n"/>
      <c r="F482" s="24" t="n"/>
      <c r="G482" s="24" t="n"/>
      <c r="H482" s="24" t="n"/>
      <c r="I482" s="24" t="n"/>
      <c r="J482" s="34" t="n"/>
      <c r="K482" s="24" t="n"/>
      <c r="L482" s="24" t="n"/>
      <c r="M482" s="24" t="n"/>
      <c r="N482" s="24" t="n"/>
      <c r="O482" s="34" t="n"/>
      <c r="P482" s="24" t="n"/>
      <c r="Q482" s="24" t="n"/>
      <c r="R482" s="24" t="n"/>
    </row>
    <row r="483" ht="15" customHeight="1" s="21">
      <c r="A483" s="34" t="n"/>
      <c r="B483" s="35" t="n"/>
      <c r="C483" s="34" t="n"/>
      <c r="D483" s="31" t="n"/>
      <c r="E483" s="24" t="n"/>
      <c r="F483" s="24" t="n"/>
      <c r="G483" s="24" t="n"/>
      <c r="H483" s="24" t="n"/>
      <c r="I483" s="24" t="n"/>
      <c r="J483" s="34" t="n"/>
      <c r="K483" s="24" t="n"/>
      <c r="L483" s="24" t="n"/>
      <c r="M483" s="24" t="n"/>
      <c r="N483" s="24" t="n"/>
      <c r="O483" s="34" t="n"/>
      <c r="P483" s="24" t="n"/>
      <c r="Q483" s="24" t="n"/>
      <c r="R483" s="24" t="n"/>
    </row>
    <row r="484" ht="15" customHeight="1" s="21">
      <c r="A484" s="34" t="n"/>
      <c r="B484" s="35" t="n"/>
      <c r="C484" s="34" t="n"/>
      <c r="D484" s="31" t="n"/>
      <c r="E484" s="24" t="n"/>
      <c r="F484" s="24" t="n"/>
      <c r="G484" s="24" t="n"/>
      <c r="H484" s="24" t="n"/>
      <c r="I484" s="24" t="n"/>
      <c r="J484" s="34" t="n"/>
      <c r="K484" s="24" t="n"/>
      <c r="L484" s="24" t="n"/>
      <c r="M484" s="24" t="n"/>
      <c r="N484" s="24" t="n"/>
      <c r="O484" s="34" t="n"/>
      <c r="P484" s="24" t="n"/>
      <c r="Q484" s="24" t="n"/>
      <c r="R484" s="24" t="n"/>
    </row>
    <row r="485" ht="15" customHeight="1" s="21">
      <c r="A485" s="34" t="n"/>
      <c r="B485" s="35" t="n"/>
      <c r="C485" s="34" t="n"/>
      <c r="D485" s="31" t="n"/>
      <c r="E485" s="24" t="n"/>
      <c r="F485" s="24" t="n"/>
      <c r="G485" s="24" t="n"/>
      <c r="H485" s="24" t="n"/>
      <c r="I485" s="24" t="n"/>
      <c r="J485" s="34" t="n"/>
      <c r="K485" s="24" t="n"/>
      <c r="L485" s="24" t="n"/>
      <c r="M485" s="24" t="n"/>
      <c r="N485" s="24" t="n"/>
      <c r="O485" s="34" t="n"/>
      <c r="P485" s="24" t="n"/>
      <c r="Q485" s="24" t="n"/>
      <c r="R485" s="24" t="n"/>
    </row>
    <row r="486" ht="15" customHeight="1" s="21">
      <c r="A486" s="34" t="n"/>
      <c r="B486" s="35" t="n"/>
      <c r="C486" s="34" t="n"/>
      <c r="D486" s="31" t="n"/>
      <c r="E486" s="24" t="n"/>
      <c r="F486" s="24" t="n"/>
      <c r="G486" s="24" t="n"/>
      <c r="H486" s="24" t="n"/>
      <c r="I486" s="24" t="n"/>
      <c r="J486" s="34" t="n"/>
      <c r="K486" s="24" t="n"/>
      <c r="L486" s="24" t="n"/>
      <c r="M486" s="24" t="n"/>
      <c r="N486" s="24" t="n"/>
      <c r="O486" s="34" t="n"/>
      <c r="P486" s="24" t="n"/>
      <c r="Q486" s="24" t="n"/>
      <c r="R486" s="24" t="n"/>
    </row>
    <row r="487" ht="15" customHeight="1" s="21">
      <c r="A487" s="34" t="n"/>
      <c r="B487" s="35" t="n"/>
      <c r="C487" s="34" t="n"/>
      <c r="D487" s="31" t="n"/>
      <c r="E487" s="24" t="n"/>
      <c r="F487" s="24" t="n"/>
      <c r="G487" s="24" t="n"/>
      <c r="H487" s="24" t="n"/>
      <c r="I487" s="24" t="n"/>
      <c r="J487" s="34" t="n"/>
      <c r="K487" s="24" t="n"/>
      <c r="L487" s="24" t="n"/>
      <c r="M487" s="24" t="n"/>
      <c r="N487" s="24" t="n"/>
      <c r="O487" s="34" t="n"/>
      <c r="P487" s="24" t="n"/>
      <c r="Q487" s="24" t="n"/>
      <c r="R487" s="24" t="n"/>
    </row>
    <row r="488" ht="15" customHeight="1" s="21">
      <c r="A488" s="34" t="n"/>
      <c r="B488" s="35" t="n"/>
      <c r="C488" s="34" t="n"/>
      <c r="D488" s="31" t="n"/>
      <c r="E488" s="24" t="n"/>
      <c r="F488" s="24" t="n"/>
      <c r="G488" s="24" t="n"/>
      <c r="H488" s="24" t="n"/>
      <c r="I488" s="24" t="n"/>
      <c r="J488" s="34" t="n"/>
      <c r="K488" s="24" t="n"/>
      <c r="L488" s="24" t="n"/>
      <c r="M488" s="24" t="n"/>
      <c r="N488" s="24" t="n"/>
      <c r="O488" s="34" t="n"/>
      <c r="P488" s="24" t="n"/>
      <c r="Q488" s="24" t="n"/>
      <c r="R488" s="24" t="n"/>
    </row>
    <row r="489" ht="15" customHeight="1" s="21">
      <c r="A489" s="34" t="n"/>
      <c r="B489" s="35" t="n"/>
      <c r="C489" s="34" t="n"/>
      <c r="D489" s="31" t="n"/>
      <c r="E489" s="24" t="n"/>
      <c r="F489" s="24" t="n"/>
      <c r="G489" s="24" t="n"/>
      <c r="H489" s="24" t="n"/>
      <c r="I489" s="24" t="n"/>
      <c r="J489" s="34" t="n"/>
      <c r="K489" s="24" t="n"/>
      <c r="L489" s="24" t="n"/>
      <c r="M489" s="24" t="n"/>
      <c r="N489" s="24" t="n"/>
      <c r="O489" s="34" t="n"/>
      <c r="P489" s="24" t="n"/>
      <c r="Q489" s="24" t="n"/>
      <c r="R489" s="24" t="n"/>
    </row>
    <row r="490" ht="15" customHeight="1" s="21">
      <c r="A490" s="34" t="n"/>
      <c r="B490" s="35" t="n"/>
      <c r="C490" s="34" t="n"/>
      <c r="D490" s="31" t="n"/>
      <c r="E490" s="24" t="n"/>
      <c r="F490" s="24" t="n"/>
      <c r="G490" s="24" t="n"/>
      <c r="H490" s="24" t="n"/>
      <c r="I490" s="24" t="n"/>
      <c r="J490" s="34" t="n"/>
      <c r="K490" s="24" t="n"/>
      <c r="L490" s="24" t="n"/>
      <c r="M490" s="24" t="n"/>
      <c r="N490" s="24" t="n"/>
      <c r="O490" s="34" t="n"/>
      <c r="P490" s="24" t="n"/>
      <c r="Q490" s="24" t="n"/>
      <c r="R490" s="24" t="n"/>
    </row>
    <row r="491" ht="15" customHeight="1" s="21">
      <c r="A491" s="34" t="n"/>
      <c r="B491" s="35" t="n"/>
      <c r="C491" s="34" t="n"/>
      <c r="D491" s="31" t="n"/>
      <c r="E491" s="24" t="n"/>
      <c r="F491" s="24" t="n"/>
      <c r="G491" s="24" t="n"/>
      <c r="H491" s="24" t="n"/>
      <c r="I491" s="24" t="n"/>
      <c r="J491" s="34" t="n"/>
      <c r="K491" s="24" t="n"/>
      <c r="L491" s="24" t="n"/>
      <c r="M491" s="24" t="n"/>
      <c r="N491" s="24" t="n"/>
      <c r="O491" s="34" t="n"/>
      <c r="P491" s="24" t="n"/>
      <c r="Q491" s="24" t="n"/>
      <c r="R491" s="24" t="n"/>
    </row>
    <row r="492" ht="15" customHeight="1" s="21">
      <c r="A492" s="34" t="n"/>
      <c r="B492" s="35" t="n"/>
      <c r="C492" s="34" t="n"/>
      <c r="D492" s="31" t="n"/>
      <c r="E492" s="24" t="n"/>
      <c r="F492" s="24" t="n"/>
      <c r="G492" s="24" t="n"/>
      <c r="H492" s="24" t="n"/>
      <c r="I492" s="24" t="n"/>
      <c r="J492" s="34" t="n"/>
      <c r="K492" s="24" t="n"/>
      <c r="L492" s="24" t="n"/>
      <c r="M492" s="24" t="n"/>
      <c r="N492" s="24" t="n"/>
      <c r="O492" s="34" t="n"/>
      <c r="P492" s="24" t="n"/>
      <c r="Q492" s="24" t="n"/>
      <c r="R492" s="24" t="n"/>
    </row>
    <row r="493" ht="15" customHeight="1" s="21">
      <c r="A493" s="34" t="n"/>
      <c r="B493" s="35" t="n"/>
      <c r="C493" s="34" t="n"/>
      <c r="D493" s="31" t="n"/>
      <c r="E493" s="24" t="n"/>
      <c r="F493" s="24" t="n"/>
      <c r="G493" s="24" t="n"/>
      <c r="H493" s="24" t="n"/>
      <c r="I493" s="24" t="n"/>
      <c r="J493" s="34" t="n"/>
      <c r="K493" s="24" t="n"/>
      <c r="L493" s="24" t="n"/>
      <c r="M493" s="24" t="n"/>
      <c r="N493" s="24" t="n"/>
      <c r="O493" s="34" t="n"/>
      <c r="P493" s="24" t="n"/>
      <c r="Q493" s="24" t="n"/>
      <c r="R493" s="24" t="n"/>
    </row>
    <row r="494" ht="15" customHeight="1" s="21">
      <c r="A494" s="34" t="n"/>
      <c r="B494" s="35" t="n"/>
      <c r="C494" s="34" t="n"/>
      <c r="D494" s="31" t="n"/>
      <c r="E494" s="24" t="n"/>
      <c r="F494" s="24" t="n"/>
      <c r="G494" s="24" t="n"/>
      <c r="H494" s="24" t="n"/>
      <c r="I494" s="24" t="n"/>
      <c r="J494" s="34" t="n"/>
      <c r="K494" s="24" t="n"/>
      <c r="L494" s="24" t="n"/>
      <c r="M494" s="24" t="n"/>
      <c r="N494" s="24" t="n"/>
      <c r="O494" s="34" t="n"/>
      <c r="P494" s="24" t="n"/>
      <c r="Q494" s="24" t="n"/>
      <c r="R494" s="24" t="n"/>
    </row>
    <row r="495" ht="15" customHeight="1" s="21">
      <c r="A495" s="34" t="n"/>
      <c r="B495" s="35" t="n"/>
      <c r="C495" s="34" t="n"/>
      <c r="D495" s="31" t="n"/>
      <c r="E495" s="24" t="n"/>
      <c r="F495" s="24" t="n"/>
      <c r="G495" s="24" t="n"/>
      <c r="H495" s="24" t="n"/>
      <c r="I495" s="24" t="n"/>
      <c r="J495" s="34" t="n"/>
      <c r="K495" s="24" t="n"/>
      <c r="L495" s="24" t="n"/>
      <c r="M495" s="24" t="n"/>
      <c r="N495" s="24" t="n"/>
      <c r="O495" s="34" t="n"/>
      <c r="P495" s="24" t="n"/>
      <c r="Q495" s="24" t="n"/>
      <c r="R495" s="24" t="n"/>
    </row>
    <row r="496" ht="15" customHeight="1" s="21">
      <c r="A496" s="34" t="n"/>
      <c r="B496" s="35" t="n"/>
      <c r="C496" s="34" t="n"/>
      <c r="D496" s="31" t="n"/>
      <c r="E496" s="24" t="n"/>
      <c r="F496" s="24" t="n"/>
      <c r="G496" s="24" t="n"/>
      <c r="H496" s="24" t="n"/>
      <c r="I496" s="24" t="n"/>
      <c r="J496" s="34" t="n"/>
      <c r="K496" s="24" t="n"/>
      <c r="L496" s="24" t="n"/>
      <c r="M496" s="24" t="n"/>
      <c r="N496" s="24" t="n"/>
      <c r="O496" s="34" t="n"/>
      <c r="P496" s="24" t="n"/>
      <c r="Q496" s="24" t="n"/>
      <c r="R496" s="24" t="n"/>
    </row>
    <row r="497" ht="15" customHeight="1" s="21">
      <c r="A497" s="34" t="n"/>
      <c r="B497" s="35" t="n"/>
      <c r="C497" s="34" t="n"/>
      <c r="D497" s="31" t="n"/>
      <c r="E497" s="24" t="n"/>
      <c r="F497" s="24" t="n"/>
      <c r="G497" s="24" t="n"/>
      <c r="H497" s="24" t="n"/>
      <c r="I497" s="24" t="n"/>
      <c r="J497" s="34" t="n"/>
      <c r="K497" s="24" t="n"/>
      <c r="L497" s="24" t="n"/>
      <c r="M497" s="24" t="n"/>
      <c r="N497" s="24" t="n"/>
      <c r="O497" s="34" t="n"/>
      <c r="P497" s="24" t="n"/>
      <c r="Q497" s="24" t="n"/>
      <c r="R497" s="24" t="n"/>
    </row>
    <row r="498" ht="15" customHeight="1" s="21">
      <c r="A498" s="34" t="n"/>
      <c r="B498" s="35" t="n"/>
      <c r="C498" s="34" t="n"/>
      <c r="D498" s="31" t="n"/>
      <c r="E498" s="24" t="n"/>
      <c r="F498" s="24" t="n"/>
      <c r="G498" s="24" t="n"/>
      <c r="H498" s="24" t="n"/>
      <c r="I498" s="24" t="n"/>
      <c r="J498" s="34" t="n"/>
      <c r="K498" s="24" t="n"/>
      <c r="L498" s="24" t="n"/>
      <c r="M498" s="24" t="n"/>
      <c r="N498" s="24" t="n"/>
      <c r="O498" s="34" t="n"/>
      <c r="P498" s="24" t="n"/>
      <c r="Q498" s="24" t="n"/>
      <c r="R498" s="24" t="n"/>
    </row>
    <row r="499" ht="15" customHeight="1" s="21">
      <c r="A499" s="34" t="n"/>
      <c r="B499" s="35" t="n"/>
      <c r="C499" s="34" t="n"/>
      <c r="D499" s="31" t="n"/>
      <c r="E499" s="24" t="n"/>
      <c r="F499" s="24" t="n"/>
      <c r="G499" s="24" t="n"/>
      <c r="H499" s="24" t="n"/>
      <c r="I499" s="24" t="n"/>
      <c r="J499" s="34" t="n"/>
      <c r="K499" s="24" t="n"/>
      <c r="L499" s="24" t="n"/>
      <c r="M499" s="24" t="n"/>
      <c r="N499" s="24" t="n"/>
      <c r="O499" s="34" t="n"/>
      <c r="P499" s="24" t="n"/>
      <c r="Q499" s="24" t="n"/>
      <c r="R499" s="24" t="n"/>
    </row>
    <row r="500" ht="15" customHeight="1" s="21">
      <c r="A500" s="34" t="n"/>
      <c r="B500" s="35" t="n"/>
      <c r="C500" s="34" t="n"/>
      <c r="D500" s="31" t="n"/>
      <c r="E500" s="24" t="n"/>
      <c r="F500" s="24" t="n"/>
      <c r="G500" s="24" t="n"/>
      <c r="H500" s="24" t="n"/>
      <c r="I500" s="24" t="n"/>
      <c r="J500" s="34" t="n"/>
      <c r="K500" s="24" t="n"/>
      <c r="L500" s="24" t="n"/>
      <c r="M500" s="24" t="n"/>
      <c r="N500" s="24" t="n"/>
      <c r="O500" s="34" t="n"/>
      <c r="P500" s="24" t="n"/>
      <c r="Q500" s="24" t="n"/>
      <c r="R500" s="24" t="n"/>
    </row>
    <row r="501" ht="15" customHeight="1" s="21">
      <c r="A501" s="34" t="n"/>
      <c r="B501" s="35" t="n"/>
      <c r="C501" s="34" t="n"/>
      <c r="D501" s="31" t="n"/>
      <c r="E501" s="24" t="n"/>
      <c r="F501" s="24" t="n"/>
      <c r="G501" s="24" t="n"/>
      <c r="H501" s="24" t="n"/>
      <c r="I501" s="24" t="n"/>
      <c r="J501" s="34" t="n"/>
      <c r="K501" s="24" t="n"/>
      <c r="L501" s="24" t="n"/>
      <c r="M501" s="24" t="n"/>
      <c r="N501" s="24" t="n"/>
      <c r="O501" s="34" t="n"/>
      <c r="P501" s="24" t="n"/>
      <c r="Q501" s="24" t="n"/>
      <c r="R501" s="24" t="n"/>
    </row>
    <row r="502" ht="15" customHeight="1" s="21">
      <c r="A502" s="34" t="n"/>
      <c r="B502" s="35" t="n"/>
      <c r="C502" s="34" t="n"/>
      <c r="D502" s="31" t="n"/>
      <c r="E502" s="24" t="n"/>
      <c r="F502" s="24" t="n"/>
      <c r="G502" s="24" t="n"/>
      <c r="H502" s="24" t="n"/>
      <c r="I502" s="24" t="n"/>
      <c r="J502" s="34" t="n"/>
      <c r="K502" s="24" t="n"/>
      <c r="L502" s="24" t="n"/>
      <c r="M502" s="24" t="n"/>
      <c r="N502" s="24" t="n"/>
      <c r="O502" s="34" t="n"/>
      <c r="P502" s="24" t="n"/>
      <c r="Q502" s="24" t="n"/>
      <c r="R502" s="24" t="n"/>
    </row>
    <row r="503" ht="15" customHeight="1" s="21">
      <c r="A503" s="34" t="n"/>
      <c r="B503" s="35" t="n"/>
      <c r="C503" s="34" t="n"/>
      <c r="D503" s="31" t="n"/>
      <c r="E503" s="24" t="n"/>
      <c r="F503" s="24" t="n"/>
      <c r="G503" s="24" t="n"/>
      <c r="H503" s="24" t="n"/>
      <c r="I503" s="24" t="n"/>
      <c r="J503" s="34" t="n"/>
      <c r="K503" s="24" t="n"/>
      <c r="L503" s="24" t="n"/>
      <c r="M503" s="24" t="n"/>
      <c r="N503" s="24" t="n"/>
      <c r="O503" s="34" t="n"/>
      <c r="P503" s="24" t="n"/>
      <c r="Q503" s="24" t="n"/>
      <c r="R503" s="24" t="n"/>
    </row>
    <row r="504" ht="15" customHeight="1" s="21">
      <c r="A504" s="34" t="n"/>
      <c r="B504" s="35" t="n"/>
      <c r="C504" s="34" t="n"/>
      <c r="D504" s="31" t="n"/>
      <c r="E504" s="24" t="n"/>
      <c r="F504" s="24" t="n"/>
      <c r="G504" s="24" t="n"/>
      <c r="H504" s="24" t="n"/>
      <c r="I504" s="24" t="n"/>
      <c r="J504" s="34" t="n"/>
      <c r="K504" s="24" t="n"/>
      <c r="L504" s="24" t="n"/>
      <c r="M504" s="24" t="n"/>
      <c r="N504" s="24" t="n"/>
      <c r="O504" s="34" t="n"/>
      <c r="P504" s="24" t="n"/>
      <c r="Q504" s="24" t="n"/>
      <c r="R504" s="24" t="n"/>
    </row>
    <row r="505" ht="15" customHeight="1" s="21">
      <c r="A505" s="34" t="n"/>
      <c r="B505" s="35" t="n"/>
      <c r="C505" s="34" t="n"/>
      <c r="D505" s="31" t="n"/>
      <c r="E505" s="24" t="n"/>
      <c r="F505" s="24" t="n"/>
      <c r="G505" s="24" t="n"/>
      <c r="H505" s="24" t="n"/>
      <c r="I505" s="24" t="n"/>
      <c r="J505" s="34" t="n"/>
      <c r="K505" s="24" t="n"/>
      <c r="L505" s="24" t="n"/>
      <c r="M505" s="24" t="n"/>
      <c r="N505" s="24" t="n"/>
      <c r="O505" s="34" t="n"/>
      <c r="P505" s="24" t="n"/>
      <c r="Q505" s="24" t="n"/>
      <c r="R505" s="24" t="n"/>
    </row>
    <row r="506" ht="15" customHeight="1" s="21">
      <c r="A506" s="34" t="n"/>
      <c r="B506" s="35" t="n"/>
      <c r="C506" s="34" t="n"/>
      <c r="D506" s="31" t="n"/>
      <c r="E506" s="24" t="n"/>
      <c r="F506" s="24" t="n"/>
      <c r="G506" s="24" t="n"/>
      <c r="H506" s="24" t="n"/>
      <c r="I506" s="24" t="n"/>
      <c r="J506" s="34" t="n"/>
      <c r="K506" s="24" t="n"/>
      <c r="L506" s="24" t="n"/>
      <c r="M506" s="24" t="n"/>
      <c r="N506" s="24" t="n"/>
      <c r="O506" s="34" t="n"/>
      <c r="P506" s="24" t="n"/>
      <c r="Q506" s="24" t="n"/>
      <c r="R506" s="24" t="n"/>
    </row>
    <row r="507" ht="15" customHeight="1" s="21">
      <c r="A507" s="34" t="n"/>
      <c r="B507" s="35" t="n"/>
      <c r="C507" s="34" t="n"/>
      <c r="D507" s="31" t="n"/>
      <c r="E507" s="24" t="n"/>
      <c r="F507" s="24" t="n"/>
      <c r="G507" s="24" t="n"/>
      <c r="H507" s="24" t="n"/>
      <c r="I507" s="24" t="n"/>
      <c r="J507" s="34" t="n"/>
      <c r="K507" s="24" t="n"/>
      <c r="L507" s="24" t="n"/>
      <c r="M507" s="24" t="n"/>
      <c r="N507" s="24" t="n"/>
      <c r="O507" s="34" t="n"/>
      <c r="P507" s="24" t="n"/>
      <c r="Q507" s="24" t="n"/>
      <c r="R507" s="24" t="n"/>
    </row>
    <row r="508" ht="15" customHeight="1" s="21">
      <c r="A508" s="34" t="n"/>
      <c r="B508" s="35" t="n"/>
      <c r="C508" s="34" t="n"/>
      <c r="D508" s="31" t="n"/>
      <c r="E508" s="24" t="n"/>
      <c r="F508" s="24" t="n"/>
      <c r="G508" s="24" t="n"/>
      <c r="H508" s="24" t="n"/>
      <c r="I508" s="24" t="n"/>
      <c r="J508" s="34" t="n"/>
      <c r="K508" s="24" t="n"/>
      <c r="L508" s="24" t="n"/>
      <c r="M508" s="24" t="n"/>
      <c r="N508" s="24" t="n"/>
      <c r="O508" s="34" t="n"/>
      <c r="P508" s="24" t="n"/>
      <c r="Q508" s="24" t="n"/>
      <c r="R508" s="24" t="n"/>
    </row>
    <row r="509" ht="15" customHeight="1" s="21">
      <c r="A509" s="34" t="n"/>
      <c r="B509" s="35" t="n"/>
      <c r="C509" s="34" t="n"/>
      <c r="D509" s="31" t="n"/>
      <c r="E509" s="24" t="n"/>
      <c r="F509" s="24" t="n"/>
      <c r="G509" s="24" t="n"/>
      <c r="H509" s="24" t="n"/>
      <c r="I509" s="24" t="n"/>
      <c r="J509" s="34" t="n"/>
      <c r="K509" s="24" t="n"/>
      <c r="L509" s="24" t="n"/>
      <c r="M509" s="24" t="n"/>
      <c r="N509" s="24" t="n"/>
      <c r="O509" s="34" t="n"/>
      <c r="P509" s="24" t="n"/>
      <c r="Q509" s="24" t="n"/>
      <c r="R509" s="24" t="n"/>
    </row>
    <row r="510" ht="15" customHeight="1" s="21">
      <c r="A510" s="34" t="n"/>
      <c r="B510" s="35" t="n"/>
      <c r="C510" s="34" t="n"/>
      <c r="D510" s="31" t="n"/>
      <c r="E510" s="24" t="n"/>
      <c r="F510" s="24" t="n"/>
      <c r="G510" s="24" t="n"/>
      <c r="H510" s="24" t="n"/>
      <c r="I510" s="24" t="n"/>
      <c r="J510" s="34" t="n"/>
      <c r="K510" s="24" t="n"/>
      <c r="L510" s="24" t="n"/>
      <c r="M510" s="24" t="n"/>
      <c r="N510" s="24" t="n"/>
      <c r="O510" s="34" t="n"/>
      <c r="P510" s="24" t="n"/>
      <c r="Q510" s="24" t="n"/>
      <c r="R510" s="24" t="n"/>
    </row>
    <row r="511" ht="15" customHeight="1" s="21">
      <c r="A511" s="34" t="n"/>
      <c r="B511" s="35" t="n"/>
      <c r="C511" s="34" t="n"/>
      <c r="D511" s="31" t="n"/>
      <c r="E511" s="24" t="n"/>
      <c r="F511" s="24" t="n"/>
      <c r="G511" s="24" t="n"/>
      <c r="H511" s="24" t="n"/>
      <c r="I511" s="24" t="n"/>
      <c r="J511" s="34" t="n"/>
      <c r="K511" s="24" t="n"/>
      <c r="L511" s="24" t="n"/>
      <c r="M511" s="24" t="n"/>
      <c r="N511" s="24" t="n"/>
      <c r="O511" s="34" t="n"/>
      <c r="P511" s="24" t="n"/>
      <c r="Q511" s="24" t="n"/>
      <c r="R511" s="24" t="n"/>
    </row>
    <row r="512" ht="15" customHeight="1" s="21">
      <c r="A512" s="34" t="n"/>
      <c r="B512" s="35" t="n"/>
      <c r="C512" s="34" t="n"/>
      <c r="D512" s="31" t="n"/>
      <c r="E512" s="24" t="n"/>
      <c r="F512" s="24" t="n"/>
      <c r="G512" s="24" t="n"/>
      <c r="H512" s="24" t="n"/>
      <c r="I512" s="24" t="n"/>
      <c r="J512" s="34" t="n"/>
      <c r="K512" s="24" t="n"/>
      <c r="L512" s="24" t="n"/>
      <c r="M512" s="24" t="n"/>
      <c r="N512" s="24" t="n"/>
      <c r="O512" s="34" t="n"/>
      <c r="P512" s="24" t="n"/>
      <c r="Q512" s="24" t="n"/>
      <c r="R512" s="24" t="n"/>
    </row>
    <row r="513" ht="15" customHeight="1" s="21">
      <c r="A513" s="34" t="n"/>
      <c r="B513" s="35" t="n"/>
      <c r="C513" s="34" t="n"/>
      <c r="D513" s="31" t="n"/>
      <c r="E513" s="24" t="n"/>
      <c r="F513" s="24" t="n"/>
      <c r="G513" s="24" t="n"/>
      <c r="H513" s="24" t="n"/>
      <c r="I513" s="24" t="n"/>
      <c r="J513" s="34" t="n"/>
      <c r="K513" s="24" t="n"/>
      <c r="L513" s="24" t="n"/>
      <c r="M513" s="24" t="n"/>
      <c r="N513" s="24" t="n"/>
      <c r="O513" s="34" t="n"/>
      <c r="P513" s="24" t="n"/>
      <c r="Q513" s="24" t="n"/>
      <c r="R513" s="24" t="n"/>
    </row>
    <row r="514" ht="15" customHeight="1" s="21">
      <c r="A514" s="34" t="n"/>
      <c r="B514" s="35" t="n"/>
      <c r="C514" s="34" t="n"/>
      <c r="D514" s="31" t="n"/>
      <c r="E514" s="24" t="n"/>
      <c r="F514" s="24" t="n"/>
      <c r="G514" s="24" t="n"/>
      <c r="H514" s="24" t="n"/>
      <c r="I514" s="24" t="n"/>
      <c r="J514" s="34" t="n"/>
      <c r="K514" s="24" t="n"/>
      <c r="L514" s="24" t="n"/>
      <c r="M514" s="24" t="n"/>
      <c r="N514" s="24" t="n"/>
      <c r="O514" s="34" t="n"/>
      <c r="P514" s="24" t="n"/>
      <c r="Q514" s="24" t="n"/>
      <c r="R514" s="24" t="n"/>
    </row>
    <row r="515" ht="15" customHeight="1" s="21">
      <c r="A515" s="34" t="n"/>
      <c r="B515" s="35" t="n"/>
      <c r="C515" s="34" t="n"/>
      <c r="D515" s="31" t="n"/>
      <c r="E515" s="24" t="n"/>
      <c r="F515" s="24" t="n"/>
      <c r="G515" s="24" t="n"/>
      <c r="H515" s="24" t="n"/>
      <c r="I515" s="24" t="n"/>
      <c r="J515" s="34" t="n"/>
      <c r="K515" s="24" t="n"/>
      <c r="L515" s="24" t="n"/>
      <c r="M515" s="24" t="n"/>
      <c r="N515" s="24" t="n"/>
      <c r="O515" s="34" t="n"/>
      <c r="P515" s="24" t="n"/>
      <c r="Q515" s="24" t="n"/>
      <c r="R515" s="24" t="n"/>
    </row>
    <row r="516" ht="15" customHeight="1" s="21">
      <c r="A516" s="34" t="n"/>
      <c r="B516" s="35" t="n"/>
      <c r="C516" s="34" t="n"/>
      <c r="D516" s="31" t="n"/>
      <c r="E516" s="24" t="n"/>
      <c r="F516" s="24" t="n"/>
      <c r="G516" s="24" t="n"/>
      <c r="H516" s="24" t="n"/>
      <c r="I516" s="24" t="n"/>
      <c r="J516" s="34" t="n"/>
      <c r="K516" s="24" t="n"/>
      <c r="L516" s="24" t="n"/>
      <c r="M516" s="24" t="n"/>
      <c r="N516" s="24" t="n"/>
      <c r="O516" s="34" t="n"/>
      <c r="P516" s="24" t="n"/>
      <c r="Q516" s="24" t="n"/>
      <c r="R516" s="24" t="n"/>
    </row>
    <row r="517" ht="15" customHeight="1" s="21">
      <c r="A517" s="34" t="n"/>
      <c r="B517" s="35" t="n"/>
      <c r="C517" s="34" t="n"/>
      <c r="D517" s="31" t="n"/>
      <c r="E517" s="24" t="n"/>
      <c r="F517" s="24" t="n"/>
      <c r="G517" s="24" t="n"/>
      <c r="H517" s="24" t="n"/>
      <c r="I517" s="24" t="n"/>
      <c r="J517" s="34" t="n"/>
      <c r="K517" s="24" t="n"/>
      <c r="L517" s="24" t="n"/>
      <c r="M517" s="24" t="n"/>
      <c r="N517" s="24" t="n"/>
      <c r="O517" s="34" t="n"/>
      <c r="P517" s="24" t="n"/>
      <c r="Q517" s="24" t="n"/>
      <c r="R517" s="24" t="n"/>
    </row>
    <row r="518" ht="15" customHeight="1" s="21">
      <c r="A518" s="34" t="n"/>
      <c r="B518" s="35" t="n"/>
      <c r="C518" s="34" t="n"/>
      <c r="D518" s="31" t="n"/>
      <c r="E518" s="24" t="n"/>
      <c r="F518" s="24" t="n"/>
      <c r="G518" s="24" t="n"/>
      <c r="H518" s="24" t="n"/>
      <c r="I518" s="24" t="n"/>
      <c r="J518" s="34" t="n"/>
      <c r="K518" s="24" t="n"/>
      <c r="L518" s="24" t="n"/>
      <c r="M518" s="24" t="n"/>
      <c r="N518" s="24" t="n"/>
      <c r="O518" s="34" t="n"/>
      <c r="P518" s="24" t="n"/>
      <c r="Q518" s="24" t="n"/>
      <c r="R518" s="24" t="n"/>
    </row>
    <row r="519" ht="15" customHeight="1" s="21">
      <c r="A519" s="34" t="n"/>
      <c r="B519" s="35" t="n"/>
      <c r="C519" s="34" t="n"/>
      <c r="D519" s="31" t="n"/>
      <c r="E519" s="24" t="n"/>
      <c r="F519" s="24" t="n"/>
      <c r="G519" s="24" t="n"/>
      <c r="H519" s="24" t="n"/>
      <c r="I519" s="24" t="n"/>
      <c r="J519" s="34" t="n"/>
      <c r="K519" s="24" t="n"/>
      <c r="L519" s="24" t="n"/>
      <c r="M519" s="24" t="n"/>
      <c r="N519" s="24" t="n"/>
      <c r="O519" s="34" t="n"/>
      <c r="P519" s="24" t="n"/>
      <c r="Q519" s="24" t="n"/>
      <c r="R519" s="24" t="n"/>
    </row>
    <row r="520" ht="15" customHeight="1" s="21">
      <c r="A520" s="34" t="n"/>
      <c r="B520" s="35" t="n"/>
      <c r="C520" s="34" t="n"/>
      <c r="D520" s="31" t="n"/>
      <c r="E520" s="24" t="n"/>
      <c r="F520" s="24" t="n"/>
      <c r="G520" s="24" t="n"/>
      <c r="H520" s="24" t="n"/>
      <c r="I520" s="24" t="n"/>
      <c r="J520" s="34" t="n"/>
      <c r="K520" s="24" t="n"/>
      <c r="L520" s="24" t="n"/>
      <c r="M520" s="24" t="n"/>
      <c r="N520" s="24" t="n"/>
      <c r="O520" s="34" t="n"/>
      <c r="P520" s="24" t="n"/>
      <c r="Q520" s="24" t="n"/>
      <c r="R520" s="24" t="n"/>
    </row>
    <row r="521" ht="15" customHeight="1" s="21">
      <c r="A521" s="34" t="n"/>
      <c r="B521" s="35" t="n"/>
      <c r="C521" s="34" t="n"/>
      <c r="D521" s="31" t="n"/>
      <c r="E521" s="24" t="n"/>
      <c r="F521" s="24" t="n"/>
      <c r="G521" s="24" t="n"/>
      <c r="H521" s="24" t="n"/>
      <c r="I521" s="24" t="n"/>
      <c r="J521" s="34" t="n"/>
      <c r="K521" s="24" t="n"/>
      <c r="L521" s="24" t="n"/>
      <c r="M521" s="24" t="n"/>
      <c r="N521" s="24" t="n"/>
      <c r="O521" s="34" t="n"/>
      <c r="P521" s="24" t="n"/>
      <c r="Q521" s="24" t="n"/>
      <c r="R521" s="24" t="n"/>
    </row>
    <row r="522" ht="15" customHeight="1" s="21">
      <c r="A522" s="34" t="n"/>
      <c r="B522" s="35" t="n"/>
      <c r="C522" s="34" t="n"/>
      <c r="D522" s="31" t="n"/>
      <c r="E522" s="24" t="n"/>
      <c r="F522" s="24" t="n"/>
      <c r="G522" s="24" t="n"/>
      <c r="H522" s="24" t="n"/>
      <c r="I522" s="24" t="n"/>
      <c r="J522" s="34" t="n"/>
      <c r="K522" s="24" t="n"/>
      <c r="L522" s="24" t="n"/>
      <c r="M522" s="24" t="n"/>
      <c r="N522" s="24" t="n"/>
      <c r="O522" s="34" t="n"/>
      <c r="P522" s="24" t="n"/>
      <c r="Q522" s="24" t="n"/>
      <c r="R522" s="24" t="n"/>
    </row>
    <row r="523" ht="15" customHeight="1" s="21">
      <c r="A523" s="34" t="n"/>
      <c r="B523" s="35" t="n"/>
      <c r="C523" s="34" t="n"/>
      <c r="D523" s="31" t="n"/>
      <c r="E523" s="24" t="n"/>
      <c r="F523" s="24" t="n"/>
      <c r="G523" s="24" t="n"/>
      <c r="H523" s="24" t="n"/>
      <c r="I523" s="24" t="n"/>
      <c r="J523" s="34" t="n"/>
      <c r="K523" s="24" t="n"/>
      <c r="L523" s="24" t="n"/>
      <c r="M523" s="24" t="n"/>
      <c r="N523" s="24" t="n"/>
      <c r="O523" s="34" t="n"/>
      <c r="P523" s="24" t="n"/>
      <c r="Q523" s="24" t="n"/>
      <c r="R523" s="24" t="n"/>
    </row>
    <row r="524" ht="15" customHeight="1" s="21">
      <c r="A524" s="34" t="n"/>
      <c r="B524" s="35" t="n"/>
      <c r="C524" s="34" t="n"/>
      <c r="D524" s="31" t="n"/>
      <c r="E524" s="24" t="n"/>
      <c r="F524" s="24" t="n"/>
      <c r="G524" s="24" t="n"/>
      <c r="H524" s="24" t="n"/>
      <c r="I524" s="24" t="n"/>
      <c r="J524" s="34" t="n"/>
      <c r="K524" s="24" t="n"/>
      <c r="L524" s="24" t="n"/>
      <c r="M524" s="24" t="n"/>
      <c r="N524" s="24" t="n"/>
      <c r="O524" s="34" t="n"/>
      <c r="P524" s="24" t="n"/>
      <c r="Q524" s="24" t="n"/>
      <c r="R524" s="24" t="n"/>
    </row>
    <row r="525" ht="15" customHeight="1" s="21">
      <c r="A525" s="34" t="n"/>
      <c r="B525" s="35" t="n"/>
      <c r="C525" s="34" t="n"/>
      <c r="D525" s="31" t="n"/>
      <c r="E525" s="24" t="n"/>
      <c r="F525" s="24" t="n"/>
      <c r="G525" s="24" t="n"/>
      <c r="H525" s="24" t="n"/>
      <c r="I525" s="24" t="n"/>
      <c r="J525" s="34" t="n"/>
      <c r="K525" s="24" t="n"/>
      <c r="L525" s="24" t="n"/>
      <c r="M525" s="24" t="n"/>
      <c r="N525" s="24" t="n"/>
      <c r="O525" s="34" t="n"/>
      <c r="P525" s="24" t="n"/>
      <c r="Q525" s="24" t="n"/>
      <c r="R525" s="24" t="n"/>
    </row>
    <row r="526" ht="15" customHeight="1" s="21">
      <c r="A526" s="34" t="n"/>
      <c r="B526" s="35" t="n"/>
      <c r="C526" s="34" t="n"/>
      <c r="D526" s="31" t="n"/>
      <c r="E526" s="24" t="n"/>
      <c r="F526" s="24" t="n"/>
      <c r="G526" s="24" t="n"/>
      <c r="H526" s="24" t="n"/>
      <c r="I526" s="24" t="n"/>
      <c r="J526" s="34" t="n"/>
      <c r="K526" s="24" t="n"/>
      <c r="L526" s="24" t="n"/>
      <c r="M526" s="24" t="n"/>
      <c r="N526" s="24" t="n"/>
      <c r="O526" s="34" t="n"/>
      <c r="P526" s="24" t="n"/>
      <c r="Q526" s="24" t="n"/>
      <c r="R526" s="24" t="n"/>
    </row>
    <row r="527" ht="15" customHeight="1" s="21">
      <c r="A527" s="34" t="n"/>
      <c r="B527" s="35" t="n"/>
      <c r="C527" s="34" t="n"/>
      <c r="D527" s="31" t="n"/>
      <c r="E527" s="24" t="n"/>
      <c r="F527" s="24" t="n"/>
      <c r="G527" s="24" t="n"/>
      <c r="H527" s="24" t="n"/>
      <c r="I527" s="24" t="n"/>
      <c r="J527" s="34" t="n"/>
      <c r="K527" s="24" t="n"/>
      <c r="L527" s="24" t="n"/>
      <c r="M527" s="24" t="n"/>
      <c r="N527" s="24" t="n"/>
      <c r="O527" s="34" t="n"/>
      <c r="P527" s="24" t="n"/>
      <c r="Q527" s="24" t="n"/>
      <c r="R527" s="24" t="n"/>
    </row>
    <row r="528" ht="15" customHeight="1" s="21">
      <c r="A528" s="34" t="n"/>
      <c r="B528" s="35" t="n"/>
      <c r="C528" s="34" t="n"/>
      <c r="D528" s="31" t="n"/>
      <c r="E528" s="24" t="n"/>
      <c r="F528" s="24" t="n"/>
      <c r="G528" s="24" t="n"/>
      <c r="H528" s="24" t="n"/>
      <c r="I528" s="24" t="n"/>
      <c r="J528" s="34" t="n"/>
      <c r="K528" s="24" t="n"/>
      <c r="L528" s="24" t="n"/>
      <c r="M528" s="24" t="n"/>
      <c r="N528" s="24" t="n"/>
      <c r="O528" s="34" t="n"/>
      <c r="P528" s="24" t="n"/>
      <c r="Q528" s="24" t="n"/>
      <c r="R528" s="24" t="n"/>
    </row>
    <row r="529" ht="15" customHeight="1" s="21">
      <c r="A529" s="34" t="n"/>
      <c r="B529" s="35" t="n"/>
      <c r="C529" s="34" t="n"/>
      <c r="D529" s="31" t="n"/>
      <c r="E529" s="24" t="n"/>
      <c r="F529" s="24" t="n"/>
      <c r="G529" s="24" t="n"/>
      <c r="H529" s="24" t="n"/>
      <c r="I529" s="24" t="n"/>
      <c r="J529" s="34" t="n"/>
      <c r="K529" s="24" t="n"/>
      <c r="L529" s="24" t="n"/>
      <c r="M529" s="24" t="n"/>
      <c r="N529" s="24" t="n"/>
      <c r="O529" s="34" t="n"/>
      <c r="P529" s="24" t="n"/>
      <c r="Q529" s="24" t="n"/>
      <c r="R529" s="24" t="n"/>
    </row>
    <row r="530" ht="15" customHeight="1" s="21">
      <c r="A530" s="34" t="n"/>
      <c r="B530" s="35" t="n"/>
      <c r="C530" s="34" t="n"/>
      <c r="D530" s="31" t="n"/>
      <c r="E530" s="24" t="n"/>
      <c r="F530" s="24" t="n"/>
      <c r="G530" s="24" t="n"/>
      <c r="H530" s="24" t="n"/>
      <c r="I530" s="24" t="n"/>
      <c r="J530" s="34" t="n"/>
      <c r="K530" s="24" t="n"/>
      <c r="L530" s="24" t="n"/>
      <c r="M530" s="24" t="n"/>
      <c r="N530" s="24" t="n"/>
      <c r="O530" s="34" t="n"/>
      <c r="P530" s="24" t="n"/>
      <c r="Q530" s="24" t="n"/>
      <c r="R530" s="24" t="n"/>
    </row>
    <row r="531" ht="15" customHeight="1" s="21">
      <c r="A531" s="34" t="n"/>
      <c r="B531" s="35" t="n"/>
      <c r="C531" s="34" t="n"/>
      <c r="D531" s="31" t="n"/>
      <c r="E531" s="24" t="n"/>
      <c r="F531" s="24" t="n"/>
      <c r="G531" s="24" t="n"/>
      <c r="H531" s="24" t="n"/>
      <c r="I531" s="24" t="n"/>
      <c r="J531" s="34" t="n"/>
      <c r="K531" s="24" t="n"/>
      <c r="L531" s="24" t="n"/>
      <c r="M531" s="24" t="n"/>
      <c r="N531" s="24" t="n"/>
      <c r="O531" s="34" t="n"/>
      <c r="P531" s="24" t="n"/>
      <c r="Q531" s="24" t="n"/>
      <c r="R531" s="24" t="n"/>
    </row>
    <row r="532" ht="15" customHeight="1" s="21">
      <c r="A532" s="34" t="n"/>
      <c r="B532" s="35" t="n"/>
      <c r="C532" s="34" t="n"/>
      <c r="D532" s="31" t="n"/>
      <c r="E532" s="24" t="n"/>
      <c r="F532" s="24" t="n"/>
      <c r="G532" s="24" t="n"/>
      <c r="H532" s="24" t="n"/>
      <c r="I532" s="24" t="n"/>
      <c r="J532" s="34" t="n"/>
      <c r="K532" s="24" t="n"/>
      <c r="L532" s="24" t="n"/>
      <c r="M532" s="24" t="n"/>
      <c r="N532" s="24" t="n"/>
      <c r="O532" s="34" t="n"/>
      <c r="P532" s="24" t="n"/>
      <c r="Q532" s="24" t="n"/>
      <c r="R532" s="24" t="n"/>
    </row>
    <row r="533" ht="15" customHeight="1" s="21">
      <c r="A533" s="34" t="n"/>
      <c r="B533" s="35" t="n"/>
      <c r="C533" s="34" t="n"/>
      <c r="D533" s="31" t="n"/>
      <c r="E533" s="24" t="n"/>
      <c r="F533" s="24" t="n"/>
      <c r="G533" s="24" t="n"/>
      <c r="H533" s="24" t="n"/>
      <c r="I533" s="24" t="n"/>
      <c r="J533" s="34" t="n"/>
      <c r="K533" s="24" t="n"/>
      <c r="L533" s="24" t="n"/>
      <c r="M533" s="24" t="n"/>
      <c r="N533" s="24" t="n"/>
      <c r="O533" s="34" t="n"/>
      <c r="P533" s="24" t="n"/>
      <c r="Q533" s="24" t="n"/>
      <c r="R533" s="24" t="n"/>
    </row>
    <row r="534" ht="15" customHeight="1" s="21">
      <c r="A534" s="34" t="n"/>
      <c r="B534" s="35" t="n"/>
      <c r="C534" s="34" t="n"/>
      <c r="D534" s="31" t="n"/>
      <c r="E534" s="24" t="n"/>
      <c r="F534" s="24" t="n"/>
      <c r="G534" s="24" t="n"/>
      <c r="H534" s="24" t="n"/>
      <c r="I534" s="24" t="n"/>
      <c r="J534" s="34" t="n"/>
      <c r="K534" s="24" t="n"/>
      <c r="L534" s="24" t="n"/>
      <c r="M534" s="24" t="n"/>
      <c r="N534" s="24" t="n"/>
      <c r="O534" s="34" t="n"/>
      <c r="P534" s="24" t="n"/>
      <c r="Q534" s="24" t="n"/>
      <c r="R534" s="24" t="n"/>
    </row>
    <row r="535" ht="15" customHeight="1" s="21">
      <c r="A535" s="34" t="n"/>
      <c r="B535" s="35" t="n"/>
      <c r="C535" s="34" t="n"/>
      <c r="D535" s="31" t="n"/>
      <c r="E535" s="24" t="n"/>
      <c r="F535" s="24" t="n"/>
      <c r="G535" s="24" t="n"/>
      <c r="H535" s="24" t="n"/>
      <c r="I535" s="24" t="n"/>
      <c r="J535" s="34" t="n"/>
      <c r="K535" s="24" t="n"/>
      <c r="L535" s="24" t="n"/>
      <c r="M535" s="24" t="n"/>
      <c r="N535" s="24" t="n"/>
      <c r="O535" s="34" t="n"/>
      <c r="P535" s="24" t="n"/>
      <c r="Q535" s="24" t="n"/>
      <c r="R535" s="24" t="n"/>
    </row>
    <row r="536" ht="15" customHeight="1" s="21">
      <c r="A536" s="34" t="n"/>
      <c r="B536" s="35" t="n"/>
      <c r="C536" s="34" t="n"/>
      <c r="D536" s="31" t="n"/>
      <c r="E536" s="24" t="n"/>
      <c r="F536" s="24" t="n"/>
      <c r="G536" s="24" t="n"/>
      <c r="H536" s="24" t="n"/>
      <c r="I536" s="24" t="n"/>
      <c r="J536" s="34" t="n"/>
      <c r="K536" s="24" t="n"/>
      <c r="L536" s="24" t="n"/>
      <c r="M536" s="24" t="n"/>
      <c r="N536" s="24" t="n"/>
      <c r="O536" s="34" t="n"/>
      <c r="P536" s="24" t="n"/>
      <c r="Q536" s="24" t="n"/>
      <c r="R536" s="24" t="n"/>
    </row>
    <row r="537" ht="15" customHeight="1" s="21">
      <c r="A537" s="34" t="n"/>
      <c r="B537" s="35" t="n"/>
      <c r="C537" s="34" t="n"/>
      <c r="D537" s="31" t="n"/>
      <c r="E537" s="24" t="n"/>
      <c r="F537" s="24" t="n"/>
      <c r="G537" s="24" t="n"/>
      <c r="H537" s="24" t="n"/>
      <c r="I537" s="24" t="n"/>
      <c r="J537" s="34" t="n"/>
      <c r="K537" s="24" t="n"/>
      <c r="L537" s="24" t="n"/>
      <c r="M537" s="24" t="n"/>
      <c r="N537" s="24" t="n"/>
      <c r="O537" s="34" t="n"/>
      <c r="P537" s="24" t="n"/>
      <c r="Q537" s="24" t="n"/>
      <c r="R537" s="24" t="n"/>
    </row>
    <row r="538" ht="15" customHeight="1" s="21">
      <c r="A538" s="34" t="n"/>
      <c r="B538" s="35" t="n"/>
      <c r="C538" s="34" t="n"/>
      <c r="D538" s="31" t="n"/>
      <c r="E538" s="24" t="n"/>
      <c r="F538" s="24" t="n"/>
      <c r="G538" s="24" t="n"/>
      <c r="H538" s="24" t="n"/>
      <c r="I538" s="24" t="n"/>
      <c r="J538" s="34" t="n"/>
      <c r="K538" s="24" t="n"/>
      <c r="L538" s="24" t="n"/>
      <c r="M538" s="24" t="n"/>
      <c r="N538" s="24" t="n"/>
      <c r="O538" s="34" t="n"/>
      <c r="P538" s="24" t="n"/>
      <c r="Q538" s="24" t="n"/>
      <c r="R538" s="24" t="n"/>
    </row>
    <row r="539" ht="15" customHeight="1" s="21">
      <c r="A539" s="34" t="n"/>
      <c r="B539" s="35" t="n"/>
      <c r="C539" s="34" t="n"/>
      <c r="D539" s="31" t="n"/>
      <c r="E539" s="24" t="n"/>
      <c r="F539" s="24" t="n"/>
      <c r="G539" s="24" t="n"/>
      <c r="H539" s="24" t="n"/>
      <c r="I539" s="24" t="n"/>
      <c r="J539" s="34" t="n"/>
      <c r="K539" s="24" t="n"/>
      <c r="L539" s="24" t="n"/>
      <c r="M539" s="24" t="n"/>
      <c r="N539" s="24" t="n"/>
      <c r="O539" s="34" t="n"/>
      <c r="P539" s="24" t="n"/>
      <c r="Q539" s="24" t="n"/>
      <c r="R539" s="24" t="n"/>
    </row>
    <row r="540" ht="15" customHeight="1" s="21">
      <c r="A540" s="34" t="n"/>
      <c r="B540" s="35" t="n"/>
      <c r="C540" s="34" t="n"/>
      <c r="D540" s="31" t="n"/>
      <c r="E540" s="24" t="n"/>
      <c r="F540" s="24" t="n"/>
      <c r="G540" s="24" t="n"/>
      <c r="H540" s="24" t="n"/>
      <c r="I540" s="24" t="n"/>
      <c r="J540" s="34" t="n"/>
      <c r="K540" s="24" t="n"/>
      <c r="L540" s="24" t="n"/>
      <c r="M540" s="24" t="n"/>
      <c r="N540" s="24" t="n"/>
      <c r="O540" s="34" t="n"/>
      <c r="P540" s="24" t="n"/>
      <c r="Q540" s="24" t="n"/>
      <c r="R540" s="24" t="n"/>
    </row>
    <row r="541" ht="15" customHeight="1" s="21">
      <c r="A541" s="34" t="n"/>
      <c r="B541" s="35" t="n"/>
      <c r="C541" s="34" t="n"/>
      <c r="D541" s="31" t="n"/>
      <c r="E541" s="24" t="n"/>
      <c r="F541" s="24" t="n"/>
      <c r="G541" s="24" t="n"/>
      <c r="H541" s="24" t="n"/>
      <c r="I541" s="24" t="n"/>
      <c r="J541" s="34" t="n"/>
      <c r="K541" s="24" t="n"/>
      <c r="L541" s="24" t="n"/>
      <c r="M541" s="24" t="n"/>
      <c r="N541" s="24" t="n"/>
      <c r="O541" s="34" t="n"/>
      <c r="P541" s="24" t="n"/>
      <c r="Q541" s="24" t="n"/>
      <c r="R541" s="24" t="n"/>
    </row>
    <row r="542" ht="15" customHeight="1" s="21">
      <c r="A542" s="34" t="n"/>
      <c r="B542" s="35" t="n"/>
      <c r="C542" s="34" t="n"/>
      <c r="D542" s="31" t="n"/>
      <c r="E542" s="24" t="n"/>
      <c r="F542" s="24" t="n"/>
      <c r="G542" s="24" t="n"/>
      <c r="H542" s="24" t="n"/>
      <c r="I542" s="24" t="n"/>
      <c r="J542" s="34" t="n"/>
      <c r="K542" s="24" t="n"/>
      <c r="L542" s="24" t="n"/>
      <c r="M542" s="24" t="n"/>
      <c r="N542" s="24" t="n"/>
      <c r="O542" s="34" t="n"/>
      <c r="P542" s="24" t="n"/>
      <c r="Q542" s="24" t="n"/>
      <c r="R542" s="24" t="n"/>
    </row>
    <row r="543" ht="15" customHeight="1" s="21">
      <c r="A543" s="34" t="n"/>
      <c r="B543" s="35" t="n"/>
      <c r="C543" s="34" t="n"/>
      <c r="D543" s="31" t="n"/>
      <c r="E543" s="24" t="n"/>
      <c r="F543" s="24" t="n"/>
      <c r="G543" s="24" t="n"/>
      <c r="H543" s="24" t="n"/>
      <c r="I543" s="24" t="n"/>
      <c r="J543" s="34" t="n"/>
      <c r="K543" s="24" t="n"/>
      <c r="L543" s="24" t="n"/>
      <c r="M543" s="24" t="n"/>
      <c r="N543" s="24" t="n"/>
      <c r="O543" s="34" t="n"/>
      <c r="P543" s="24" t="n"/>
      <c r="Q543" s="24" t="n"/>
      <c r="R543" s="24" t="n"/>
    </row>
    <row r="544" ht="15" customHeight="1" s="21">
      <c r="A544" s="34" t="n"/>
      <c r="B544" s="35" t="n"/>
      <c r="C544" s="34" t="n"/>
      <c r="D544" s="31" t="n"/>
      <c r="E544" s="24" t="n"/>
      <c r="F544" s="24" t="n"/>
      <c r="G544" s="24" t="n"/>
      <c r="H544" s="24" t="n"/>
      <c r="I544" s="24" t="n"/>
      <c r="J544" s="34" t="n"/>
      <c r="K544" s="24" t="n"/>
      <c r="L544" s="24" t="n"/>
      <c r="M544" s="24" t="n"/>
      <c r="N544" s="24" t="n"/>
      <c r="O544" s="34" t="n"/>
      <c r="P544" s="24" t="n"/>
      <c r="Q544" s="24" t="n"/>
      <c r="R544" s="24" t="n"/>
    </row>
    <row r="545" ht="15" customHeight="1" s="21">
      <c r="A545" s="34" t="n"/>
      <c r="B545" s="35" t="n"/>
      <c r="C545" s="34" t="n"/>
      <c r="D545" s="31" t="n"/>
      <c r="E545" s="24" t="n"/>
      <c r="F545" s="24" t="n"/>
      <c r="G545" s="24" t="n"/>
      <c r="H545" s="24" t="n"/>
      <c r="I545" s="24" t="n"/>
      <c r="J545" s="34" t="n"/>
      <c r="K545" s="24" t="n"/>
      <c r="L545" s="24" t="n"/>
      <c r="M545" s="24" t="n"/>
      <c r="N545" s="24" t="n"/>
      <c r="O545" s="34" t="n"/>
      <c r="P545" s="24" t="n"/>
      <c r="Q545" s="24" t="n"/>
      <c r="R545" s="24" t="n"/>
    </row>
    <row r="546" ht="15" customHeight="1" s="21">
      <c r="A546" s="34" t="n"/>
      <c r="B546" s="35" t="n"/>
      <c r="C546" s="34" t="n"/>
      <c r="D546" s="31" t="n"/>
      <c r="E546" s="24" t="n"/>
      <c r="F546" s="24" t="n"/>
      <c r="G546" s="24" t="n"/>
      <c r="H546" s="24" t="n"/>
      <c r="I546" s="24" t="n"/>
      <c r="J546" s="34" t="n"/>
      <c r="K546" s="24" t="n"/>
      <c r="L546" s="24" t="n"/>
      <c r="M546" s="24" t="n"/>
      <c r="N546" s="24" t="n"/>
      <c r="O546" s="34" t="n"/>
      <c r="P546" s="24" t="n"/>
      <c r="Q546" s="24" t="n"/>
      <c r="R546" s="24" t="n"/>
    </row>
    <row r="547" ht="15" customHeight="1" s="21">
      <c r="A547" s="34" t="n"/>
      <c r="B547" s="35" t="n"/>
      <c r="C547" s="34" t="n"/>
      <c r="D547" s="31" t="n"/>
      <c r="E547" s="24" t="n"/>
      <c r="F547" s="24" t="n"/>
      <c r="G547" s="24" t="n"/>
      <c r="H547" s="24" t="n"/>
      <c r="I547" s="24" t="n"/>
      <c r="J547" s="34" t="n"/>
      <c r="K547" s="24" t="n"/>
      <c r="L547" s="24" t="n"/>
      <c r="M547" s="24" t="n"/>
      <c r="N547" s="24" t="n"/>
      <c r="O547" s="34" t="n"/>
      <c r="P547" s="24" t="n"/>
      <c r="Q547" s="24" t="n"/>
      <c r="R547" s="24" t="n"/>
    </row>
    <row r="548" ht="15" customHeight="1" s="21">
      <c r="A548" s="34" t="n"/>
      <c r="B548" s="35" t="n"/>
      <c r="C548" s="34" t="n"/>
      <c r="D548" s="31" t="n"/>
      <c r="E548" s="24" t="n"/>
      <c r="F548" s="24" t="n"/>
      <c r="G548" s="24" t="n"/>
      <c r="H548" s="24" t="n"/>
      <c r="I548" s="24" t="n"/>
      <c r="J548" s="34" t="n"/>
      <c r="K548" s="24" t="n"/>
      <c r="L548" s="24" t="n"/>
      <c r="M548" s="24" t="n"/>
      <c r="N548" s="24" t="n"/>
      <c r="O548" s="34" t="n"/>
      <c r="P548" s="24" t="n"/>
      <c r="Q548" s="24" t="n"/>
      <c r="R548" s="24" t="n"/>
    </row>
    <row r="549" ht="15" customHeight="1" s="21">
      <c r="A549" s="34" t="n"/>
      <c r="B549" s="35" t="n"/>
      <c r="C549" s="34" t="n"/>
      <c r="D549" s="31" t="n"/>
      <c r="E549" s="24" t="n"/>
      <c r="F549" s="24" t="n"/>
      <c r="G549" s="24" t="n"/>
      <c r="H549" s="24" t="n"/>
      <c r="I549" s="24" t="n"/>
      <c r="J549" s="34" t="n"/>
      <c r="K549" s="24" t="n"/>
      <c r="L549" s="24" t="n"/>
      <c r="M549" s="24" t="n"/>
      <c r="N549" s="24" t="n"/>
      <c r="O549" s="34" t="n"/>
      <c r="P549" s="24" t="n"/>
      <c r="Q549" s="24" t="n"/>
      <c r="R549" s="24" t="n"/>
    </row>
    <row r="550" ht="15" customHeight="1" s="21">
      <c r="A550" s="34" t="n"/>
      <c r="B550" s="35" t="n"/>
      <c r="C550" s="34" t="n"/>
      <c r="D550" s="31" t="n"/>
      <c r="E550" s="24" t="n"/>
      <c r="F550" s="24" t="n"/>
      <c r="G550" s="24" t="n"/>
      <c r="H550" s="24" t="n"/>
      <c r="I550" s="24" t="n"/>
      <c r="J550" s="34" t="n"/>
      <c r="K550" s="24" t="n"/>
      <c r="L550" s="24" t="n"/>
      <c r="M550" s="24" t="n"/>
      <c r="N550" s="24" t="n"/>
      <c r="O550" s="34" t="n"/>
      <c r="P550" s="24" t="n"/>
      <c r="Q550" s="24" t="n"/>
      <c r="R550" s="24" t="n"/>
    </row>
    <row r="551" ht="15" customHeight="1" s="21">
      <c r="A551" s="34" t="n"/>
      <c r="B551" s="35" t="n"/>
      <c r="C551" s="34" t="n"/>
      <c r="D551" s="31" t="n"/>
      <c r="E551" s="24" t="n"/>
      <c r="F551" s="24" t="n"/>
      <c r="G551" s="24" t="n"/>
      <c r="H551" s="24" t="n"/>
      <c r="I551" s="24" t="n"/>
      <c r="J551" s="34" t="n"/>
      <c r="K551" s="24" t="n"/>
      <c r="L551" s="24" t="n"/>
      <c r="M551" s="24" t="n"/>
      <c r="N551" s="24" t="n"/>
      <c r="O551" s="34" t="n"/>
      <c r="P551" s="24" t="n"/>
      <c r="Q551" s="24" t="n"/>
      <c r="R551" s="24" t="n"/>
    </row>
    <row r="552" ht="15" customHeight="1" s="21">
      <c r="A552" s="34" t="n"/>
      <c r="B552" s="35" t="n"/>
      <c r="C552" s="34" t="n"/>
      <c r="D552" s="31" t="n"/>
      <c r="E552" s="24" t="n"/>
      <c r="F552" s="24" t="n"/>
      <c r="G552" s="24" t="n"/>
      <c r="H552" s="24" t="n"/>
      <c r="I552" s="24" t="n"/>
      <c r="J552" s="34" t="n"/>
      <c r="K552" s="24" t="n"/>
      <c r="L552" s="24" t="n"/>
      <c r="M552" s="24" t="n"/>
      <c r="N552" s="24" t="n"/>
      <c r="O552" s="34" t="n"/>
      <c r="P552" s="24" t="n"/>
      <c r="Q552" s="24" t="n"/>
      <c r="R552" s="24" t="n"/>
    </row>
    <row r="553" ht="15" customHeight="1" s="21">
      <c r="A553" s="34" t="n"/>
      <c r="B553" s="35" t="n"/>
      <c r="C553" s="34" t="n"/>
      <c r="D553" s="31" t="n"/>
      <c r="E553" s="24" t="n"/>
      <c r="F553" s="24" t="n"/>
      <c r="G553" s="24" t="n"/>
      <c r="H553" s="24" t="n"/>
      <c r="I553" s="24" t="n"/>
      <c r="J553" s="34" t="n"/>
      <c r="K553" s="24" t="n"/>
      <c r="L553" s="24" t="n"/>
      <c r="M553" s="24" t="n"/>
      <c r="N553" s="24" t="n"/>
      <c r="O553" s="34" t="n"/>
      <c r="P553" s="24" t="n"/>
      <c r="Q553" s="24" t="n"/>
      <c r="R553" s="24" t="n"/>
    </row>
    <row r="554" ht="15" customHeight="1" s="21">
      <c r="A554" s="34" t="n"/>
      <c r="B554" s="35" t="n"/>
      <c r="C554" s="34" t="n"/>
      <c r="D554" s="31" t="n"/>
      <c r="E554" s="24" t="n"/>
      <c r="F554" s="24" t="n"/>
      <c r="G554" s="24" t="n"/>
      <c r="H554" s="24" t="n"/>
      <c r="I554" s="24" t="n"/>
      <c r="J554" s="34" t="n"/>
      <c r="K554" s="24" t="n"/>
      <c r="L554" s="24" t="n"/>
      <c r="M554" s="24" t="n"/>
      <c r="N554" s="24" t="n"/>
      <c r="O554" s="34" t="n"/>
      <c r="P554" s="24" t="n"/>
      <c r="Q554" s="24" t="n"/>
      <c r="R554" s="24" t="n"/>
    </row>
    <row r="555" ht="15" customHeight="1" s="21">
      <c r="A555" s="34" t="n"/>
      <c r="B555" s="35" t="n"/>
      <c r="C555" s="34" t="n"/>
      <c r="D555" s="31" t="n"/>
      <c r="E555" s="24" t="n"/>
      <c r="F555" s="24" t="n"/>
      <c r="G555" s="24" t="n"/>
      <c r="H555" s="24" t="n"/>
      <c r="I555" s="24" t="n"/>
      <c r="J555" s="34" t="n"/>
      <c r="K555" s="24" t="n"/>
      <c r="L555" s="24" t="n"/>
      <c r="M555" s="24" t="n"/>
      <c r="N555" s="24" t="n"/>
      <c r="O555" s="34" t="n"/>
      <c r="P555" s="24" t="n"/>
      <c r="Q555" s="24" t="n"/>
      <c r="R555" s="24" t="n"/>
    </row>
    <row r="556" ht="15" customHeight="1" s="21">
      <c r="A556" s="34" t="n"/>
      <c r="B556" s="35" t="n"/>
      <c r="C556" s="34" t="n"/>
      <c r="D556" s="31" t="n"/>
      <c r="E556" s="24" t="n"/>
      <c r="F556" s="24" t="n"/>
      <c r="G556" s="24" t="n"/>
      <c r="H556" s="24" t="n"/>
      <c r="I556" s="24" t="n"/>
      <c r="J556" s="34" t="n"/>
      <c r="K556" s="24" t="n"/>
      <c r="L556" s="24" t="n"/>
      <c r="M556" s="24" t="n"/>
      <c r="N556" s="24" t="n"/>
      <c r="O556" s="34" t="n"/>
      <c r="P556" s="24" t="n"/>
      <c r="Q556" s="24" t="n"/>
      <c r="R556" s="24" t="n"/>
    </row>
    <row r="557" ht="15" customHeight="1" s="21">
      <c r="A557" s="34" t="n"/>
      <c r="B557" s="35" t="n"/>
      <c r="C557" s="34" t="n"/>
      <c r="D557" s="31" t="n"/>
      <c r="E557" s="24" t="n"/>
      <c r="F557" s="24" t="n"/>
      <c r="G557" s="24" t="n"/>
      <c r="H557" s="24" t="n"/>
      <c r="I557" s="24" t="n"/>
      <c r="J557" s="34" t="n"/>
      <c r="K557" s="24" t="n"/>
      <c r="L557" s="24" t="n"/>
      <c r="M557" s="24" t="n"/>
      <c r="N557" s="24" t="n"/>
      <c r="O557" s="34" t="n"/>
      <c r="P557" s="24" t="n"/>
      <c r="Q557" s="24" t="n"/>
      <c r="R557" s="24" t="n"/>
    </row>
    <row r="558" ht="15" customHeight="1" s="21">
      <c r="A558" s="34" t="n"/>
      <c r="B558" s="35" t="n"/>
      <c r="C558" s="34" t="n"/>
      <c r="D558" s="31" t="n"/>
      <c r="E558" s="24" t="n"/>
      <c r="F558" s="24" t="n"/>
      <c r="G558" s="24" t="n"/>
      <c r="H558" s="24" t="n"/>
      <c r="I558" s="24" t="n"/>
      <c r="J558" s="34" t="n"/>
      <c r="K558" s="24" t="n"/>
      <c r="L558" s="24" t="n"/>
      <c r="M558" s="24" t="n"/>
      <c r="N558" s="24" t="n"/>
      <c r="O558" s="34" t="n"/>
      <c r="P558" s="24" t="n"/>
      <c r="Q558" s="24" t="n"/>
      <c r="R558" s="24" t="n"/>
    </row>
    <row r="559" ht="15" customHeight="1" s="21">
      <c r="A559" s="34" t="n"/>
      <c r="B559" s="35" t="n"/>
      <c r="C559" s="34" t="n"/>
      <c r="D559" s="31" t="n"/>
      <c r="E559" s="24" t="n"/>
      <c r="F559" s="24" t="n"/>
      <c r="G559" s="24" t="n"/>
      <c r="H559" s="24" t="n"/>
      <c r="I559" s="24" t="n"/>
      <c r="J559" s="34" t="n"/>
      <c r="K559" s="24" t="n"/>
      <c r="L559" s="24" t="n"/>
      <c r="M559" s="24" t="n"/>
      <c r="N559" s="24" t="n"/>
      <c r="O559" s="34" t="n"/>
      <c r="P559" s="24" t="n"/>
      <c r="Q559" s="24" t="n"/>
      <c r="R559" s="24" t="n"/>
    </row>
    <row r="560" ht="15" customHeight="1" s="21">
      <c r="A560" s="34" t="n"/>
      <c r="B560" s="35" t="n"/>
      <c r="C560" s="34" t="n"/>
      <c r="D560" s="31" t="n"/>
      <c r="E560" s="24" t="n"/>
      <c r="F560" s="24" t="n"/>
      <c r="G560" s="24" t="n"/>
      <c r="H560" s="24" t="n"/>
      <c r="I560" s="24" t="n"/>
      <c r="J560" s="34" t="n"/>
      <c r="K560" s="24" t="n"/>
      <c r="L560" s="24" t="n"/>
      <c r="M560" s="24" t="n"/>
      <c r="N560" s="24" t="n"/>
      <c r="O560" s="34" t="n"/>
      <c r="P560" s="24" t="n"/>
      <c r="Q560" s="24" t="n"/>
      <c r="R560" s="24" t="n"/>
    </row>
    <row r="561" ht="15" customHeight="1" s="21">
      <c r="A561" s="34" t="n"/>
      <c r="B561" s="35" t="n"/>
      <c r="C561" s="34" t="n"/>
      <c r="D561" s="31" t="n"/>
      <c r="E561" s="24" t="n"/>
      <c r="F561" s="24" t="n"/>
      <c r="G561" s="24" t="n"/>
      <c r="H561" s="24" t="n"/>
      <c r="I561" s="24" t="n"/>
      <c r="J561" s="34" t="n"/>
      <c r="K561" s="24" t="n"/>
      <c r="L561" s="24" t="n"/>
      <c r="M561" s="24" t="n"/>
      <c r="N561" s="24" t="n"/>
      <c r="O561" s="34" t="n"/>
      <c r="P561" s="24" t="n"/>
      <c r="Q561" s="24" t="n"/>
      <c r="R561" s="24" t="n"/>
    </row>
    <row r="562" ht="15" customHeight="1" s="21">
      <c r="A562" s="34" t="n"/>
      <c r="B562" s="35" t="n"/>
      <c r="C562" s="34" t="n"/>
      <c r="D562" s="31" t="n"/>
      <c r="E562" s="24" t="n"/>
      <c r="F562" s="24" t="n"/>
      <c r="G562" s="24" t="n"/>
      <c r="H562" s="24" t="n"/>
      <c r="I562" s="24" t="n"/>
      <c r="J562" s="34" t="n"/>
      <c r="K562" s="24" t="n"/>
      <c r="L562" s="24" t="n"/>
      <c r="M562" s="24" t="n"/>
      <c r="N562" s="24" t="n"/>
      <c r="O562" s="34" t="n"/>
      <c r="P562" s="24" t="n"/>
      <c r="Q562" s="24" t="n"/>
      <c r="R562" s="24" t="n"/>
    </row>
    <row r="563" ht="15" customHeight="1" s="21">
      <c r="A563" s="34" t="n"/>
      <c r="B563" s="35" t="n"/>
      <c r="C563" s="34" t="n"/>
      <c r="D563" s="31" t="n"/>
      <c r="E563" s="24" t="n"/>
      <c r="F563" s="24" t="n"/>
      <c r="G563" s="24" t="n"/>
      <c r="H563" s="24" t="n"/>
      <c r="I563" s="24" t="n"/>
      <c r="J563" s="34" t="n"/>
      <c r="K563" s="24" t="n"/>
      <c r="L563" s="24" t="n"/>
      <c r="M563" s="24" t="n"/>
      <c r="N563" s="24" t="n"/>
      <c r="O563" s="34" t="n"/>
      <c r="P563" s="24" t="n"/>
      <c r="Q563" s="24" t="n"/>
      <c r="R563" s="24" t="n"/>
    </row>
    <row r="564" ht="15" customHeight="1" s="21">
      <c r="A564" s="34" t="n"/>
      <c r="B564" s="35" t="n"/>
      <c r="C564" s="34" t="n"/>
      <c r="D564" s="31" t="n"/>
      <c r="E564" s="24" t="n"/>
      <c r="F564" s="24" t="n"/>
      <c r="G564" s="24" t="n"/>
      <c r="H564" s="24" t="n"/>
      <c r="I564" s="24" t="n"/>
      <c r="J564" s="34" t="n"/>
      <c r="K564" s="24" t="n"/>
      <c r="L564" s="24" t="n"/>
      <c r="M564" s="24" t="n"/>
      <c r="N564" s="24" t="n"/>
      <c r="O564" s="34" t="n"/>
      <c r="P564" s="24" t="n"/>
      <c r="Q564" s="24" t="n"/>
      <c r="R564" s="24" t="n"/>
    </row>
    <row r="565" ht="15" customHeight="1" s="21">
      <c r="A565" s="34" t="n"/>
      <c r="B565" s="35" t="n"/>
      <c r="C565" s="34" t="n"/>
      <c r="D565" s="31" t="n"/>
      <c r="E565" s="24" t="n"/>
      <c r="F565" s="24" t="n"/>
      <c r="G565" s="24" t="n"/>
      <c r="H565" s="24" t="n"/>
      <c r="I565" s="24" t="n"/>
      <c r="J565" s="34" t="n"/>
      <c r="K565" s="24" t="n"/>
      <c r="L565" s="24" t="n"/>
      <c r="M565" s="24" t="n"/>
      <c r="N565" s="24" t="n"/>
      <c r="O565" s="34" t="n"/>
      <c r="P565" s="24" t="n"/>
      <c r="Q565" s="24" t="n"/>
      <c r="R565" s="24" t="n"/>
    </row>
    <row r="566" ht="15" customHeight="1" s="21">
      <c r="A566" s="34" t="n"/>
      <c r="B566" s="35" t="n"/>
      <c r="C566" s="34" t="n"/>
      <c r="D566" s="31" t="n"/>
      <c r="E566" s="24" t="n"/>
      <c r="F566" s="24" t="n"/>
      <c r="G566" s="24" t="n"/>
      <c r="H566" s="24" t="n"/>
      <c r="I566" s="24" t="n"/>
      <c r="J566" s="34" t="n"/>
      <c r="K566" s="24" t="n"/>
      <c r="L566" s="24" t="n"/>
      <c r="M566" s="24" t="n"/>
      <c r="N566" s="24" t="n"/>
      <c r="O566" s="34" t="n"/>
      <c r="P566" s="24" t="n"/>
      <c r="Q566" s="24" t="n"/>
      <c r="R566" s="24" t="n"/>
    </row>
    <row r="567" ht="15" customHeight="1" s="21">
      <c r="A567" s="34" t="n"/>
      <c r="B567" s="35" t="n"/>
      <c r="C567" s="34" t="n"/>
      <c r="D567" s="31" t="n"/>
      <c r="E567" s="24" t="n"/>
      <c r="F567" s="24" t="n"/>
      <c r="G567" s="24" t="n"/>
      <c r="H567" s="24" t="n"/>
      <c r="I567" s="24" t="n"/>
      <c r="J567" s="34" t="n"/>
      <c r="K567" s="24" t="n"/>
      <c r="L567" s="24" t="n"/>
      <c r="M567" s="24" t="n"/>
      <c r="N567" s="24" t="n"/>
      <c r="O567" s="34" t="n"/>
      <c r="P567" s="24" t="n"/>
      <c r="Q567" s="24" t="n"/>
      <c r="R567" s="24" t="n"/>
    </row>
    <row r="568" ht="15" customHeight="1" s="21">
      <c r="A568" s="34" t="n"/>
      <c r="B568" s="35" t="n"/>
      <c r="C568" s="34" t="n"/>
      <c r="D568" s="31" t="n"/>
      <c r="E568" s="24" t="n"/>
      <c r="F568" s="24" t="n"/>
      <c r="G568" s="24" t="n"/>
      <c r="H568" s="24" t="n"/>
      <c r="I568" s="24" t="n"/>
      <c r="J568" s="34" t="n"/>
      <c r="K568" s="24" t="n"/>
      <c r="L568" s="24" t="n"/>
      <c r="M568" s="24" t="n"/>
      <c r="N568" s="24" t="n"/>
      <c r="O568" s="34" t="n"/>
      <c r="P568" s="24" t="n"/>
      <c r="Q568" s="24" t="n"/>
      <c r="R568" s="24" t="n"/>
    </row>
    <row r="569" ht="15" customHeight="1" s="21">
      <c r="A569" s="34" t="n"/>
      <c r="B569" s="35" t="n"/>
      <c r="C569" s="34" t="n"/>
      <c r="D569" s="31" t="n"/>
      <c r="E569" s="24" t="n"/>
      <c r="F569" s="24" t="n"/>
      <c r="G569" s="24" t="n"/>
      <c r="H569" s="24" t="n"/>
      <c r="I569" s="24" t="n"/>
      <c r="J569" s="34" t="n"/>
      <c r="K569" s="24" t="n"/>
      <c r="L569" s="24" t="n"/>
      <c r="M569" s="24" t="n"/>
      <c r="N569" s="24" t="n"/>
      <c r="O569" s="34" t="n"/>
      <c r="P569" s="24" t="n"/>
      <c r="Q569" s="24" t="n"/>
      <c r="R569" s="24" t="n"/>
    </row>
    <row r="570" ht="15" customHeight="1" s="21">
      <c r="A570" s="34" t="n"/>
      <c r="B570" s="35" t="n"/>
      <c r="C570" s="34" t="n"/>
      <c r="D570" s="31" t="n"/>
      <c r="E570" s="24" t="n"/>
      <c r="F570" s="24" t="n"/>
      <c r="G570" s="24" t="n"/>
      <c r="H570" s="24" t="n"/>
      <c r="I570" s="24" t="n"/>
      <c r="J570" s="34" t="n"/>
      <c r="K570" s="24" t="n"/>
      <c r="L570" s="24" t="n"/>
      <c r="M570" s="24" t="n"/>
      <c r="N570" s="24" t="n"/>
      <c r="O570" s="34" t="n"/>
      <c r="P570" s="24" t="n"/>
      <c r="Q570" s="24" t="n"/>
      <c r="R570" s="24" t="n"/>
    </row>
    <row r="571" ht="15" customHeight="1" s="21">
      <c r="A571" s="34" t="n"/>
      <c r="B571" s="35" t="n"/>
      <c r="C571" s="34" t="n"/>
      <c r="D571" s="31" t="n"/>
      <c r="E571" s="24" t="n"/>
      <c r="F571" s="24" t="n"/>
      <c r="G571" s="24" t="n"/>
      <c r="H571" s="24" t="n"/>
      <c r="I571" s="24" t="n"/>
      <c r="J571" s="34" t="n"/>
      <c r="K571" s="24" t="n"/>
      <c r="L571" s="24" t="n"/>
      <c r="M571" s="24" t="n"/>
      <c r="N571" s="24" t="n"/>
      <c r="O571" s="34" t="n"/>
      <c r="P571" s="24" t="n"/>
      <c r="Q571" s="24" t="n"/>
      <c r="R571" s="24" t="n"/>
    </row>
    <row r="572" ht="15" customHeight="1" s="21">
      <c r="A572" s="34" t="n"/>
      <c r="B572" s="35" t="n"/>
      <c r="C572" s="34" t="n"/>
      <c r="D572" s="31" t="n"/>
      <c r="E572" s="24" t="n"/>
      <c r="F572" s="24" t="n"/>
      <c r="G572" s="24" t="n"/>
      <c r="H572" s="24" t="n"/>
      <c r="I572" s="24" t="n"/>
      <c r="J572" s="34" t="n"/>
      <c r="K572" s="24" t="n"/>
      <c r="L572" s="24" t="n"/>
      <c r="M572" s="24" t="n"/>
      <c r="N572" s="24" t="n"/>
      <c r="O572" s="34" t="n"/>
      <c r="P572" s="24" t="n"/>
      <c r="Q572" s="24" t="n"/>
      <c r="R572" s="24" t="n"/>
    </row>
    <row r="573" ht="15" customHeight="1" s="21">
      <c r="A573" s="34" t="n"/>
      <c r="B573" s="35" t="n"/>
      <c r="C573" s="34" t="n"/>
      <c r="D573" s="31" t="n"/>
      <c r="E573" s="24" t="n"/>
      <c r="F573" s="24" t="n"/>
      <c r="G573" s="24" t="n"/>
      <c r="H573" s="24" t="n"/>
      <c r="I573" s="24" t="n"/>
      <c r="J573" s="34" t="n"/>
      <c r="K573" s="24" t="n"/>
      <c r="L573" s="24" t="n"/>
      <c r="M573" s="24" t="n"/>
      <c r="N573" s="24" t="n"/>
      <c r="O573" s="34" t="n"/>
      <c r="P573" s="24" t="n"/>
      <c r="Q573" s="24" t="n"/>
      <c r="R573" s="24" t="n"/>
    </row>
    <row r="574" ht="15" customHeight="1" s="21">
      <c r="A574" s="34" t="n"/>
      <c r="B574" s="35" t="n"/>
      <c r="C574" s="34" t="n"/>
      <c r="D574" s="31" t="n"/>
      <c r="E574" s="24" t="n"/>
      <c r="F574" s="24" t="n"/>
      <c r="G574" s="24" t="n"/>
      <c r="H574" s="24" t="n"/>
      <c r="I574" s="24" t="n"/>
      <c r="J574" s="34" t="n"/>
      <c r="K574" s="24" t="n"/>
      <c r="L574" s="24" t="n"/>
      <c r="M574" s="24" t="n"/>
      <c r="N574" s="24" t="n"/>
      <c r="O574" s="34" t="n"/>
      <c r="P574" s="24" t="n"/>
      <c r="Q574" s="24" t="n"/>
      <c r="R574" s="24" t="n"/>
    </row>
    <row r="575" ht="15" customHeight="1" s="21">
      <c r="A575" s="34" t="n"/>
      <c r="B575" s="35" t="n"/>
      <c r="C575" s="34" t="n"/>
      <c r="D575" s="31" t="n"/>
      <c r="E575" s="24" t="n"/>
      <c r="F575" s="24" t="n"/>
      <c r="G575" s="24" t="n"/>
      <c r="H575" s="24" t="n"/>
      <c r="I575" s="24" t="n"/>
      <c r="J575" s="34" t="n"/>
      <c r="K575" s="24" t="n"/>
      <c r="L575" s="24" t="n"/>
      <c r="M575" s="24" t="n"/>
      <c r="N575" s="24" t="n"/>
      <c r="O575" s="34" t="n"/>
      <c r="P575" s="24" t="n"/>
      <c r="Q575" s="24" t="n"/>
      <c r="R575" s="24" t="n"/>
    </row>
    <row r="576" ht="15" customHeight="1" s="21">
      <c r="A576" s="34" t="n"/>
      <c r="B576" s="35" t="n"/>
      <c r="C576" s="34" t="n"/>
      <c r="D576" s="31" t="n"/>
      <c r="E576" s="24" t="n"/>
      <c r="F576" s="24" t="n"/>
      <c r="G576" s="24" t="n"/>
      <c r="H576" s="24" t="n"/>
      <c r="I576" s="24" t="n"/>
      <c r="J576" s="34" t="n"/>
      <c r="K576" s="24" t="n"/>
      <c r="L576" s="24" t="n"/>
      <c r="M576" s="24" t="n"/>
      <c r="N576" s="24" t="n"/>
      <c r="O576" s="34" t="n"/>
      <c r="P576" s="24" t="n"/>
      <c r="Q576" s="24" t="n"/>
      <c r="R576" s="24" t="n"/>
    </row>
    <row r="577" ht="15" customHeight="1" s="21">
      <c r="A577" s="34" t="n"/>
      <c r="B577" s="35" t="n"/>
      <c r="C577" s="34" t="n"/>
      <c r="D577" s="31" t="n"/>
      <c r="E577" s="24" t="n"/>
      <c r="F577" s="24" t="n"/>
      <c r="G577" s="24" t="n"/>
      <c r="H577" s="24" t="n"/>
      <c r="I577" s="24" t="n"/>
      <c r="J577" s="34" t="n"/>
      <c r="K577" s="24" t="n"/>
      <c r="L577" s="24" t="n"/>
      <c r="M577" s="24" t="n"/>
      <c r="N577" s="24" t="n"/>
      <c r="O577" s="34" t="n"/>
      <c r="P577" s="24" t="n"/>
      <c r="Q577" s="24" t="n"/>
      <c r="R577" s="24" t="n"/>
    </row>
    <row r="578" ht="15" customHeight="1" s="21">
      <c r="A578" s="34" t="n"/>
      <c r="B578" s="35" t="n"/>
      <c r="C578" s="34" t="n"/>
      <c r="D578" s="31" t="n"/>
      <c r="E578" s="24" t="n"/>
      <c r="F578" s="24" t="n"/>
      <c r="G578" s="24" t="n"/>
      <c r="H578" s="24" t="n"/>
      <c r="I578" s="24" t="n"/>
      <c r="J578" s="34" t="n"/>
      <c r="K578" s="24" t="n"/>
      <c r="L578" s="24" t="n"/>
      <c r="M578" s="24" t="n"/>
      <c r="N578" s="24" t="n"/>
      <c r="O578" s="34" t="n"/>
      <c r="P578" s="24" t="n"/>
      <c r="Q578" s="24" t="n"/>
      <c r="R578" s="24" t="n"/>
    </row>
    <row r="579" ht="15" customHeight="1" s="21">
      <c r="A579" s="34" t="n"/>
      <c r="B579" s="35" t="n"/>
      <c r="C579" s="34" t="n"/>
      <c r="D579" s="31" t="n"/>
      <c r="E579" s="24" t="n"/>
      <c r="F579" s="24" t="n"/>
      <c r="G579" s="24" t="n"/>
      <c r="H579" s="24" t="n"/>
      <c r="I579" s="24" t="n"/>
      <c r="J579" s="34" t="n"/>
      <c r="K579" s="24" t="n"/>
      <c r="L579" s="24" t="n"/>
      <c r="M579" s="24" t="n"/>
      <c r="N579" s="24" t="n"/>
      <c r="O579" s="34" t="n"/>
      <c r="P579" s="24" t="n"/>
      <c r="Q579" s="24" t="n"/>
      <c r="R579" s="24" t="n"/>
    </row>
    <row r="580" ht="15" customHeight="1" s="21">
      <c r="A580" s="34" t="n"/>
      <c r="B580" s="35" t="n"/>
      <c r="C580" s="34" t="n"/>
      <c r="D580" s="31" t="n"/>
      <c r="E580" s="24" t="n"/>
      <c r="F580" s="24" t="n"/>
      <c r="G580" s="24" t="n"/>
      <c r="H580" s="24" t="n"/>
      <c r="I580" s="24" t="n"/>
      <c r="J580" s="34" t="n"/>
      <c r="K580" s="24" t="n"/>
      <c r="L580" s="24" t="n"/>
      <c r="M580" s="24" t="n"/>
      <c r="N580" s="24" t="n"/>
      <c r="O580" s="34" t="n"/>
      <c r="P580" s="24" t="n"/>
      <c r="Q580" s="24" t="n"/>
      <c r="R580" s="24" t="n"/>
    </row>
    <row r="581" ht="15" customHeight="1" s="21">
      <c r="A581" s="34" t="n"/>
      <c r="B581" s="35" t="n"/>
      <c r="C581" s="34" t="n"/>
      <c r="D581" s="31" t="n"/>
      <c r="E581" s="24" t="n"/>
      <c r="F581" s="24" t="n"/>
      <c r="G581" s="24" t="n"/>
      <c r="H581" s="24" t="n"/>
      <c r="I581" s="24" t="n"/>
      <c r="J581" s="34" t="n"/>
      <c r="K581" s="24" t="n"/>
      <c r="L581" s="24" t="n"/>
      <c r="M581" s="24" t="n"/>
      <c r="N581" s="24" t="n"/>
      <c r="O581" s="34" t="n"/>
      <c r="P581" s="24" t="n"/>
      <c r="Q581" s="24" t="n"/>
      <c r="R581" s="24" t="n"/>
    </row>
    <row r="582" ht="15" customHeight="1" s="21">
      <c r="A582" s="34" t="n"/>
      <c r="B582" s="35" t="n"/>
      <c r="C582" s="34" t="n"/>
      <c r="D582" s="31" t="n"/>
      <c r="E582" s="24" t="n"/>
      <c r="F582" s="24" t="n"/>
      <c r="G582" s="24" t="n"/>
      <c r="H582" s="24" t="n"/>
      <c r="I582" s="24" t="n"/>
      <c r="J582" s="34" t="n"/>
      <c r="K582" s="24" t="n"/>
      <c r="L582" s="24" t="n"/>
      <c r="M582" s="24" t="n"/>
      <c r="N582" s="24" t="n"/>
      <c r="O582" s="34" t="n"/>
      <c r="P582" s="24" t="n"/>
      <c r="Q582" s="24" t="n"/>
      <c r="R582" s="24" t="n"/>
    </row>
    <row r="583" ht="15" customHeight="1" s="21">
      <c r="A583" s="34" t="n"/>
      <c r="B583" s="35" t="n"/>
      <c r="C583" s="34" t="n"/>
      <c r="D583" s="31" t="n"/>
      <c r="E583" s="24" t="n"/>
      <c r="F583" s="24" t="n"/>
      <c r="G583" s="24" t="n"/>
      <c r="H583" s="24" t="n"/>
      <c r="I583" s="24" t="n"/>
      <c r="J583" s="34" t="n"/>
      <c r="K583" s="24" t="n"/>
      <c r="L583" s="24" t="n"/>
      <c r="M583" s="24" t="n"/>
      <c r="N583" s="24" t="n"/>
      <c r="O583" s="34" t="n"/>
      <c r="P583" s="24" t="n"/>
      <c r="Q583" s="24" t="n"/>
      <c r="R583" s="24" t="n"/>
    </row>
    <row r="584" ht="15" customHeight="1" s="21">
      <c r="A584" s="34" t="n"/>
      <c r="B584" s="35" t="n"/>
      <c r="C584" s="34" t="n"/>
      <c r="D584" s="31" t="n"/>
      <c r="E584" s="24" t="n"/>
      <c r="F584" s="24" t="n"/>
      <c r="G584" s="24" t="n"/>
      <c r="H584" s="24" t="n"/>
      <c r="I584" s="24" t="n"/>
      <c r="J584" s="34" t="n"/>
      <c r="K584" s="24" t="n"/>
      <c r="L584" s="24" t="n"/>
      <c r="M584" s="24" t="n"/>
      <c r="N584" s="24" t="n"/>
      <c r="O584" s="34" t="n"/>
      <c r="P584" s="24" t="n"/>
      <c r="Q584" s="24" t="n"/>
      <c r="R584" s="24" t="n"/>
    </row>
    <row r="585" ht="15" customHeight="1" s="21">
      <c r="A585" s="34" t="n"/>
      <c r="B585" s="35" t="n"/>
      <c r="C585" s="34" t="n"/>
      <c r="D585" s="31" t="n"/>
      <c r="E585" s="24" t="n"/>
      <c r="F585" s="24" t="n"/>
      <c r="G585" s="24" t="n"/>
      <c r="H585" s="24" t="n"/>
      <c r="I585" s="24" t="n"/>
      <c r="J585" s="34" t="n"/>
      <c r="K585" s="24" t="n"/>
      <c r="L585" s="24" t="n"/>
      <c r="M585" s="24" t="n"/>
      <c r="N585" s="24" t="n"/>
      <c r="O585" s="34" t="n"/>
      <c r="P585" s="24" t="n"/>
      <c r="Q585" s="24" t="n"/>
      <c r="R585" s="24" t="n"/>
    </row>
    <row r="586" ht="15" customHeight="1" s="21">
      <c r="A586" s="34" t="n"/>
      <c r="B586" s="35" t="n"/>
      <c r="C586" s="34" t="n"/>
      <c r="D586" s="31" t="n"/>
      <c r="E586" s="24" t="n"/>
      <c r="F586" s="24" t="n"/>
      <c r="G586" s="24" t="n"/>
      <c r="H586" s="24" t="n"/>
      <c r="I586" s="24" t="n"/>
      <c r="J586" s="34" t="n"/>
      <c r="K586" s="24" t="n"/>
      <c r="L586" s="24" t="n"/>
      <c r="M586" s="24" t="n"/>
      <c r="N586" s="24" t="n"/>
      <c r="O586" s="34" t="n"/>
      <c r="P586" s="24" t="n"/>
      <c r="Q586" s="24" t="n"/>
      <c r="R586" s="24" t="n"/>
    </row>
    <row r="587" ht="15" customHeight="1" s="21">
      <c r="A587" s="34" t="n"/>
      <c r="B587" s="35" t="n"/>
      <c r="C587" s="34" t="n"/>
      <c r="D587" s="31" t="n"/>
      <c r="E587" s="24" t="n"/>
      <c r="F587" s="24" t="n"/>
      <c r="G587" s="24" t="n"/>
      <c r="H587" s="24" t="n"/>
      <c r="I587" s="24" t="n"/>
      <c r="J587" s="34" t="n"/>
      <c r="K587" s="24" t="n"/>
      <c r="L587" s="24" t="n"/>
      <c r="M587" s="24" t="n"/>
      <c r="N587" s="24" t="n"/>
      <c r="O587" s="34" t="n"/>
      <c r="P587" s="24" t="n"/>
      <c r="Q587" s="24" t="n"/>
      <c r="R587" s="24" t="n"/>
    </row>
    <row r="588" ht="15" customHeight="1" s="21">
      <c r="A588" s="34" t="n"/>
      <c r="B588" s="35" t="n"/>
      <c r="C588" s="34" t="n"/>
      <c r="D588" s="31" t="n"/>
      <c r="E588" s="24" t="n"/>
      <c r="F588" s="24" t="n"/>
      <c r="G588" s="24" t="n"/>
      <c r="H588" s="24" t="n"/>
      <c r="I588" s="24" t="n"/>
      <c r="J588" s="34" t="n"/>
      <c r="K588" s="24" t="n"/>
      <c r="L588" s="24" t="n"/>
      <c r="M588" s="24" t="n"/>
      <c r="N588" s="24" t="n"/>
      <c r="O588" s="34" t="n"/>
      <c r="P588" s="24" t="n"/>
      <c r="Q588" s="24" t="n"/>
      <c r="R588" s="24" t="n"/>
    </row>
    <row r="589" ht="15" customHeight="1" s="21">
      <c r="A589" s="34" t="n"/>
      <c r="B589" s="35" t="n"/>
      <c r="C589" s="34" t="n"/>
      <c r="D589" s="31" t="n"/>
      <c r="E589" s="24" t="n"/>
      <c r="F589" s="24" t="n"/>
      <c r="G589" s="24" t="n"/>
      <c r="H589" s="24" t="n"/>
      <c r="I589" s="24" t="n"/>
      <c r="J589" s="34" t="n"/>
      <c r="K589" s="24" t="n"/>
      <c r="L589" s="24" t="n"/>
      <c r="M589" s="24" t="n"/>
      <c r="N589" s="24" t="n"/>
      <c r="O589" s="34" t="n"/>
      <c r="P589" s="24" t="n"/>
      <c r="Q589" s="24" t="n"/>
      <c r="R589" s="24" t="n"/>
    </row>
    <row r="590" ht="15" customHeight="1" s="21">
      <c r="A590" s="34" t="n"/>
      <c r="B590" s="35" t="n"/>
      <c r="C590" s="34" t="n"/>
      <c r="D590" s="31" t="n"/>
      <c r="E590" s="24" t="n"/>
      <c r="F590" s="24" t="n"/>
      <c r="G590" s="24" t="n"/>
      <c r="H590" s="24" t="n"/>
      <c r="I590" s="24" t="n"/>
      <c r="J590" s="34" t="n"/>
      <c r="K590" s="24" t="n"/>
      <c r="L590" s="24" t="n"/>
      <c r="M590" s="24" t="n"/>
      <c r="N590" s="24" t="n"/>
      <c r="O590" s="34" t="n"/>
      <c r="P590" s="24" t="n"/>
      <c r="Q590" s="24" t="n"/>
      <c r="R590" s="24" t="n"/>
    </row>
    <row r="591" ht="15" customHeight="1" s="21">
      <c r="A591" s="34" t="n"/>
      <c r="B591" s="35" t="n"/>
      <c r="C591" s="34" t="n"/>
      <c r="D591" s="31" t="n"/>
      <c r="E591" s="24" t="n"/>
      <c r="F591" s="24" t="n"/>
      <c r="G591" s="24" t="n"/>
      <c r="H591" s="24" t="n"/>
      <c r="I591" s="24" t="n"/>
      <c r="J591" s="34" t="n"/>
      <c r="K591" s="24" t="n"/>
      <c r="L591" s="24" t="n"/>
      <c r="M591" s="24" t="n"/>
      <c r="N591" s="24" t="n"/>
      <c r="O591" s="34" t="n"/>
      <c r="P591" s="24" t="n"/>
      <c r="Q591" s="24" t="n"/>
      <c r="R591" s="24" t="n"/>
    </row>
    <row r="592" ht="15" customHeight="1" s="21">
      <c r="A592" s="34" t="n"/>
      <c r="B592" s="35" t="n"/>
      <c r="C592" s="34" t="n"/>
      <c r="D592" s="31" t="n"/>
      <c r="E592" s="24" t="n"/>
      <c r="F592" s="24" t="n"/>
      <c r="G592" s="24" t="n"/>
      <c r="H592" s="24" t="n"/>
      <c r="I592" s="24" t="n"/>
      <c r="J592" s="34" t="n"/>
      <c r="K592" s="24" t="n"/>
      <c r="L592" s="24" t="n"/>
      <c r="M592" s="24" t="n"/>
      <c r="N592" s="24" t="n"/>
      <c r="O592" s="34" t="n"/>
      <c r="P592" s="24" t="n"/>
      <c r="Q592" s="24" t="n"/>
      <c r="R592" s="24" t="n"/>
    </row>
    <row r="593" ht="15" customHeight="1" s="21">
      <c r="A593" s="34" t="n"/>
      <c r="B593" s="35" t="n"/>
      <c r="C593" s="34" t="n"/>
      <c r="D593" s="31" t="n"/>
      <c r="E593" s="24" t="n"/>
      <c r="F593" s="24" t="n"/>
      <c r="G593" s="24" t="n"/>
      <c r="H593" s="24" t="n"/>
      <c r="I593" s="24" t="n"/>
      <c r="J593" s="34" t="n"/>
      <c r="K593" s="24" t="n"/>
      <c r="L593" s="24" t="n"/>
      <c r="M593" s="24" t="n"/>
      <c r="N593" s="24" t="n"/>
      <c r="O593" s="34" t="n"/>
      <c r="P593" s="24" t="n"/>
      <c r="Q593" s="24" t="n"/>
      <c r="R593" s="24" t="n"/>
    </row>
    <row r="594" ht="15" customHeight="1" s="21">
      <c r="A594" s="34" t="n"/>
      <c r="B594" s="35" t="n"/>
      <c r="C594" s="34" t="n"/>
      <c r="D594" s="31" t="n"/>
      <c r="E594" s="24" t="n"/>
      <c r="F594" s="24" t="n"/>
      <c r="G594" s="24" t="n"/>
      <c r="H594" s="24" t="n"/>
      <c r="I594" s="24" t="n"/>
      <c r="J594" s="34" t="n"/>
      <c r="K594" s="24" t="n"/>
      <c r="L594" s="24" t="n"/>
      <c r="M594" s="24" t="n"/>
      <c r="N594" s="24" t="n"/>
      <c r="O594" s="34" t="n"/>
      <c r="P594" s="24" t="n"/>
      <c r="Q594" s="24" t="n"/>
      <c r="R594" s="24" t="n"/>
    </row>
    <row r="595" ht="15" customHeight="1" s="21">
      <c r="A595" s="34" t="n"/>
      <c r="B595" s="35" t="n"/>
      <c r="C595" s="34" t="n"/>
      <c r="D595" s="31" t="n"/>
      <c r="E595" s="24" t="n"/>
      <c r="F595" s="24" t="n"/>
      <c r="G595" s="24" t="n"/>
      <c r="H595" s="24" t="n"/>
      <c r="I595" s="24" t="n"/>
      <c r="J595" s="34" t="n"/>
      <c r="K595" s="24" t="n"/>
      <c r="L595" s="24" t="n"/>
      <c r="M595" s="24" t="n"/>
      <c r="N595" s="24" t="n"/>
      <c r="O595" s="34" t="n"/>
      <c r="P595" s="24" t="n"/>
      <c r="Q595" s="24" t="n"/>
      <c r="R595" s="24" t="n"/>
    </row>
    <row r="596" ht="15" customHeight="1" s="21">
      <c r="A596" s="34" t="n"/>
      <c r="B596" s="35" t="n"/>
      <c r="C596" s="34" t="n"/>
      <c r="D596" s="31" t="n"/>
      <c r="E596" s="24" t="n"/>
      <c r="F596" s="24" t="n"/>
      <c r="G596" s="24" t="n"/>
      <c r="H596" s="24" t="n"/>
      <c r="I596" s="24" t="n"/>
      <c r="J596" s="34" t="n"/>
      <c r="K596" s="24" t="n"/>
      <c r="L596" s="24" t="n"/>
      <c r="M596" s="24" t="n"/>
      <c r="N596" s="24" t="n"/>
      <c r="O596" s="34" t="n"/>
      <c r="P596" s="24" t="n"/>
      <c r="Q596" s="24" t="n"/>
      <c r="R596" s="24" t="n"/>
    </row>
    <row r="597" ht="15" customHeight="1" s="21">
      <c r="A597" s="34" t="n"/>
      <c r="B597" s="35" t="n"/>
      <c r="C597" s="34" t="n"/>
      <c r="D597" s="31" t="n"/>
      <c r="E597" s="24" t="n"/>
      <c r="F597" s="24" t="n"/>
      <c r="G597" s="24" t="n"/>
      <c r="H597" s="24" t="n"/>
      <c r="I597" s="24" t="n"/>
      <c r="J597" s="34" t="n"/>
      <c r="K597" s="24" t="n"/>
      <c r="L597" s="24" t="n"/>
      <c r="M597" s="24" t="n"/>
      <c r="N597" s="24" t="n"/>
      <c r="O597" s="34" t="n"/>
      <c r="P597" s="24" t="n"/>
      <c r="Q597" s="24" t="n"/>
      <c r="R597" s="24" t="n"/>
    </row>
    <row r="598" ht="15" customHeight="1" s="21">
      <c r="A598" s="34" t="n"/>
      <c r="B598" s="35" t="n"/>
      <c r="C598" s="34" t="n"/>
      <c r="D598" s="31" t="n"/>
      <c r="E598" s="24" t="n"/>
      <c r="F598" s="24" t="n"/>
      <c r="G598" s="24" t="n"/>
      <c r="H598" s="24" t="n"/>
      <c r="I598" s="24" t="n"/>
      <c r="J598" s="34" t="n"/>
      <c r="K598" s="24" t="n"/>
      <c r="L598" s="24" t="n"/>
      <c r="M598" s="24" t="n"/>
      <c r="N598" s="24" t="n"/>
      <c r="O598" s="34" t="n"/>
      <c r="P598" s="24" t="n"/>
      <c r="Q598" s="24" t="n"/>
      <c r="R598" s="24" t="n"/>
    </row>
    <row r="599" ht="15" customHeight="1" s="21">
      <c r="A599" s="34" t="n"/>
      <c r="B599" s="35" t="n"/>
      <c r="C599" s="34" t="n"/>
      <c r="D599" s="31" t="n"/>
      <c r="E599" s="24" t="n"/>
      <c r="F599" s="24" t="n"/>
      <c r="G599" s="24" t="n"/>
      <c r="H599" s="24" t="n"/>
      <c r="I599" s="24" t="n"/>
      <c r="J599" s="34" t="n"/>
      <c r="K599" s="24" t="n"/>
      <c r="L599" s="24" t="n"/>
      <c r="M599" s="24" t="n"/>
      <c r="N599" s="24" t="n"/>
      <c r="O599" s="34" t="n"/>
      <c r="P599" s="24" t="n"/>
      <c r="Q599" s="24" t="n"/>
      <c r="R599" s="24" t="n"/>
    </row>
    <row r="600" ht="15" customHeight="1" s="21">
      <c r="A600" s="34" t="n"/>
      <c r="B600" s="35" t="n"/>
      <c r="C600" s="34" t="n"/>
      <c r="D600" s="31" t="n"/>
      <c r="E600" s="24" t="n"/>
      <c r="F600" s="24" t="n"/>
      <c r="G600" s="24" t="n"/>
      <c r="H600" s="24" t="n"/>
      <c r="I600" s="24" t="n"/>
      <c r="J600" s="34" t="n"/>
      <c r="K600" s="24" t="n"/>
      <c r="L600" s="24" t="n"/>
      <c r="M600" s="24" t="n"/>
      <c r="N600" s="24" t="n"/>
      <c r="O600" s="34" t="n"/>
      <c r="P600" s="24" t="n"/>
      <c r="Q600" s="24" t="n"/>
      <c r="R600" s="24" t="n"/>
    </row>
    <row r="601" ht="15" customHeight="1" s="21">
      <c r="A601" s="34" t="n"/>
      <c r="B601" s="35" t="n"/>
      <c r="C601" s="34" t="n"/>
      <c r="D601" s="31" t="n"/>
      <c r="E601" s="24" t="n"/>
      <c r="F601" s="24" t="n"/>
      <c r="G601" s="24" t="n"/>
      <c r="H601" s="24" t="n"/>
      <c r="I601" s="24" t="n"/>
      <c r="J601" s="34" t="n"/>
      <c r="K601" s="24" t="n"/>
      <c r="L601" s="24" t="n"/>
      <c r="M601" s="24" t="n"/>
      <c r="N601" s="24" t="n"/>
      <c r="O601" s="34" t="n"/>
      <c r="P601" s="24" t="n"/>
      <c r="Q601" s="24" t="n"/>
      <c r="R601" s="24" t="n"/>
    </row>
    <row r="602" ht="15" customHeight="1" s="21">
      <c r="A602" s="34" t="n"/>
      <c r="B602" s="35" t="n"/>
      <c r="C602" s="34" t="n"/>
      <c r="D602" s="31" t="n"/>
      <c r="E602" s="24" t="n"/>
      <c r="F602" s="24" t="n"/>
      <c r="G602" s="24" t="n"/>
      <c r="H602" s="24" t="n"/>
      <c r="I602" s="24" t="n"/>
      <c r="J602" s="34" t="n"/>
      <c r="K602" s="24" t="n"/>
      <c r="L602" s="24" t="n"/>
      <c r="M602" s="24" t="n"/>
      <c r="N602" s="24" t="n"/>
      <c r="O602" s="34" t="n"/>
      <c r="P602" s="24" t="n"/>
      <c r="Q602" s="24" t="n"/>
      <c r="R602" s="24" t="n"/>
    </row>
    <row r="603" ht="15" customHeight="1" s="21">
      <c r="A603" s="34" t="n"/>
      <c r="B603" s="35" t="n"/>
      <c r="C603" s="34" t="n"/>
      <c r="D603" s="31" t="n"/>
      <c r="E603" s="24" t="n"/>
      <c r="F603" s="24" t="n"/>
      <c r="G603" s="24" t="n"/>
      <c r="H603" s="24" t="n"/>
      <c r="I603" s="24" t="n"/>
      <c r="J603" s="34" t="n"/>
      <c r="K603" s="24" t="n"/>
      <c r="L603" s="24" t="n"/>
      <c r="M603" s="24" t="n"/>
      <c r="N603" s="24" t="n"/>
      <c r="O603" s="34" t="n"/>
      <c r="P603" s="24" t="n"/>
      <c r="Q603" s="24" t="n"/>
      <c r="R603" s="24" t="n"/>
    </row>
    <row r="604" ht="15" customHeight="1" s="21">
      <c r="A604" s="34" t="n"/>
      <c r="B604" s="35" t="n"/>
      <c r="C604" s="34" t="n"/>
      <c r="D604" s="31" t="n"/>
      <c r="E604" s="24" t="n"/>
      <c r="F604" s="24" t="n"/>
      <c r="G604" s="24" t="n"/>
      <c r="H604" s="24" t="n"/>
      <c r="I604" s="24" t="n"/>
      <c r="J604" s="34" t="n"/>
      <c r="K604" s="24" t="n"/>
      <c r="L604" s="24" t="n"/>
      <c r="M604" s="24" t="n"/>
      <c r="N604" s="24" t="n"/>
      <c r="O604" s="34" t="n"/>
      <c r="P604" s="24" t="n"/>
      <c r="Q604" s="24" t="n"/>
      <c r="R604" s="24" t="n"/>
    </row>
    <row r="605" ht="15" customHeight="1" s="21">
      <c r="A605" s="34" t="n"/>
      <c r="B605" s="35" t="n"/>
      <c r="C605" s="34" t="n"/>
      <c r="D605" s="31" t="n"/>
      <c r="E605" s="24" t="n"/>
      <c r="F605" s="24" t="n"/>
      <c r="G605" s="24" t="n"/>
      <c r="H605" s="24" t="n"/>
      <c r="I605" s="24" t="n"/>
      <c r="J605" s="34" t="n"/>
      <c r="K605" s="24" t="n"/>
      <c r="L605" s="24" t="n"/>
      <c r="M605" s="24" t="n"/>
      <c r="N605" s="24" t="n"/>
      <c r="O605" s="34" t="n"/>
      <c r="P605" s="24" t="n"/>
      <c r="Q605" s="24" t="n"/>
      <c r="R605" s="24" t="n"/>
    </row>
    <row r="606" ht="15" customHeight="1" s="21">
      <c r="A606" s="34" t="n"/>
      <c r="B606" s="35" t="n"/>
      <c r="C606" s="34" t="n"/>
      <c r="D606" s="31" t="n"/>
      <c r="E606" s="24" t="n"/>
      <c r="F606" s="24" t="n"/>
      <c r="G606" s="24" t="n"/>
      <c r="H606" s="24" t="n"/>
      <c r="I606" s="24" t="n"/>
      <c r="J606" s="34" t="n"/>
      <c r="K606" s="24" t="n"/>
      <c r="L606" s="24" t="n"/>
      <c r="M606" s="24" t="n"/>
      <c r="N606" s="24" t="n"/>
      <c r="O606" s="34" t="n"/>
      <c r="P606" s="24" t="n"/>
      <c r="Q606" s="24" t="n"/>
      <c r="R606" s="24" t="n"/>
    </row>
    <row r="607" ht="15" customHeight="1" s="21">
      <c r="A607" s="34" t="n"/>
      <c r="B607" s="35" t="n"/>
      <c r="C607" s="34" t="n"/>
      <c r="D607" s="31" t="n"/>
      <c r="E607" s="24" t="n"/>
      <c r="F607" s="24" t="n"/>
      <c r="G607" s="24" t="n"/>
      <c r="H607" s="24" t="n"/>
      <c r="I607" s="24" t="n"/>
      <c r="J607" s="34" t="n"/>
      <c r="K607" s="24" t="n"/>
      <c r="L607" s="24" t="n"/>
      <c r="M607" s="24" t="n"/>
      <c r="N607" s="24" t="n"/>
      <c r="O607" s="34" t="n"/>
      <c r="P607" s="24" t="n"/>
      <c r="Q607" s="24" t="n"/>
      <c r="R607" s="24" t="n"/>
    </row>
    <row r="608" ht="15" customHeight="1" s="21">
      <c r="A608" s="34" t="n"/>
      <c r="B608" s="35" t="n"/>
      <c r="C608" s="34" t="n"/>
      <c r="D608" s="31" t="n"/>
      <c r="E608" s="24" t="n"/>
      <c r="F608" s="24" t="n"/>
      <c r="G608" s="24" t="n"/>
      <c r="H608" s="24" t="n"/>
      <c r="I608" s="24" t="n"/>
      <c r="J608" s="34" t="n"/>
      <c r="K608" s="24" t="n"/>
      <c r="L608" s="24" t="n"/>
      <c r="M608" s="24" t="n"/>
      <c r="N608" s="24" t="n"/>
      <c r="O608" s="34" t="n"/>
      <c r="P608" s="24" t="n"/>
      <c r="Q608" s="24" t="n"/>
      <c r="R608" s="24" t="n"/>
    </row>
    <row r="609" ht="15" customHeight="1" s="21">
      <c r="A609" s="34" t="n"/>
      <c r="B609" s="35" t="n"/>
      <c r="C609" s="34" t="n"/>
      <c r="D609" s="31" t="n"/>
      <c r="E609" s="24" t="n"/>
      <c r="F609" s="24" t="n"/>
      <c r="G609" s="24" t="n"/>
      <c r="H609" s="24" t="n"/>
      <c r="I609" s="24" t="n"/>
      <c r="J609" s="34" t="n"/>
      <c r="K609" s="24" t="n"/>
      <c r="L609" s="24" t="n"/>
      <c r="M609" s="24" t="n"/>
      <c r="N609" s="24" t="n"/>
      <c r="O609" s="34" t="n"/>
      <c r="P609" s="24" t="n"/>
      <c r="Q609" s="24" t="n"/>
      <c r="R609" s="24" t="n"/>
    </row>
    <row r="610" ht="15" customHeight="1" s="21">
      <c r="A610" s="34" t="n"/>
      <c r="B610" s="35" t="n"/>
      <c r="C610" s="34" t="n"/>
      <c r="D610" s="31" t="n"/>
      <c r="E610" s="24" t="n"/>
      <c r="F610" s="24" t="n"/>
      <c r="G610" s="24" t="n"/>
      <c r="H610" s="24" t="n"/>
      <c r="I610" s="24" t="n"/>
      <c r="J610" s="34" t="n"/>
      <c r="K610" s="24" t="n"/>
      <c r="L610" s="24" t="n"/>
      <c r="M610" s="24" t="n"/>
      <c r="N610" s="24" t="n"/>
      <c r="O610" s="34" t="n"/>
      <c r="P610" s="24" t="n"/>
      <c r="Q610" s="24" t="n"/>
      <c r="R610" s="24" t="n"/>
    </row>
    <row r="611" ht="15" customHeight="1" s="21">
      <c r="A611" s="34" t="n"/>
      <c r="B611" s="35" t="n"/>
      <c r="C611" s="34" t="n"/>
      <c r="D611" s="31" t="n"/>
      <c r="E611" s="24" t="n"/>
      <c r="F611" s="24" t="n"/>
      <c r="G611" s="24" t="n"/>
      <c r="H611" s="24" t="n"/>
      <c r="I611" s="24" t="n"/>
      <c r="J611" s="34" t="n"/>
      <c r="K611" s="24" t="n"/>
      <c r="L611" s="24" t="n"/>
      <c r="M611" s="24" t="n"/>
      <c r="N611" s="24" t="n"/>
      <c r="O611" s="34" t="n"/>
      <c r="P611" s="24" t="n"/>
      <c r="Q611" s="24" t="n"/>
      <c r="R611" s="24" t="n"/>
    </row>
    <row r="612" ht="15" customHeight="1" s="21">
      <c r="A612" s="34" t="n"/>
      <c r="B612" s="35" t="n"/>
      <c r="C612" s="34" t="n"/>
      <c r="D612" s="31" t="n"/>
      <c r="E612" s="24" t="n"/>
      <c r="F612" s="24" t="n"/>
      <c r="G612" s="24" t="n"/>
      <c r="H612" s="24" t="n"/>
      <c r="I612" s="24" t="n"/>
      <c r="J612" s="34" t="n"/>
      <c r="K612" s="24" t="n"/>
      <c r="L612" s="24" t="n"/>
      <c r="M612" s="24" t="n"/>
      <c r="N612" s="24" t="n"/>
      <c r="O612" s="34" t="n"/>
      <c r="P612" s="24" t="n"/>
      <c r="Q612" s="24" t="n"/>
      <c r="R612" s="24" t="n"/>
    </row>
    <row r="613" ht="15" customHeight="1" s="21">
      <c r="A613" s="34" t="n"/>
      <c r="B613" s="35" t="n"/>
      <c r="C613" s="34" t="n"/>
      <c r="D613" s="31" t="n"/>
      <c r="E613" s="24" t="n"/>
      <c r="F613" s="24" t="n"/>
      <c r="G613" s="24" t="n"/>
      <c r="H613" s="24" t="n"/>
      <c r="I613" s="24" t="n"/>
      <c r="J613" s="34" t="n"/>
      <c r="K613" s="24" t="n"/>
      <c r="L613" s="24" t="n"/>
      <c r="M613" s="24" t="n"/>
      <c r="N613" s="24" t="n"/>
      <c r="O613" s="34" t="n"/>
      <c r="P613" s="24" t="n"/>
      <c r="Q613" s="24" t="n"/>
      <c r="R613" s="24" t="n"/>
    </row>
    <row r="614" ht="15" customHeight="1" s="21">
      <c r="A614" s="34" t="n"/>
      <c r="B614" s="35" t="n"/>
      <c r="C614" s="34" t="n"/>
      <c r="D614" s="31" t="n"/>
      <c r="E614" s="24" t="n"/>
      <c r="F614" s="24" t="n"/>
      <c r="G614" s="24" t="n"/>
      <c r="H614" s="24" t="n"/>
      <c r="I614" s="24" t="n"/>
      <c r="J614" s="34" t="n"/>
      <c r="K614" s="24" t="n"/>
      <c r="L614" s="24" t="n"/>
      <c r="M614" s="24" t="n"/>
      <c r="N614" s="24" t="n"/>
      <c r="O614" s="34" t="n"/>
      <c r="P614" s="24" t="n"/>
      <c r="Q614" s="24" t="n"/>
      <c r="R614" s="24" t="n"/>
    </row>
    <row r="615" ht="15" customHeight="1" s="21">
      <c r="A615" s="34" t="n"/>
      <c r="B615" s="35" t="n"/>
      <c r="C615" s="34" t="n"/>
      <c r="D615" s="31" t="n"/>
      <c r="E615" s="24" t="n"/>
      <c r="F615" s="24" t="n"/>
      <c r="G615" s="24" t="n"/>
      <c r="H615" s="24" t="n"/>
      <c r="I615" s="24" t="n"/>
      <c r="J615" s="34" t="n"/>
      <c r="K615" s="24" t="n"/>
      <c r="L615" s="24" t="n"/>
      <c r="M615" s="24" t="n"/>
      <c r="N615" s="24" t="n"/>
      <c r="O615" s="34" t="n"/>
      <c r="P615" s="24" t="n"/>
      <c r="Q615" s="24" t="n"/>
      <c r="R615" s="24" t="n"/>
    </row>
    <row r="616" ht="15" customHeight="1" s="21">
      <c r="A616" s="34" t="n"/>
      <c r="B616" s="35" t="n"/>
      <c r="C616" s="34" t="n"/>
      <c r="D616" s="31" t="n"/>
      <c r="E616" s="24" t="n"/>
      <c r="F616" s="24" t="n"/>
      <c r="G616" s="24" t="n"/>
      <c r="H616" s="24" t="n"/>
      <c r="I616" s="24" t="n"/>
      <c r="J616" s="34" t="n"/>
      <c r="K616" s="24" t="n"/>
      <c r="L616" s="24" t="n"/>
      <c r="M616" s="24" t="n"/>
      <c r="N616" s="24" t="n"/>
      <c r="O616" s="34" t="n"/>
      <c r="P616" s="24" t="n"/>
      <c r="Q616" s="24" t="n"/>
      <c r="R616" s="24" t="n"/>
    </row>
    <row r="617" ht="15" customHeight="1" s="21">
      <c r="A617" s="34" t="n"/>
      <c r="B617" s="35" t="n"/>
      <c r="C617" s="34" t="n"/>
      <c r="D617" s="31" t="n"/>
      <c r="E617" s="24" t="n"/>
      <c r="F617" s="24" t="n"/>
      <c r="G617" s="24" t="n"/>
      <c r="H617" s="24" t="n"/>
      <c r="I617" s="24" t="n"/>
      <c r="J617" s="34" t="n"/>
      <c r="K617" s="24" t="n"/>
      <c r="L617" s="24" t="n"/>
      <c r="M617" s="24" t="n"/>
      <c r="N617" s="24" t="n"/>
      <c r="O617" s="34" t="n"/>
      <c r="P617" s="24" t="n"/>
      <c r="Q617" s="24" t="n"/>
      <c r="R617" s="24" t="n"/>
    </row>
    <row r="618" ht="15" customHeight="1" s="21">
      <c r="A618" s="34" t="n"/>
      <c r="B618" s="35" t="n"/>
      <c r="C618" s="34" t="n"/>
      <c r="D618" s="31" t="n"/>
      <c r="E618" s="24" t="n"/>
      <c r="F618" s="24" t="n"/>
      <c r="G618" s="24" t="n"/>
      <c r="H618" s="24" t="n"/>
      <c r="I618" s="24" t="n"/>
      <c r="J618" s="34" t="n"/>
      <c r="K618" s="24" t="n"/>
      <c r="L618" s="24" t="n"/>
      <c r="M618" s="24" t="n"/>
      <c r="N618" s="24" t="n"/>
      <c r="O618" s="34" t="n"/>
      <c r="P618" s="24" t="n"/>
      <c r="Q618" s="24" t="n"/>
      <c r="R618" s="24" t="n"/>
    </row>
    <row r="619" ht="15" customHeight="1" s="21">
      <c r="A619" s="34" t="n"/>
      <c r="B619" s="35" t="n"/>
      <c r="C619" s="34" t="n"/>
      <c r="D619" s="31" t="n"/>
      <c r="E619" s="24" t="n"/>
      <c r="F619" s="24" t="n"/>
      <c r="G619" s="24" t="n"/>
      <c r="H619" s="24" t="n"/>
      <c r="I619" s="24" t="n"/>
      <c r="J619" s="34" t="n"/>
      <c r="K619" s="24" t="n"/>
      <c r="L619" s="24" t="n"/>
      <c r="M619" s="24" t="n"/>
      <c r="N619" s="24" t="n"/>
      <c r="O619" s="34" t="n"/>
      <c r="P619" s="24" t="n"/>
      <c r="Q619" s="24" t="n"/>
      <c r="R619" s="24" t="n"/>
    </row>
    <row r="620" ht="15" customHeight="1" s="21">
      <c r="A620" s="34" t="n"/>
      <c r="B620" s="35" t="n"/>
      <c r="C620" s="34" t="n"/>
      <c r="D620" s="31" t="n"/>
      <c r="E620" s="24" t="n"/>
      <c r="F620" s="24" t="n"/>
      <c r="G620" s="24" t="n"/>
      <c r="H620" s="24" t="n"/>
      <c r="I620" s="24" t="n"/>
      <c r="J620" s="34" t="n"/>
      <c r="K620" s="24" t="n"/>
      <c r="L620" s="24" t="n"/>
      <c r="M620" s="24" t="n"/>
      <c r="N620" s="24" t="n"/>
      <c r="O620" s="34" t="n"/>
      <c r="P620" s="24" t="n"/>
      <c r="Q620" s="24" t="n"/>
      <c r="R620" s="24" t="n"/>
    </row>
    <row r="621" ht="15" customHeight="1" s="21">
      <c r="A621" s="34" t="n"/>
      <c r="B621" s="35" t="n"/>
      <c r="C621" s="34" t="n"/>
      <c r="D621" s="31" t="n"/>
      <c r="E621" s="24" t="n"/>
      <c r="F621" s="24" t="n"/>
      <c r="G621" s="24" t="n"/>
      <c r="H621" s="24" t="n"/>
      <c r="I621" s="24" t="n"/>
      <c r="J621" s="34" t="n"/>
      <c r="K621" s="24" t="n"/>
      <c r="L621" s="24" t="n"/>
      <c r="M621" s="24" t="n"/>
      <c r="N621" s="24" t="n"/>
      <c r="O621" s="34" t="n"/>
      <c r="P621" s="24" t="n"/>
      <c r="Q621" s="24" t="n"/>
      <c r="R621" s="24" t="n"/>
    </row>
    <row r="622" ht="15" customHeight="1" s="21">
      <c r="A622" s="34" t="n"/>
      <c r="B622" s="35" t="n"/>
      <c r="C622" s="34" t="n"/>
      <c r="D622" s="31" t="n"/>
      <c r="E622" s="24" t="n"/>
      <c r="F622" s="24" t="n"/>
      <c r="G622" s="24" t="n"/>
      <c r="H622" s="24" t="n"/>
      <c r="I622" s="24" t="n"/>
      <c r="J622" s="34" t="n"/>
      <c r="K622" s="24" t="n"/>
      <c r="L622" s="24" t="n"/>
      <c r="M622" s="24" t="n"/>
      <c r="N622" s="24" t="n"/>
      <c r="O622" s="34" t="n"/>
      <c r="P622" s="24" t="n"/>
      <c r="Q622" s="24" t="n"/>
      <c r="R622" s="24" t="n"/>
    </row>
    <row r="623" ht="15" customHeight="1" s="21">
      <c r="A623" s="34" t="n"/>
      <c r="B623" s="35" t="n"/>
      <c r="C623" s="34" t="n"/>
      <c r="D623" s="31" t="n"/>
      <c r="E623" s="24" t="n"/>
      <c r="F623" s="24" t="n"/>
      <c r="G623" s="24" t="n"/>
      <c r="H623" s="24" t="n"/>
      <c r="I623" s="24" t="n"/>
      <c r="J623" s="34" t="n"/>
      <c r="K623" s="24" t="n"/>
      <c r="L623" s="24" t="n"/>
      <c r="M623" s="24" t="n"/>
      <c r="N623" s="24" t="n"/>
      <c r="O623" s="34" t="n"/>
      <c r="P623" s="24" t="n"/>
      <c r="Q623" s="24" t="n"/>
      <c r="R623" s="24" t="n"/>
    </row>
    <row r="624" ht="15" customHeight="1" s="21">
      <c r="A624" s="34" t="n"/>
      <c r="B624" s="35" t="n"/>
      <c r="C624" s="34" t="n"/>
      <c r="D624" s="31" t="n"/>
      <c r="E624" s="24" t="n"/>
      <c r="F624" s="24" t="n"/>
      <c r="G624" s="24" t="n"/>
      <c r="H624" s="24" t="n"/>
      <c r="I624" s="24" t="n"/>
      <c r="J624" s="34" t="n"/>
      <c r="K624" s="24" t="n"/>
      <c r="L624" s="24" t="n"/>
      <c r="M624" s="24" t="n"/>
      <c r="N624" s="24" t="n"/>
      <c r="O624" s="34" t="n"/>
      <c r="P624" s="24" t="n"/>
      <c r="Q624" s="24" t="n"/>
      <c r="R624" s="24" t="n"/>
    </row>
    <row r="625" ht="15" customHeight="1" s="21">
      <c r="A625" s="34" t="n"/>
      <c r="B625" s="35" t="n"/>
      <c r="C625" s="34" t="n"/>
      <c r="D625" s="31" t="n"/>
      <c r="E625" s="24" t="n"/>
      <c r="F625" s="24" t="n"/>
      <c r="G625" s="24" t="n"/>
      <c r="H625" s="24" t="n"/>
      <c r="I625" s="24" t="n"/>
      <c r="J625" s="34" t="n"/>
      <c r="K625" s="24" t="n"/>
      <c r="L625" s="24" t="n"/>
      <c r="M625" s="24" t="n"/>
      <c r="N625" s="24" t="n"/>
      <c r="O625" s="34" t="n"/>
      <c r="P625" s="24" t="n"/>
      <c r="Q625" s="24" t="n"/>
      <c r="R625" s="24" t="n"/>
    </row>
    <row r="626" ht="15" customHeight="1" s="21">
      <c r="A626" s="34" t="n"/>
      <c r="B626" s="35" t="n"/>
      <c r="C626" s="34" t="n"/>
      <c r="D626" s="31" t="n"/>
      <c r="E626" s="24" t="n"/>
      <c r="F626" s="24" t="n"/>
      <c r="G626" s="24" t="n"/>
      <c r="H626" s="24" t="n"/>
      <c r="I626" s="24" t="n"/>
      <c r="J626" s="34" t="n"/>
      <c r="K626" s="24" t="n"/>
      <c r="L626" s="24" t="n"/>
      <c r="M626" s="24" t="n"/>
      <c r="N626" s="24" t="n"/>
      <c r="O626" s="34" t="n"/>
      <c r="P626" s="24" t="n"/>
      <c r="Q626" s="24" t="n"/>
      <c r="R626" s="24" t="n"/>
    </row>
    <row r="627" ht="15" customHeight="1" s="21">
      <c r="A627" s="34" t="n"/>
      <c r="B627" s="35" t="n"/>
      <c r="C627" s="34" t="n"/>
      <c r="D627" s="31" t="n"/>
      <c r="E627" s="24" t="n"/>
      <c r="F627" s="24" t="n"/>
      <c r="G627" s="24" t="n"/>
      <c r="H627" s="24" t="n"/>
      <c r="I627" s="24" t="n"/>
      <c r="J627" s="34" t="n"/>
      <c r="K627" s="24" t="n"/>
      <c r="L627" s="24" t="n"/>
      <c r="M627" s="24" t="n"/>
      <c r="N627" s="24" t="n"/>
      <c r="O627" s="34" t="n"/>
      <c r="P627" s="24" t="n"/>
      <c r="Q627" s="24" t="n"/>
      <c r="R627" s="24" t="n"/>
    </row>
    <row r="628" ht="15" customHeight="1" s="21">
      <c r="A628" s="34" t="n"/>
      <c r="B628" s="35" t="n"/>
      <c r="C628" s="34" t="n"/>
      <c r="D628" s="31" t="n"/>
      <c r="E628" s="24" t="n"/>
      <c r="F628" s="24" t="n"/>
      <c r="G628" s="24" t="n"/>
      <c r="H628" s="24" t="n"/>
      <c r="I628" s="24" t="n"/>
      <c r="J628" s="34" t="n"/>
      <c r="K628" s="24" t="n"/>
      <c r="L628" s="24" t="n"/>
      <c r="M628" s="24" t="n"/>
      <c r="N628" s="24" t="n"/>
      <c r="O628" s="34" t="n"/>
      <c r="P628" s="24" t="n"/>
      <c r="Q628" s="24" t="n"/>
      <c r="R628" s="24" t="n"/>
    </row>
    <row r="629" ht="15" customHeight="1" s="21">
      <c r="A629" s="34" t="n"/>
      <c r="B629" s="35" t="n"/>
      <c r="C629" s="34" t="n"/>
      <c r="D629" s="31" t="n"/>
      <c r="E629" s="24" t="n"/>
      <c r="F629" s="24" t="n"/>
      <c r="G629" s="24" t="n"/>
      <c r="H629" s="24" t="n"/>
      <c r="I629" s="24" t="n"/>
      <c r="J629" s="34" t="n"/>
      <c r="K629" s="24" t="n"/>
      <c r="L629" s="24" t="n"/>
      <c r="M629" s="24" t="n"/>
      <c r="N629" s="24" t="n"/>
      <c r="O629" s="34" t="n"/>
      <c r="P629" s="24" t="n"/>
      <c r="Q629" s="24" t="n"/>
      <c r="R629" s="24" t="n"/>
    </row>
    <row r="630" ht="15" customHeight="1" s="21">
      <c r="A630" s="34" t="n"/>
      <c r="B630" s="35" t="n"/>
      <c r="C630" s="34" t="n"/>
      <c r="D630" s="31" t="n"/>
      <c r="E630" s="24" t="n"/>
      <c r="F630" s="24" t="n"/>
      <c r="G630" s="24" t="n"/>
      <c r="H630" s="24" t="n"/>
      <c r="I630" s="24" t="n"/>
      <c r="J630" s="34" t="n"/>
      <c r="K630" s="24" t="n"/>
      <c r="L630" s="24" t="n"/>
      <c r="M630" s="24" t="n"/>
      <c r="N630" s="24" t="n"/>
      <c r="O630" s="34" t="n"/>
      <c r="P630" s="24" t="n"/>
      <c r="Q630" s="24" t="n"/>
      <c r="R630" s="24" t="n"/>
    </row>
    <row r="631" ht="15" customHeight="1" s="21">
      <c r="A631" s="34" t="n"/>
      <c r="B631" s="35" t="n"/>
      <c r="C631" s="34" t="n"/>
      <c r="D631" s="31" t="n"/>
      <c r="E631" s="24" t="n"/>
      <c r="F631" s="24" t="n"/>
      <c r="G631" s="24" t="n"/>
      <c r="H631" s="24" t="n"/>
      <c r="I631" s="24" t="n"/>
      <c r="J631" s="34" t="n"/>
      <c r="K631" s="24" t="n"/>
      <c r="L631" s="24" t="n"/>
      <c r="M631" s="24" t="n"/>
      <c r="N631" s="24" t="n"/>
      <c r="O631" s="34" t="n"/>
      <c r="P631" s="24" t="n"/>
      <c r="Q631" s="24" t="n"/>
      <c r="R631" s="24" t="n"/>
    </row>
    <row r="632" ht="15" customHeight="1" s="21">
      <c r="A632" s="34" t="n"/>
      <c r="B632" s="35" t="n"/>
      <c r="C632" s="34" t="n"/>
      <c r="D632" s="31" t="n"/>
      <c r="E632" s="24" t="n"/>
      <c r="F632" s="24" t="n"/>
      <c r="G632" s="24" t="n"/>
      <c r="H632" s="24" t="n"/>
      <c r="I632" s="24" t="n"/>
      <c r="J632" s="34" t="n"/>
      <c r="K632" s="24" t="n"/>
      <c r="L632" s="24" t="n"/>
      <c r="M632" s="24" t="n"/>
      <c r="N632" s="24" t="n"/>
      <c r="O632" s="34" t="n"/>
      <c r="P632" s="24" t="n"/>
      <c r="Q632" s="24" t="n"/>
      <c r="R632" s="24" t="n"/>
    </row>
    <row r="633" ht="15" customHeight="1" s="21">
      <c r="A633" s="34" t="n"/>
      <c r="B633" s="35" t="n"/>
      <c r="C633" s="34" t="n"/>
      <c r="D633" s="31" t="n"/>
      <c r="E633" s="24" t="n"/>
      <c r="F633" s="24" t="n"/>
      <c r="G633" s="24" t="n"/>
      <c r="H633" s="24" t="n"/>
      <c r="I633" s="24" t="n"/>
      <c r="J633" s="34" t="n"/>
      <c r="K633" s="24" t="n"/>
      <c r="L633" s="24" t="n"/>
      <c r="M633" s="24" t="n"/>
      <c r="N633" s="24" t="n"/>
      <c r="O633" s="34" t="n"/>
      <c r="P633" s="24" t="n"/>
      <c r="Q633" s="24" t="n"/>
      <c r="R633" s="24" t="n"/>
    </row>
    <row r="634" ht="15" customHeight="1" s="21">
      <c r="A634" s="34" t="n"/>
      <c r="B634" s="35" t="n"/>
      <c r="C634" s="34" t="n"/>
      <c r="D634" s="31" t="n"/>
      <c r="E634" s="24" t="n"/>
      <c r="F634" s="24" t="n"/>
      <c r="G634" s="24" t="n"/>
      <c r="H634" s="24" t="n"/>
      <c r="I634" s="24" t="n"/>
      <c r="J634" s="34" t="n"/>
      <c r="K634" s="24" t="n"/>
      <c r="L634" s="24" t="n"/>
      <c r="M634" s="24" t="n"/>
      <c r="N634" s="24" t="n"/>
      <c r="O634" s="34" t="n"/>
      <c r="P634" s="24" t="n"/>
      <c r="Q634" s="24" t="n"/>
      <c r="R634" s="24" t="n"/>
    </row>
    <row r="635" ht="15" customHeight="1" s="21">
      <c r="A635" s="34" t="n"/>
      <c r="B635" s="35" t="n"/>
      <c r="C635" s="34" t="n"/>
      <c r="D635" s="31" t="n"/>
      <c r="E635" s="24" t="n"/>
      <c r="F635" s="24" t="n"/>
      <c r="G635" s="24" t="n"/>
      <c r="H635" s="24" t="n"/>
      <c r="I635" s="24" t="n"/>
      <c r="J635" s="34" t="n"/>
      <c r="K635" s="24" t="n"/>
      <c r="L635" s="24" t="n"/>
      <c r="M635" s="24" t="n"/>
      <c r="N635" s="24" t="n"/>
      <c r="O635" s="34" t="n"/>
      <c r="P635" s="24" t="n"/>
      <c r="Q635" s="24" t="n"/>
      <c r="R635" s="24" t="n"/>
    </row>
    <row r="636" ht="15" customHeight="1" s="21">
      <c r="A636" s="34" t="n"/>
      <c r="B636" s="35" t="n"/>
      <c r="C636" s="34" t="n"/>
      <c r="D636" s="31" t="n"/>
      <c r="E636" s="24" t="n"/>
      <c r="F636" s="24" t="n"/>
      <c r="G636" s="24" t="n"/>
      <c r="H636" s="24" t="n"/>
      <c r="I636" s="24" t="n"/>
      <c r="J636" s="34" t="n"/>
      <c r="K636" s="24" t="n"/>
      <c r="L636" s="24" t="n"/>
      <c r="M636" s="24" t="n"/>
      <c r="N636" s="24" t="n"/>
      <c r="O636" s="34" t="n"/>
      <c r="P636" s="24" t="n"/>
      <c r="Q636" s="24" t="n"/>
      <c r="R636" s="24" t="n"/>
    </row>
    <row r="637" ht="15" customHeight="1" s="21">
      <c r="A637" s="34" t="n"/>
      <c r="B637" s="35" t="n"/>
      <c r="C637" s="34" t="n"/>
      <c r="D637" s="31" t="n"/>
      <c r="E637" s="24" t="n"/>
      <c r="F637" s="24" t="n"/>
      <c r="G637" s="24" t="n"/>
      <c r="H637" s="24" t="n"/>
      <c r="I637" s="24" t="n"/>
      <c r="J637" s="34" t="n"/>
      <c r="K637" s="24" t="n"/>
      <c r="L637" s="24" t="n"/>
      <c r="M637" s="24" t="n"/>
      <c r="N637" s="24" t="n"/>
      <c r="O637" s="34" t="n"/>
      <c r="P637" s="24" t="n"/>
      <c r="Q637" s="24" t="n"/>
      <c r="R637" s="24" t="n"/>
    </row>
    <row r="638" ht="15" customHeight="1" s="21">
      <c r="A638" s="34" t="n"/>
      <c r="B638" s="35" t="n"/>
      <c r="C638" s="34" t="n"/>
      <c r="D638" s="31" t="n"/>
      <c r="E638" s="24" t="n"/>
      <c r="F638" s="24" t="n"/>
      <c r="G638" s="24" t="n"/>
      <c r="H638" s="24" t="n"/>
      <c r="I638" s="24" t="n"/>
      <c r="J638" s="34" t="n"/>
      <c r="K638" s="24" t="n"/>
      <c r="L638" s="24" t="n"/>
      <c r="M638" s="24" t="n"/>
      <c r="N638" s="24" t="n"/>
      <c r="O638" s="34" t="n"/>
      <c r="P638" s="24" t="n"/>
      <c r="Q638" s="24" t="n"/>
      <c r="R638" s="24" t="n"/>
    </row>
    <row r="639" ht="15" customHeight="1" s="21">
      <c r="A639" s="34" t="n"/>
      <c r="B639" s="35" t="n"/>
      <c r="C639" s="34" t="n"/>
      <c r="D639" s="31" t="n"/>
      <c r="E639" s="24" t="n"/>
      <c r="F639" s="24" t="n"/>
      <c r="G639" s="24" t="n"/>
      <c r="H639" s="24" t="n"/>
      <c r="I639" s="24" t="n"/>
      <c r="J639" s="34" t="n"/>
      <c r="K639" s="24" t="n"/>
      <c r="L639" s="24" t="n"/>
      <c r="M639" s="24" t="n"/>
      <c r="N639" s="24" t="n"/>
      <c r="O639" s="34" t="n"/>
      <c r="P639" s="24" t="n"/>
      <c r="Q639" s="24" t="n"/>
      <c r="R639" s="24" t="n"/>
    </row>
    <row r="640" ht="15" customHeight="1" s="21">
      <c r="A640" s="34" t="n"/>
      <c r="B640" s="35" t="n"/>
      <c r="C640" s="34" t="n"/>
      <c r="D640" s="31" t="n"/>
      <c r="E640" s="24" t="n"/>
      <c r="F640" s="24" t="n"/>
      <c r="G640" s="24" t="n"/>
      <c r="H640" s="24" t="n"/>
      <c r="I640" s="24" t="n"/>
      <c r="J640" s="34" t="n"/>
      <c r="K640" s="24" t="n"/>
      <c r="L640" s="24" t="n"/>
      <c r="M640" s="24" t="n"/>
      <c r="N640" s="24" t="n"/>
      <c r="O640" s="34" t="n"/>
      <c r="P640" s="24" t="n"/>
      <c r="Q640" s="24" t="n"/>
      <c r="R640" s="24" t="n"/>
    </row>
    <row r="641" ht="15" customHeight="1" s="21">
      <c r="A641" s="34" t="n"/>
      <c r="B641" s="35" t="n"/>
      <c r="C641" s="34" t="n"/>
      <c r="D641" s="31" t="n"/>
      <c r="E641" s="24" t="n"/>
      <c r="F641" s="24" t="n"/>
      <c r="G641" s="24" t="n"/>
      <c r="H641" s="24" t="n"/>
      <c r="I641" s="24" t="n"/>
      <c r="J641" s="34" t="n"/>
      <c r="K641" s="24" t="n"/>
      <c r="L641" s="24" t="n"/>
      <c r="M641" s="24" t="n"/>
      <c r="N641" s="24" t="n"/>
      <c r="O641" s="34" t="n"/>
      <c r="P641" s="24" t="n"/>
      <c r="Q641" s="24" t="n"/>
      <c r="R641" s="24" t="n"/>
    </row>
    <row r="642" ht="15" customHeight="1" s="21">
      <c r="A642" s="34" t="n"/>
      <c r="B642" s="35" t="n"/>
      <c r="C642" s="34" t="n"/>
      <c r="D642" s="31" t="n"/>
      <c r="E642" s="24" t="n"/>
      <c r="F642" s="24" t="n"/>
      <c r="G642" s="24" t="n"/>
      <c r="H642" s="24" t="n"/>
      <c r="I642" s="24" t="n"/>
      <c r="J642" s="34" t="n"/>
      <c r="K642" s="24" t="n"/>
      <c r="L642" s="24" t="n"/>
      <c r="M642" s="24" t="n"/>
      <c r="N642" s="24" t="n"/>
      <c r="O642" s="34" t="n"/>
      <c r="P642" s="24" t="n"/>
      <c r="Q642" s="24" t="n"/>
      <c r="R642" s="24" t="n"/>
    </row>
    <row r="643" ht="15" customHeight="1" s="21">
      <c r="A643" s="34" t="n"/>
      <c r="B643" s="35" t="n"/>
      <c r="C643" s="34" t="n"/>
      <c r="D643" s="31" t="n"/>
      <c r="E643" s="24" t="n"/>
      <c r="F643" s="24" t="n"/>
      <c r="G643" s="24" t="n"/>
      <c r="H643" s="24" t="n"/>
      <c r="I643" s="24" t="n"/>
      <c r="J643" s="34" t="n"/>
      <c r="K643" s="24" t="n"/>
      <c r="L643" s="24" t="n"/>
      <c r="M643" s="24" t="n"/>
      <c r="N643" s="24" t="n"/>
      <c r="O643" s="34" t="n"/>
      <c r="P643" s="24" t="n"/>
      <c r="Q643" s="24" t="n"/>
      <c r="R643" s="24" t="n"/>
    </row>
    <row r="644" ht="15" customHeight="1" s="21">
      <c r="A644" s="34" t="n"/>
      <c r="B644" s="35" t="n"/>
      <c r="C644" s="34" t="n"/>
      <c r="D644" s="31" t="n"/>
      <c r="E644" s="24" t="n"/>
      <c r="F644" s="24" t="n"/>
      <c r="G644" s="24" t="n"/>
      <c r="H644" s="24" t="n"/>
      <c r="I644" s="24" t="n"/>
      <c r="J644" s="34" t="n"/>
      <c r="K644" s="24" t="n"/>
      <c r="L644" s="24" t="n"/>
      <c r="M644" s="24" t="n"/>
      <c r="N644" s="24" t="n"/>
      <c r="O644" s="34" t="n"/>
      <c r="P644" s="24" t="n"/>
      <c r="Q644" s="24" t="n"/>
      <c r="R644" s="24" t="n"/>
    </row>
    <row r="645" ht="15" customHeight="1" s="21">
      <c r="A645" s="34" t="n"/>
      <c r="B645" s="35" t="n"/>
      <c r="C645" s="34" t="n"/>
      <c r="D645" s="31" t="n"/>
      <c r="E645" s="24" t="n"/>
      <c r="F645" s="24" t="n"/>
      <c r="G645" s="24" t="n"/>
      <c r="H645" s="24" t="n"/>
      <c r="I645" s="24" t="n"/>
      <c r="J645" s="34" t="n"/>
      <c r="K645" s="24" t="n"/>
      <c r="L645" s="24" t="n"/>
      <c r="M645" s="24" t="n"/>
      <c r="N645" s="24" t="n"/>
      <c r="O645" s="34" t="n"/>
      <c r="P645" s="24" t="n"/>
      <c r="Q645" s="24" t="n"/>
      <c r="R645" s="24" t="n"/>
    </row>
    <row r="646" ht="15" customHeight="1" s="21">
      <c r="A646" s="34" t="n"/>
      <c r="B646" s="35" t="n"/>
      <c r="C646" s="34" t="n"/>
      <c r="D646" s="31" t="n"/>
      <c r="E646" s="24" t="n"/>
      <c r="F646" s="24" t="n"/>
      <c r="G646" s="24" t="n"/>
      <c r="H646" s="24" t="n"/>
      <c r="I646" s="24" t="n"/>
      <c r="J646" s="34" t="n"/>
      <c r="K646" s="24" t="n"/>
      <c r="L646" s="24" t="n"/>
      <c r="M646" s="24" t="n"/>
      <c r="N646" s="24" t="n"/>
      <c r="O646" s="34" t="n"/>
      <c r="P646" s="24" t="n"/>
      <c r="Q646" s="24" t="n"/>
      <c r="R646" s="24" t="n"/>
    </row>
    <row r="647" ht="15" customHeight="1" s="21">
      <c r="A647" s="34" t="n"/>
      <c r="B647" s="35" t="n"/>
      <c r="C647" s="34" t="n"/>
      <c r="D647" s="31" t="n"/>
      <c r="E647" s="24" t="n"/>
      <c r="F647" s="24" t="n"/>
      <c r="G647" s="24" t="n"/>
      <c r="H647" s="24" t="n"/>
      <c r="I647" s="24" t="n"/>
      <c r="J647" s="34" t="n"/>
      <c r="K647" s="24" t="n"/>
      <c r="L647" s="24" t="n"/>
      <c r="M647" s="24" t="n"/>
      <c r="N647" s="24" t="n"/>
      <c r="O647" s="34" t="n"/>
      <c r="P647" s="24" t="n"/>
      <c r="Q647" s="24" t="n"/>
      <c r="R647" s="24" t="n"/>
    </row>
    <row r="648" ht="15" customHeight="1" s="21">
      <c r="A648" s="34" t="n"/>
      <c r="B648" s="35" t="n"/>
      <c r="C648" s="34" t="n"/>
      <c r="D648" s="31" t="n"/>
      <c r="E648" s="24" t="n"/>
      <c r="F648" s="24" t="n"/>
      <c r="G648" s="24" t="n"/>
      <c r="H648" s="24" t="n"/>
      <c r="I648" s="24" t="n"/>
      <c r="J648" s="34" t="n"/>
      <c r="K648" s="24" t="n"/>
      <c r="L648" s="24" t="n"/>
      <c r="M648" s="24" t="n"/>
      <c r="N648" s="24" t="n"/>
      <c r="O648" s="34" t="n"/>
      <c r="P648" s="24" t="n"/>
      <c r="Q648" s="24" t="n"/>
      <c r="R648" s="24" t="n"/>
    </row>
    <row r="649" ht="15" customHeight="1" s="21">
      <c r="A649" s="34" t="n"/>
      <c r="B649" s="35" t="n"/>
      <c r="C649" s="34" t="n"/>
      <c r="D649" s="31" t="n"/>
      <c r="E649" s="24" t="n"/>
      <c r="F649" s="24" t="n"/>
      <c r="G649" s="24" t="n"/>
      <c r="H649" s="24" t="n"/>
      <c r="I649" s="24" t="n"/>
      <c r="J649" s="34" t="n"/>
      <c r="K649" s="24" t="n"/>
      <c r="L649" s="24" t="n"/>
      <c r="M649" s="24" t="n"/>
      <c r="N649" s="24" t="n"/>
      <c r="O649" s="34" t="n"/>
      <c r="P649" s="24" t="n"/>
      <c r="Q649" s="24" t="n"/>
      <c r="R649" s="24" t="n"/>
    </row>
    <row r="650" ht="15" customHeight="1" s="21">
      <c r="A650" s="34" t="n"/>
      <c r="B650" s="35" t="n"/>
      <c r="C650" s="34" t="n"/>
      <c r="D650" s="31" t="n"/>
      <c r="E650" s="24" t="n"/>
      <c r="F650" s="24" t="n"/>
      <c r="G650" s="24" t="n"/>
      <c r="H650" s="24" t="n"/>
      <c r="I650" s="24" t="n"/>
      <c r="J650" s="34" t="n"/>
      <c r="K650" s="24" t="n"/>
      <c r="L650" s="24" t="n"/>
      <c r="M650" s="24" t="n"/>
      <c r="N650" s="24" t="n"/>
      <c r="O650" s="34" t="n"/>
      <c r="P650" s="24" t="n"/>
      <c r="Q650" s="24" t="n"/>
      <c r="R650" s="24" t="n"/>
    </row>
    <row r="651" ht="15" customHeight="1" s="21">
      <c r="A651" s="34" t="n"/>
      <c r="B651" s="35" t="n"/>
      <c r="C651" s="34" t="n"/>
      <c r="D651" s="31" t="n"/>
      <c r="E651" s="24" t="n"/>
      <c r="F651" s="24" t="n"/>
      <c r="G651" s="24" t="n"/>
      <c r="H651" s="24" t="n"/>
      <c r="I651" s="24" t="n"/>
      <c r="J651" s="34" t="n"/>
      <c r="K651" s="24" t="n"/>
      <c r="L651" s="24" t="n"/>
      <c r="M651" s="24" t="n"/>
      <c r="N651" s="24" t="n"/>
      <c r="O651" s="34" t="n"/>
      <c r="P651" s="24" t="n"/>
      <c r="Q651" s="24" t="n"/>
      <c r="R651" s="24" t="n"/>
    </row>
    <row r="652" ht="15" customHeight="1" s="21">
      <c r="A652" s="34" t="n"/>
      <c r="B652" s="35" t="n"/>
      <c r="C652" s="34" t="n"/>
      <c r="D652" s="31" t="n"/>
      <c r="E652" s="24" t="n"/>
      <c r="F652" s="24" t="n"/>
      <c r="G652" s="24" t="n"/>
      <c r="H652" s="24" t="n"/>
      <c r="I652" s="24" t="n"/>
      <c r="J652" s="34" t="n"/>
      <c r="K652" s="24" t="n"/>
      <c r="L652" s="24" t="n"/>
      <c r="M652" s="24" t="n"/>
      <c r="N652" s="24" t="n"/>
      <c r="O652" s="34" t="n"/>
      <c r="P652" s="24" t="n"/>
      <c r="Q652" s="24" t="n"/>
      <c r="R652" s="24" t="n"/>
    </row>
    <row r="653" ht="15" customHeight="1" s="21">
      <c r="A653" s="34" t="n"/>
      <c r="B653" s="35" t="n"/>
      <c r="C653" s="34" t="n"/>
      <c r="D653" s="31" t="n"/>
      <c r="E653" s="24" t="n"/>
      <c r="F653" s="24" t="n"/>
      <c r="G653" s="24" t="n"/>
      <c r="H653" s="24" t="n"/>
      <c r="I653" s="24" t="n"/>
      <c r="J653" s="34" t="n"/>
      <c r="K653" s="24" t="n"/>
      <c r="L653" s="24" t="n"/>
      <c r="M653" s="24" t="n"/>
      <c r="N653" s="24" t="n"/>
      <c r="O653" s="34" t="n"/>
      <c r="P653" s="24" t="n"/>
      <c r="Q653" s="24" t="n"/>
      <c r="R653" s="24" t="n"/>
    </row>
    <row r="654" ht="15" customHeight="1" s="21">
      <c r="A654" s="34" t="n"/>
      <c r="B654" s="35" t="n"/>
      <c r="C654" s="34" t="n"/>
      <c r="D654" s="31" t="n"/>
      <c r="E654" s="24" t="n"/>
      <c r="F654" s="24" t="n"/>
      <c r="G654" s="24" t="n"/>
      <c r="H654" s="24" t="n"/>
      <c r="I654" s="24" t="n"/>
      <c r="J654" s="34" t="n"/>
      <c r="K654" s="24" t="n"/>
      <c r="L654" s="24" t="n"/>
      <c r="M654" s="24" t="n"/>
      <c r="N654" s="24" t="n"/>
      <c r="O654" s="34" t="n"/>
      <c r="P654" s="24" t="n"/>
      <c r="Q654" s="24" t="n"/>
      <c r="R654" s="24" t="n"/>
    </row>
    <row r="655" ht="15" customHeight="1" s="21">
      <c r="A655" s="34" t="n"/>
      <c r="B655" s="35" t="n"/>
      <c r="C655" s="34" t="n"/>
      <c r="D655" s="31" t="n"/>
      <c r="E655" s="24" t="n"/>
      <c r="F655" s="24" t="n"/>
      <c r="G655" s="24" t="n"/>
      <c r="H655" s="24" t="n"/>
      <c r="I655" s="24" t="n"/>
      <c r="J655" s="34" t="n"/>
      <c r="K655" s="24" t="n"/>
      <c r="L655" s="24" t="n"/>
      <c r="M655" s="24" t="n"/>
      <c r="N655" s="24" t="n"/>
      <c r="O655" s="34" t="n"/>
      <c r="P655" s="24" t="n"/>
      <c r="Q655" s="24" t="n"/>
      <c r="R655" s="24" t="n"/>
    </row>
    <row r="656" ht="15" customHeight="1" s="21">
      <c r="A656" s="34" t="n"/>
      <c r="B656" s="35" t="n"/>
      <c r="C656" s="34" t="n"/>
      <c r="D656" s="31" t="n"/>
      <c r="E656" s="24" t="n"/>
      <c r="F656" s="24" t="n"/>
      <c r="G656" s="24" t="n"/>
      <c r="H656" s="24" t="n"/>
      <c r="I656" s="24" t="n"/>
      <c r="J656" s="34" t="n"/>
      <c r="K656" s="24" t="n"/>
      <c r="L656" s="24" t="n"/>
      <c r="M656" s="24" t="n"/>
      <c r="N656" s="24" t="n"/>
      <c r="O656" s="34" t="n"/>
      <c r="P656" s="24" t="n"/>
      <c r="Q656" s="24" t="n"/>
      <c r="R656" s="24" t="n"/>
    </row>
    <row r="657" ht="15" customHeight="1" s="21">
      <c r="A657" s="34" t="n"/>
      <c r="B657" s="35" t="n"/>
      <c r="C657" s="34" t="n"/>
      <c r="D657" s="31" t="n"/>
      <c r="E657" s="24" t="n"/>
      <c r="F657" s="24" t="n"/>
      <c r="G657" s="24" t="n"/>
      <c r="H657" s="24" t="n"/>
      <c r="I657" s="24" t="n"/>
      <c r="J657" s="34" t="n"/>
      <c r="K657" s="24" t="n"/>
      <c r="L657" s="24" t="n"/>
      <c r="M657" s="24" t="n"/>
      <c r="N657" s="24" t="n"/>
      <c r="O657" s="34" t="n"/>
      <c r="P657" s="24" t="n"/>
      <c r="Q657" s="24" t="n"/>
      <c r="R657" s="24" t="n"/>
    </row>
    <row r="658" ht="15" customHeight="1" s="21">
      <c r="A658" s="34" t="n"/>
      <c r="B658" s="35" t="n"/>
      <c r="C658" s="34" t="n"/>
      <c r="D658" s="31" t="n"/>
      <c r="E658" s="24" t="n"/>
      <c r="F658" s="24" t="n"/>
      <c r="G658" s="24" t="n"/>
      <c r="H658" s="24" t="n"/>
      <c r="I658" s="24" t="n"/>
      <c r="J658" s="34" t="n"/>
      <c r="K658" s="24" t="n"/>
      <c r="L658" s="24" t="n"/>
      <c r="M658" s="24" t="n"/>
      <c r="N658" s="24" t="n"/>
      <c r="O658" s="34" t="n"/>
      <c r="P658" s="24" t="n"/>
      <c r="Q658" s="24" t="n"/>
      <c r="R658" s="24" t="n"/>
    </row>
    <row r="659" ht="15" customHeight="1" s="21">
      <c r="A659" s="34" t="n"/>
      <c r="B659" s="35" t="n"/>
      <c r="C659" s="34" t="n"/>
      <c r="D659" s="31" t="n"/>
      <c r="E659" s="24" t="n"/>
      <c r="F659" s="24" t="n"/>
      <c r="G659" s="24" t="n"/>
      <c r="H659" s="24" t="n"/>
      <c r="I659" s="24" t="n"/>
      <c r="J659" s="34" t="n"/>
      <c r="K659" s="24" t="n"/>
      <c r="L659" s="24" t="n"/>
      <c r="M659" s="24" t="n"/>
      <c r="N659" s="24" t="n"/>
      <c r="O659" s="34" t="n"/>
      <c r="P659" s="24" t="n"/>
      <c r="Q659" s="24" t="n"/>
      <c r="R659" s="24" t="n"/>
    </row>
    <row r="660" ht="15" customHeight="1" s="21">
      <c r="A660" s="34" t="n"/>
      <c r="B660" s="35" t="n"/>
      <c r="C660" s="34" t="n"/>
      <c r="D660" s="31" t="n"/>
      <c r="E660" s="24" t="n"/>
      <c r="F660" s="24" t="n"/>
      <c r="G660" s="24" t="n"/>
      <c r="H660" s="24" t="n"/>
      <c r="I660" s="24" t="n"/>
      <c r="J660" s="34" t="n"/>
      <c r="K660" s="24" t="n"/>
      <c r="L660" s="24" t="n"/>
      <c r="M660" s="24" t="n"/>
      <c r="N660" s="24" t="n"/>
      <c r="O660" s="34" t="n"/>
      <c r="P660" s="24" t="n"/>
      <c r="Q660" s="24" t="n"/>
      <c r="R660" s="24" t="n"/>
    </row>
    <row r="661" ht="15" customHeight="1" s="21">
      <c r="A661" s="34" t="n"/>
      <c r="B661" s="35" t="n"/>
      <c r="C661" s="34" t="n"/>
      <c r="D661" s="31" t="n"/>
      <c r="E661" s="24" t="n"/>
      <c r="F661" s="24" t="n"/>
      <c r="G661" s="24" t="n"/>
      <c r="H661" s="24" t="n"/>
      <c r="I661" s="24" t="n"/>
      <c r="J661" s="34" t="n"/>
      <c r="K661" s="24" t="n"/>
      <c r="L661" s="24" t="n"/>
      <c r="M661" s="24" t="n"/>
      <c r="N661" s="24" t="n"/>
      <c r="O661" s="34" t="n"/>
      <c r="P661" s="24" t="n"/>
      <c r="Q661" s="24" t="n"/>
      <c r="R661" s="24" t="n"/>
    </row>
    <row r="662" ht="15" customHeight="1" s="21">
      <c r="A662" s="34" t="n"/>
      <c r="B662" s="35" t="n"/>
      <c r="C662" s="34" t="n"/>
      <c r="D662" s="31" t="n"/>
      <c r="E662" s="24" t="n"/>
      <c r="F662" s="24" t="n"/>
      <c r="G662" s="24" t="n"/>
      <c r="H662" s="24" t="n"/>
      <c r="I662" s="24" t="n"/>
      <c r="J662" s="34" t="n"/>
      <c r="K662" s="24" t="n"/>
      <c r="L662" s="24" t="n"/>
      <c r="M662" s="24" t="n"/>
      <c r="N662" s="24" t="n"/>
      <c r="O662" s="34" t="n"/>
      <c r="P662" s="24" t="n"/>
      <c r="Q662" s="24" t="n"/>
      <c r="R662" s="24" t="n"/>
    </row>
    <row r="663" ht="15" customHeight="1" s="21">
      <c r="A663" s="34" t="n"/>
      <c r="B663" s="35" t="n"/>
      <c r="C663" s="34" t="n"/>
      <c r="D663" s="31" t="n"/>
      <c r="E663" s="24" t="n"/>
      <c r="F663" s="24" t="n"/>
      <c r="G663" s="24" t="n"/>
      <c r="H663" s="24" t="n"/>
      <c r="I663" s="24" t="n"/>
      <c r="J663" s="34" t="n"/>
      <c r="K663" s="24" t="n"/>
      <c r="L663" s="24" t="n"/>
      <c r="M663" s="24" t="n"/>
      <c r="N663" s="24" t="n"/>
      <c r="O663" s="34" t="n"/>
      <c r="P663" s="24" t="n"/>
      <c r="Q663" s="24" t="n"/>
      <c r="R663" s="24" t="n"/>
    </row>
    <row r="664" ht="15" customHeight="1" s="21">
      <c r="A664" s="34" t="n"/>
      <c r="B664" s="35" t="n"/>
      <c r="C664" s="34" t="n"/>
      <c r="D664" s="31" t="n"/>
      <c r="E664" s="24" t="n"/>
      <c r="F664" s="24" t="n"/>
      <c r="G664" s="24" t="n"/>
      <c r="H664" s="24" t="n"/>
      <c r="I664" s="24" t="n"/>
      <c r="J664" s="34" t="n"/>
      <c r="K664" s="24" t="n"/>
      <c r="L664" s="24" t="n"/>
      <c r="M664" s="24" t="n"/>
      <c r="N664" s="24" t="n"/>
      <c r="O664" s="34" t="n"/>
      <c r="P664" s="24" t="n"/>
      <c r="Q664" s="24" t="n"/>
      <c r="R664" s="24" t="n"/>
    </row>
    <row r="665" ht="15" customHeight="1" s="21">
      <c r="A665" s="34" t="n"/>
      <c r="B665" s="35" t="n"/>
      <c r="C665" s="34" t="n"/>
      <c r="D665" s="31" t="n"/>
      <c r="E665" s="24" t="n"/>
      <c r="F665" s="24" t="n"/>
      <c r="G665" s="24" t="n"/>
      <c r="H665" s="24" t="n"/>
      <c r="I665" s="24" t="n"/>
      <c r="J665" s="34" t="n"/>
      <c r="K665" s="24" t="n"/>
      <c r="L665" s="24" t="n"/>
      <c r="M665" s="24" t="n"/>
      <c r="N665" s="24" t="n"/>
      <c r="O665" s="34" t="n"/>
      <c r="P665" s="24" t="n"/>
      <c r="Q665" s="24" t="n"/>
      <c r="R665" s="24" t="n"/>
    </row>
    <row r="666" ht="15" customHeight="1" s="21">
      <c r="A666" s="34" t="n"/>
      <c r="B666" s="35" t="n"/>
      <c r="C666" s="34" t="n"/>
      <c r="D666" s="31" t="n"/>
      <c r="E666" s="24" t="n"/>
      <c r="F666" s="24" t="n"/>
      <c r="G666" s="24" t="n"/>
      <c r="H666" s="24" t="n"/>
      <c r="I666" s="24" t="n"/>
      <c r="J666" s="34" t="n"/>
      <c r="K666" s="24" t="n"/>
      <c r="L666" s="24" t="n"/>
      <c r="M666" s="24" t="n"/>
      <c r="N666" s="24" t="n"/>
      <c r="O666" s="34" t="n"/>
      <c r="P666" s="24" t="n"/>
      <c r="Q666" s="24" t="n"/>
      <c r="R666" s="24" t="n"/>
    </row>
    <row r="667" ht="15" customHeight="1" s="21">
      <c r="A667" s="34" t="n"/>
      <c r="B667" s="35" t="n"/>
      <c r="C667" s="34" t="n"/>
      <c r="D667" s="31" t="n"/>
      <c r="E667" s="24" t="n"/>
      <c r="F667" s="24" t="n"/>
      <c r="G667" s="24" t="n"/>
      <c r="H667" s="24" t="n"/>
      <c r="I667" s="24" t="n"/>
      <c r="J667" s="34" t="n"/>
      <c r="K667" s="24" t="n"/>
      <c r="L667" s="24" t="n"/>
      <c r="M667" s="24" t="n"/>
      <c r="N667" s="24" t="n"/>
      <c r="O667" s="34" t="n"/>
      <c r="P667" s="24" t="n"/>
      <c r="Q667" s="24" t="n"/>
      <c r="R667" s="24" t="n"/>
    </row>
    <row r="668" ht="15" customHeight="1" s="21">
      <c r="A668" s="34" t="n"/>
      <c r="B668" s="35" t="n"/>
      <c r="C668" s="34" t="n"/>
      <c r="D668" s="31" t="n"/>
      <c r="E668" s="24" t="n"/>
      <c r="F668" s="24" t="n"/>
      <c r="G668" s="24" t="n"/>
      <c r="H668" s="24" t="n"/>
      <c r="I668" s="24" t="n"/>
      <c r="J668" s="34" t="n"/>
      <c r="K668" s="24" t="n"/>
      <c r="L668" s="24" t="n"/>
      <c r="M668" s="24" t="n"/>
      <c r="N668" s="24" t="n"/>
      <c r="O668" s="34" t="n"/>
      <c r="P668" s="24" t="n"/>
      <c r="Q668" s="24" t="n"/>
      <c r="R668" s="24" t="n"/>
    </row>
    <row r="669" ht="15" customHeight="1" s="21">
      <c r="A669" s="34" t="n"/>
      <c r="B669" s="35" t="n"/>
      <c r="C669" s="34" t="n"/>
      <c r="D669" s="31" t="n"/>
      <c r="E669" s="24" t="n"/>
      <c r="F669" s="24" t="n"/>
      <c r="G669" s="24" t="n"/>
      <c r="H669" s="24" t="n"/>
      <c r="I669" s="24" t="n"/>
      <c r="J669" s="34" t="n"/>
      <c r="K669" s="24" t="n"/>
      <c r="L669" s="24" t="n"/>
      <c r="M669" s="24" t="n"/>
      <c r="N669" s="24" t="n"/>
      <c r="O669" s="34" t="n"/>
      <c r="P669" s="24" t="n"/>
      <c r="Q669" s="24" t="n"/>
      <c r="R669" s="24" t="n"/>
    </row>
    <row r="670" ht="15" customHeight="1" s="21">
      <c r="A670" s="34" t="n"/>
      <c r="B670" s="35" t="n"/>
      <c r="C670" s="34" t="n"/>
      <c r="D670" s="31" t="n"/>
      <c r="E670" s="24" t="n"/>
      <c r="F670" s="24" t="n"/>
      <c r="G670" s="24" t="n"/>
      <c r="H670" s="24" t="n"/>
      <c r="I670" s="24" t="n"/>
      <c r="J670" s="34" t="n"/>
      <c r="K670" s="24" t="n"/>
      <c r="L670" s="24" t="n"/>
      <c r="M670" s="24" t="n"/>
      <c r="N670" s="24" t="n"/>
      <c r="O670" s="34" t="n"/>
      <c r="P670" s="24" t="n"/>
      <c r="Q670" s="24" t="n"/>
      <c r="R670" s="24" t="n"/>
    </row>
    <row r="671" ht="15" customHeight="1" s="21">
      <c r="A671" s="34" t="n"/>
      <c r="B671" s="35" t="n"/>
      <c r="C671" s="34" t="n"/>
      <c r="D671" s="31" t="n"/>
      <c r="E671" s="24" t="n"/>
      <c r="F671" s="24" t="n"/>
      <c r="G671" s="24" t="n"/>
      <c r="H671" s="24" t="n"/>
      <c r="I671" s="24" t="n"/>
      <c r="J671" s="34" t="n"/>
      <c r="K671" s="24" t="n"/>
      <c r="L671" s="24" t="n"/>
      <c r="M671" s="24" t="n"/>
      <c r="N671" s="24" t="n"/>
      <c r="O671" s="34" t="n"/>
      <c r="P671" s="24" t="n"/>
      <c r="Q671" s="24" t="n"/>
      <c r="R671" s="24" t="n"/>
    </row>
    <row r="672" ht="15" customHeight="1" s="21">
      <c r="A672" s="34" t="n"/>
      <c r="B672" s="35" t="n"/>
      <c r="C672" s="34" t="n"/>
      <c r="D672" s="31" t="n"/>
      <c r="E672" s="24" t="n"/>
      <c r="F672" s="24" t="n"/>
      <c r="G672" s="24" t="n"/>
      <c r="H672" s="24" t="n"/>
      <c r="I672" s="24" t="n"/>
      <c r="J672" s="34" t="n"/>
      <c r="K672" s="24" t="n"/>
      <c r="L672" s="24" t="n"/>
      <c r="M672" s="24" t="n"/>
      <c r="N672" s="24" t="n"/>
      <c r="O672" s="34" t="n"/>
      <c r="P672" s="24" t="n"/>
      <c r="Q672" s="24" t="n"/>
      <c r="R672" s="24" t="n"/>
    </row>
    <row r="673" ht="15" customHeight="1" s="21">
      <c r="A673" s="34" t="n"/>
      <c r="B673" s="35" t="n"/>
      <c r="C673" s="34" t="n"/>
      <c r="D673" s="31" t="n"/>
      <c r="E673" s="24" t="n"/>
      <c r="F673" s="24" t="n"/>
      <c r="G673" s="24" t="n"/>
      <c r="H673" s="24" t="n"/>
      <c r="I673" s="24" t="n"/>
      <c r="J673" s="34" t="n"/>
      <c r="K673" s="24" t="n"/>
      <c r="L673" s="24" t="n"/>
      <c r="M673" s="24" t="n"/>
      <c r="N673" s="24" t="n"/>
      <c r="O673" s="34" t="n"/>
      <c r="P673" s="24" t="n"/>
      <c r="Q673" s="24" t="n"/>
      <c r="R673" s="24" t="n"/>
    </row>
    <row r="674" ht="15" customHeight="1" s="21">
      <c r="A674" s="34" t="n"/>
      <c r="B674" s="35" t="n"/>
      <c r="C674" s="34" t="n"/>
      <c r="D674" s="31" t="n"/>
      <c r="E674" s="24" t="n"/>
      <c r="F674" s="24" t="n"/>
      <c r="G674" s="24" t="n"/>
      <c r="H674" s="24" t="n"/>
      <c r="I674" s="24" t="n"/>
      <c r="J674" s="34" t="n"/>
      <c r="K674" s="24" t="n"/>
      <c r="L674" s="24" t="n"/>
      <c r="M674" s="24" t="n"/>
      <c r="N674" s="24" t="n"/>
      <c r="O674" s="34" t="n"/>
      <c r="P674" s="24" t="n"/>
      <c r="Q674" s="24" t="n"/>
      <c r="R674" s="24" t="n"/>
    </row>
    <row r="675" ht="15" customHeight="1" s="21">
      <c r="A675" s="34" t="n"/>
      <c r="B675" s="35" t="n"/>
      <c r="C675" s="34" t="n"/>
      <c r="D675" s="31" t="n"/>
      <c r="E675" s="24" t="n"/>
      <c r="F675" s="24" t="n"/>
      <c r="G675" s="24" t="n"/>
      <c r="H675" s="24" t="n"/>
      <c r="I675" s="24" t="n"/>
      <c r="J675" s="34" t="n"/>
      <c r="K675" s="24" t="n"/>
      <c r="L675" s="24" t="n"/>
      <c r="M675" s="24" t="n"/>
      <c r="N675" s="24" t="n"/>
      <c r="O675" s="34" t="n"/>
      <c r="P675" s="24" t="n"/>
      <c r="Q675" s="24" t="n"/>
      <c r="R675" s="24" t="n"/>
    </row>
    <row r="676" ht="15" customHeight="1" s="21">
      <c r="A676" s="34" t="n"/>
      <c r="B676" s="35" t="n"/>
      <c r="C676" s="34" t="n"/>
      <c r="D676" s="31" t="n"/>
      <c r="E676" s="24" t="n"/>
      <c r="F676" s="24" t="n"/>
      <c r="G676" s="24" t="n"/>
      <c r="H676" s="24" t="n"/>
      <c r="I676" s="24" t="n"/>
      <c r="J676" s="34" t="n"/>
      <c r="K676" s="24" t="n"/>
      <c r="L676" s="24" t="n"/>
      <c r="M676" s="24" t="n"/>
      <c r="N676" s="24" t="n"/>
      <c r="O676" s="34" t="n"/>
      <c r="P676" s="24" t="n"/>
      <c r="Q676" s="24" t="n"/>
      <c r="R676" s="24" t="n"/>
    </row>
    <row r="677" ht="15" customHeight="1" s="21">
      <c r="A677" s="34" t="n"/>
      <c r="B677" s="35" t="n"/>
      <c r="C677" s="34" t="n"/>
      <c r="D677" s="31" t="n"/>
      <c r="E677" s="24" t="n"/>
      <c r="F677" s="24" t="n"/>
      <c r="G677" s="24" t="n"/>
      <c r="H677" s="24" t="n"/>
      <c r="I677" s="24" t="n"/>
      <c r="J677" s="34" t="n"/>
      <c r="K677" s="24" t="n"/>
      <c r="L677" s="24" t="n"/>
      <c r="M677" s="24" t="n"/>
      <c r="N677" s="24" t="n"/>
      <c r="O677" s="34" t="n"/>
      <c r="P677" s="24" t="n"/>
      <c r="Q677" s="24" t="n"/>
      <c r="R677" s="24" t="n"/>
    </row>
    <row r="678" ht="15" customHeight="1" s="21">
      <c r="A678" s="34" t="n"/>
      <c r="B678" s="35" t="n"/>
      <c r="C678" s="34" t="n"/>
      <c r="D678" s="31" t="n"/>
      <c r="E678" s="24" t="n"/>
      <c r="F678" s="24" t="n"/>
      <c r="G678" s="24" t="n"/>
      <c r="H678" s="24" t="n"/>
      <c r="I678" s="24" t="n"/>
      <c r="J678" s="34" t="n"/>
      <c r="K678" s="24" t="n"/>
      <c r="L678" s="24" t="n"/>
      <c r="M678" s="24" t="n"/>
      <c r="N678" s="24" t="n"/>
      <c r="O678" s="34" t="n"/>
      <c r="P678" s="24" t="n"/>
      <c r="Q678" s="24" t="n"/>
      <c r="R678" s="24" t="n"/>
    </row>
    <row r="679" ht="15" customHeight="1" s="21">
      <c r="A679" s="34" t="n"/>
      <c r="B679" s="35" t="n"/>
      <c r="C679" s="34" t="n"/>
      <c r="D679" s="31" t="n"/>
      <c r="E679" s="24" t="n"/>
      <c r="F679" s="24" t="n"/>
      <c r="G679" s="24" t="n"/>
      <c r="H679" s="24" t="n"/>
      <c r="I679" s="24" t="n"/>
      <c r="J679" s="34" t="n"/>
      <c r="K679" s="24" t="n"/>
      <c r="L679" s="24" t="n"/>
      <c r="M679" s="24" t="n"/>
      <c r="N679" s="24" t="n"/>
      <c r="O679" s="34" t="n"/>
      <c r="P679" s="24" t="n"/>
      <c r="Q679" s="24" t="n"/>
      <c r="R679" s="24" t="n"/>
    </row>
    <row r="680" ht="15" customHeight="1" s="21">
      <c r="A680" s="34" t="n"/>
      <c r="B680" s="35" t="n"/>
      <c r="C680" s="34" t="n"/>
      <c r="D680" s="31" t="n"/>
      <c r="E680" s="24" t="n"/>
      <c r="F680" s="24" t="n"/>
      <c r="G680" s="24" t="n"/>
      <c r="H680" s="24" t="n"/>
      <c r="I680" s="24" t="n"/>
      <c r="J680" s="34" t="n"/>
      <c r="K680" s="24" t="n"/>
      <c r="L680" s="24" t="n"/>
      <c r="M680" s="24" t="n"/>
      <c r="N680" s="24" t="n"/>
      <c r="O680" s="34" t="n"/>
      <c r="P680" s="24" t="n"/>
      <c r="Q680" s="24" t="n"/>
      <c r="R680" s="24" t="n"/>
    </row>
    <row r="681" ht="15" customHeight="1" s="21">
      <c r="A681" s="34" t="n"/>
      <c r="B681" s="35" t="n"/>
      <c r="C681" s="34" t="n"/>
      <c r="D681" s="31" t="n"/>
      <c r="E681" s="24" t="n"/>
      <c r="F681" s="24" t="n"/>
      <c r="G681" s="24" t="n"/>
      <c r="H681" s="24" t="n"/>
      <c r="I681" s="24" t="n"/>
      <c r="J681" s="34" t="n"/>
      <c r="K681" s="24" t="n"/>
      <c r="L681" s="24" t="n"/>
      <c r="M681" s="24" t="n"/>
      <c r="N681" s="24" t="n"/>
      <c r="O681" s="34" t="n"/>
      <c r="P681" s="24" t="n"/>
      <c r="Q681" s="24" t="n"/>
      <c r="R681" s="24" t="n"/>
    </row>
    <row r="682" ht="15" customHeight="1" s="21">
      <c r="A682" s="34" t="n"/>
      <c r="B682" s="35" t="n"/>
      <c r="C682" s="34" t="n"/>
      <c r="D682" s="31" t="n"/>
      <c r="E682" s="24" t="n"/>
      <c r="F682" s="24" t="n"/>
      <c r="G682" s="24" t="n"/>
      <c r="H682" s="24" t="n"/>
      <c r="I682" s="24" t="n"/>
      <c r="J682" s="34" t="n"/>
      <c r="K682" s="24" t="n"/>
      <c r="L682" s="24" t="n"/>
      <c r="M682" s="24" t="n"/>
      <c r="N682" s="24" t="n"/>
      <c r="O682" s="34" t="n"/>
      <c r="P682" s="24" t="n"/>
      <c r="Q682" s="24" t="n"/>
      <c r="R682" s="24" t="n"/>
    </row>
    <row r="683" ht="15" customHeight="1" s="21">
      <c r="A683" s="34" t="n"/>
      <c r="B683" s="35" t="n"/>
      <c r="C683" s="34" t="n"/>
      <c r="D683" s="31" t="n"/>
      <c r="E683" s="24" t="n"/>
      <c r="F683" s="24" t="n"/>
      <c r="G683" s="24" t="n"/>
      <c r="H683" s="24" t="n"/>
      <c r="I683" s="24" t="n"/>
      <c r="J683" s="34" t="n"/>
      <c r="K683" s="24" t="n"/>
      <c r="L683" s="24" t="n"/>
      <c r="M683" s="24" t="n"/>
      <c r="N683" s="24" t="n"/>
      <c r="O683" s="34" t="n"/>
      <c r="P683" s="24" t="n"/>
      <c r="Q683" s="24" t="n"/>
      <c r="R683" s="24" t="n"/>
    </row>
    <row r="684" ht="15" customHeight="1" s="21">
      <c r="A684" s="34" t="n"/>
      <c r="B684" s="35" t="n"/>
      <c r="C684" s="34" t="n"/>
      <c r="D684" s="31" t="n"/>
      <c r="E684" s="24" t="n"/>
      <c r="F684" s="24" t="n"/>
      <c r="G684" s="24" t="n"/>
      <c r="H684" s="24" t="n"/>
      <c r="I684" s="24" t="n"/>
      <c r="J684" s="34" t="n"/>
      <c r="K684" s="24" t="n"/>
      <c r="L684" s="24" t="n"/>
      <c r="M684" s="24" t="n"/>
      <c r="N684" s="24" t="n"/>
      <c r="O684" s="34" t="n"/>
      <c r="P684" s="24" t="n"/>
      <c r="Q684" s="24" t="n"/>
      <c r="R684" s="24" t="n"/>
    </row>
    <row r="685" ht="15" customHeight="1" s="21">
      <c r="A685" s="34" t="n"/>
      <c r="B685" s="35" t="n"/>
      <c r="C685" s="34" t="n"/>
      <c r="D685" s="31" t="n"/>
      <c r="E685" s="24" t="n"/>
      <c r="F685" s="24" t="n"/>
      <c r="G685" s="24" t="n"/>
      <c r="H685" s="24" t="n"/>
      <c r="I685" s="24" t="n"/>
      <c r="J685" s="34" t="n"/>
      <c r="K685" s="24" t="n"/>
      <c r="L685" s="24" t="n"/>
      <c r="M685" s="24" t="n"/>
      <c r="N685" s="24" t="n"/>
      <c r="O685" s="34" t="n"/>
      <c r="P685" s="24" t="n"/>
      <c r="Q685" s="24" t="n"/>
      <c r="R685" s="24" t="n"/>
    </row>
    <row r="686" ht="15" customHeight="1" s="21">
      <c r="A686" s="34" t="n"/>
      <c r="B686" s="35" t="n"/>
      <c r="C686" s="34" t="n"/>
      <c r="D686" s="31" t="n"/>
      <c r="E686" s="24" t="n"/>
      <c r="F686" s="24" t="n"/>
      <c r="G686" s="24" t="n"/>
      <c r="H686" s="24" t="n"/>
      <c r="I686" s="24" t="n"/>
      <c r="J686" s="34" t="n"/>
      <c r="K686" s="24" t="n"/>
      <c r="L686" s="24" t="n"/>
      <c r="M686" s="24" t="n"/>
      <c r="N686" s="24" t="n"/>
      <c r="O686" s="34" t="n"/>
      <c r="P686" s="24" t="n"/>
      <c r="Q686" s="24" t="n"/>
      <c r="R686" s="24" t="n"/>
    </row>
    <row r="687" ht="15" customHeight="1" s="21">
      <c r="A687" s="34" t="n"/>
      <c r="B687" s="35" t="n"/>
      <c r="C687" s="34" t="n"/>
      <c r="D687" s="31" t="n"/>
      <c r="E687" s="24" t="n"/>
      <c r="F687" s="24" t="n"/>
      <c r="G687" s="24" t="n"/>
      <c r="H687" s="24" t="n"/>
      <c r="I687" s="24" t="n"/>
      <c r="J687" s="34" t="n"/>
      <c r="K687" s="24" t="n"/>
      <c r="L687" s="24" t="n"/>
      <c r="M687" s="24" t="n"/>
      <c r="N687" s="24" t="n"/>
      <c r="O687" s="34" t="n"/>
      <c r="P687" s="24" t="n"/>
      <c r="Q687" s="24" t="n"/>
      <c r="R687" s="24" t="n"/>
    </row>
    <row r="688" ht="15" customHeight="1" s="21">
      <c r="A688" s="34" t="n"/>
      <c r="B688" s="35" t="n"/>
      <c r="C688" s="34" t="n"/>
      <c r="D688" s="31" t="n"/>
      <c r="E688" s="24" t="n"/>
      <c r="F688" s="24" t="n"/>
      <c r="G688" s="24" t="n"/>
      <c r="H688" s="24" t="n"/>
      <c r="I688" s="24" t="n"/>
      <c r="J688" s="34" t="n"/>
      <c r="K688" s="24" t="n"/>
      <c r="L688" s="24" t="n"/>
      <c r="M688" s="24" t="n"/>
      <c r="N688" s="24" t="n"/>
      <c r="O688" s="34" t="n"/>
      <c r="P688" s="24" t="n"/>
      <c r="Q688" s="24" t="n"/>
      <c r="R688" s="24" t="n"/>
    </row>
    <row r="689" ht="15" customHeight="1" s="21">
      <c r="A689" s="34" t="n"/>
      <c r="B689" s="35" t="n"/>
      <c r="C689" s="34" t="n"/>
      <c r="D689" s="31" t="n"/>
      <c r="E689" s="24" t="n"/>
      <c r="F689" s="24" t="n"/>
      <c r="G689" s="24" t="n"/>
      <c r="H689" s="24" t="n"/>
      <c r="I689" s="24" t="n"/>
      <c r="J689" s="34" t="n"/>
      <c r="K689" s="24" t="n"/>
      <c r="L689" s="24" t="n"/>
      <c r="M689" s="24" t="n"/>
      <c r="N689" s="24" t="n"/>
      <c r="O689" s="34" t="n"/>
      <c r="P689" s="24" t="n"/>
      <c r="Q689" s="24" t="n"/>
      <c r="R689" s="24" t="n"/>
    </row>
    <row r="690" ht="15" customHeight="1" s="21">
      <c r="A690" s="34" t="n"/>
      <c r="B690" s="35" t="n"/>
      <c r="C690" s="34" t="n"/>
      <c r="D690" s="31" t="n"/>
      <c r="E690" s="24" t="n"/>
      <c r="F690" s="24" t="n"/>
      <c r="G690" s="24" t="n"/>
      <c r="H690" s="24" t="n"/>
      <c r="I690" s="24" t="n"/>
      <c r="J690" s="34" t="n"/>
      <c r="K690" s="24" t="n"/>
      <c r="L690" s="24" t="n"/>
      <c r="M690" s="24" t="n"/>
      <c r="N690" s="24" t="n"/>
      <c r="O690" s="34" t="n"/>
      <c r="P690" s="24" t="n"/>
      <c r="Q690" s="24" t="n"/>
      <c r="R690" s="24" t="n"/>
    </row>
    <row r="691" ht="15" customHeight="1" s="21">
      <c r="A691" s="34" t="n"/>
      <c r="B691" s="35" t="n"/>
      <c r="C691" s="34" t="n"/>
      <c r="D691" s="31" t="n"/>
      <c r="E691" s="24" t="n"/>
      <c r="F691" s="24" t="n"/>
      <c r="G691" s="24" t="n"/>
      <c r="H691" s="24" t="n"/>
      <c r="I691" s="24" t="n"/>
      <c r="J691" s="34" t="n"/>
      <c r="K691" s="24" t="n"/>
      <c r="L691" s="24" t="n"/>
      <c r="M691" s="24" t="n"/>
      <c r="N691" s="24" t="n"/>
      <c r="O691" s="34" t="n"/>
      <c r="P691" s="24" t="n"/>
      <c r="Q691" s="24" t="n"/>
      <c r="R691" s="24" t="n"/>
    </row>
    <row r="692" ht="15" customHeight="1" s="21">
      <c r="A692" s="34" t="n"/>
      <c r="B692" s="35" t="n"/>
      <c r="C692" s="34" t="n"/>
      <c r="D692" s="31" t="n"/>
      <c r="E692" s="24" t="n"/>
      <c r="F692" s="24" t="n"/>
      <c r="G692" s="24" t="n"/>
      <c r="H692" s="24" t="n"/>
      <c r="I692" s="24" t="n"/>
      <c r="J692" s="34" t="n"/>
      <c r="K692" s="24" t="n"/>
      <c r="L692" s="24" t="n"/>
      <c r="M692" s="24" t="n"/>
      <c r="N692" s="24" t="n"/>
      <c r="O692" s="34" t="n"/>
      <c r="P692" s="24" t="n"/>
      <c r="Q692" s="24" t="n"/>
      <c r="R692" s="24" t="n"/>
    </row>
    <row r="693" ht="15" customHeight="1" s="21">
      <c r="A693" s="34" t="n"/>
      <c r="B693" s="35" t="n"/>
      <c r="C693" s="34" t="n"/>
      <c r="D693" s="31" t="n"/>
      <c r="E693" s="24" t="n"/>
      <c r="F693" s="24" t="n"/>
      <c r="G693" s="24" t="n"/>
      <c r="H693" s="24" t="n"/>
      <c r="I693" s="24" t="n"/>
      <c r="J693" s="34" t="n"/>
      <c r="K693" s="24" t="n"/>
      <c r="L693" s="24" t="n"/>
      <c r="M693" s="24" t="n"/>
      <c r="N693" s="24" t="n"/>
      <c r="O693" s="34" t="n"/>
      <c r="P693" s="24" t="n"/>
      <c r="Q693" s="24" t="n"/>
      <c r="R693" s="24" t="n"/>
    </row>
    <row r="694" ht="15" customHeight="1" s="21">
      <c r="A694" s="34" t="n"/>
      <c r="B694" s="35" t="n"/>
      <c r="C694" s="34" t="n"/>
      <c r="D694" s="31" t="n"/>
      <c r="E694" s="24" t="n"/>
      <c r="F694" s="24" t="n"/>
      <c r="G694" s="24" t="n"/>
      <c r="H694" s="24" t="n"/>
      <c r="I694" s="24" t="n"/>
      <c r="J694" s="34" t="n"/>
      <c r="K694" s="24" t="n"/>
      <c r="L694" s="24" t="n"/>
      <c r="M694" s="24" t="n"/>
      <c r="N694" s="24" t="n"/>
      <c r="O694" s="34" t="n"/>
      <c r="P694" s="24" t="n"/>
      <c r="Q694" s="24" t="n"/>
      <c r="R694" s="24" t="n"/>
    </row>
    <row r="695" ht="15" customHeight="1" s="21">
      <c r="A695" s="34" t="n"/>
      <c r="B695" s="35" t="n"/>
      <c r="C695" s="34" t="n"/>
      <c r="D695" s="31" t="n"/>
      <c r="E695" s="24" t="n"/>
      <c r="F695" s="24" t="n"/>
      <c r="G695" s="24" t="n"/>
      <c r="H695" s="24" t="n"/>
      <c r="I695" s="24" t="n"/>
      <c r="J695" s="34" t="n"/>
      <c r="K695" s="24" t="n"/>
      <c r="L695" s="24" t="n"/>
      <c r="M695" s="24" t="n"/>
      <c r="N695" s="24" t="n"/>
      <c r="O695" s="34" t="n"/>
      <c r="P695" s="24" t="n"/>
      <c r="Q695" s="24" t="n"/>
      <c r="R695" s="24" t="n"/>
    </row>
    <row r="696" ht="15" customHeight="1" s="21">
      <c r="A696" s="34" t="n"/>
      <c r="B696" s="35" t="n"/>
      <c r="C696" s="34" t="n"/>
      <c r="D696" s="31" t="n"/>
      <c r="E696" s="24" t="n"/>
      <c r="F696" s="24" t="n"/>
      <c r="G696" s="24" t="n"/>
      <c r="H696" s="24" t="n"/>
      <c r="I696" s="24" t="n"/>
      <c r="J696" s="34" t="n"/>
      <c r="K696" s="24" t="n"/>
      <c r="L696" s="24" t="n"/>
      <c r="M696" s="24" t="n"/>
      <c r="N696" s="24" t="n"/>
      <c r="O696" s="34" t="n"/>
      <c r="P696" s="24" t="n"/>
      <c r="Q696" s="24" t="n"/>
      <c r="R696" s="24" t="n"/>
    </row>
    <row r="697" ht="15" customHeight="1" s="21">
      <c r="A697" s="34" t="n"/>
      <c r="B697" s="35" t="n"/>
      <c r="C697" s="34" t="n"/>
      <c r="D697" s="31" t="n"/>
      <c r="E697" s="24" t="n"/>
      <c r="F697" s="24" t="n"/>
      <c r="G697" s="24" t="n"/>
      <c r="H697" s="24" t="n"/>
      <c r="I697" s="24" t="n"/>
      <c r="J697" s="34" t="n"/>
      <c r="K697" s="24" t="n"/>
      <c r="L697" s="24" t="n"/>
      <c r="M697" s="24" t="n"/>
      <c r="N697" s="24" t="n"/>
      <c r="O697" s="34" t="n"/>
      <c r="P697" s="24" t="n"/>
      <c r="Q697" s="24" t="n"/>
      <c r="R697" s="24" t="n"/>
    </row>
    <row r="698" ht="15" customHeight="1" s="21">
      <c r="A698" s="34" t="n"/>
      <c r="B698" s="35" t="n"/>
      <c r="C698" s="34" t="n"/>
      <c r="D698" s="31" t="n"/>
      <c r="E698" s="24" t="n"/>
      <c r="F698" s="24" t="n"/>
      <c r="G698" s="24" t="n"/>
      <c r="H698" s="24" t="n"/>
      <c r="I698" s="24" t="n"/>
      <c r="J698" s="34" t="n"/>
      <c r="K698" s="24" t="n"/>
      <c r="L698" s="24" t="n"/>
      <c r="M698" s="24" t="n"/>
      <c r="N698" s="24" t="n"/>
      <c r="O698" s="34" t="n"/>
      <c r="P698" s="24" t="n"/>
      <c r="Q698" s="24" t="n"/>
      <c r="R698" s="24" t="n"/>
    </row>
    <row r="699" ht="15" customHeight="1" s="21">
      <c r="A699" s="34" t="n"/>
      <c r="B699" s="35" t="n"/>
      <c r="C699" s="34" t="n"/>
      <c r="D699" s="31" t="n"/>
      <c r="E699" s="24" t="n"/>
      <c r="F699" s="24" t="n"/>
      <c r="G699" s="24" t="n"/>
      <c r="H699" s="24" t="n"/>
      <c r="I699" s="24" t="n"/>
      <c r="J699" s="34" t="n"/>
      <c r="K699" s="24" t="n"/>
      <c r="L699" s="24" t="n"/>
      <c r="M699" s="24" t="n"/>
      <c r="N699" s="24" t="n"/>
      <c r="O699" s="34" t="n"/>
      <c r="P699" s="24" t="n"/>
      <c r="Q699" s="24" t="n"/>
      <c r="R699" s="24" t="n"/>
    </row>
    <row r="700" ht="15" customHeight="1" s="21">
      <c r="A700" s="34" t="n"/>
      <c r="B700" s="35" t="n"/>
      <c r="C700" s="34" t="n"/>
      <c r="D700" s="31" t="n"/>
      <c r="E700" s="24" t="n"/>
      <c r="F700" s="24" t="n"/>
      <c r="G700" s="24" t="n"/>
      <c r="H700" s="24" t="n"/>
      <c r="I700" s="24" t="n"/>
      <c r="J700" s="34" t="n"/>
      <c r="K700" s="24" t="n"/>
      <c r="L700" s="24" t="n"/>
      <c r="M700" s="24" t="n"/>
      <c r="N700" s="24" t="n"/>
      <c r="O700" s="34" t="n"/>
      <c r="P700" s="24" t="n"/>
      <c r="Q700" s="24" t="n"/>
      <c r="R700" s="24" t="n"/>
    </row>
    <row r="701" ht="15" customHeight="1" s="21">
      <c r="A701" s="34" t="n"/>
      <c r="B701" s="35" t="n"/>
      <c r="C701" s="34" t="n"/>
      <c r="D701" s="31" t="n"/>
      <c r="E701" s="24" t="n"/>
      <c r="F701" s="24" t="n"/>
      <c r="G701" s="24" t="n"/>
      <c r="H701" s="24" t="n"/>
      <c r="I701" s="24" t="n"/>
      <c r="J701" s="34" t="n"/>
      <c r="K701" s="24" t="n"/>
      <c r="L701" s="24" t="n"/>
      <c r="M701" s="24" t="n"/>
      <c r="N701" s="24" t="n"/>
      <c r="O701" s="34" t="n"/>
      <c r="P701" s="24" t="n"/>
      <c r="Q701" s="24" t="n"/>
      <c r="R701" s="24" t="n"/>
    </row>
    <row r="702" ht="15" customHeight="1" s="21">
      <c r="A702" s="34" t="n"/>
      <c r="B702" s="35" t="n"/>
      <c r="C702" s="34" t="n"/>
      <c r="D702" s="31" t="n"/>
      <c r="E702" s="24" t="n"/>
      <c r="F702" s="24" t="n"/>
      <c r="G702" s="24" t="n"/>
      <c r="H702" s="24" t="n"/>
      <c r="I702" s="24" t="n"/>
      <c r="J702" s="34" t="n"/>
      <c r="K702" s="24" t="n"/>
      <c r="L702" s="24" t="n"/>
      <c r="M702" s="24" t="n"/>
      <c r="N702" s="24" t="n"/>
      <c r="O702" s="34" t="n"/>
      <c r="P702" s="24" t="n"/>
      <c r="Q702" s="24" t="n"/>
      <c r="R702" s="24" t="n"/>
    </row>
    <row r="703" ht="15" customHeight="1" s="21">
      <c r="A703" s="34" t="n"/>
      <c r="B703" s="35" t="n"/>
      <c r="C703" s="34" t="n"/>
      <c r="D703" s="31" t="n"/>
      <c r="E703" s="24" t="n"/>
      <c r="F703" s="24" t="n"/>
      <c r="G703" s="24" t="n"/>
      <c r="H703" s="24" t="n"/>
      <c r="I703" s="24" t="n"/>
      <c r="J703" s="34" t="n"/>
      <c r="K703" s="24" t="n"/>
      <c r="L703" s="24" t="n"/>
      <c r="M703" s="24" t="n"/>
      <c r="N703" s="24" t="n"/>
      <c r="O703" s="34" t="n"/>
      <c r="P703" s="24" t="n"/>
      <c r="Q703" s="24" t="n"/>
      <c r="R703" s="24" t="n"/>
    </row>
    <row r="704" ht="15" customHeight="1" s="21">
      <c r="A704" s="34" t="n"/>
      <c r="B704" s="35" t="n"/>
      <c r="C704" s="34" t="n"/>
      <c r="D704" s="31" t="n"/>
      <c r="E704" s="24" t="n"/>
      <c r="F704" s="24" t="n"/>
      <c r="G704" s="24" t="n"/>
      <c r="H704" s="24" t="n"/>
      <c r="I704" s="24" t="n"/>
      <c r="J704" s="34" t="n"/>
      <c r="K704" s="24" t="n"/>
      <c r="L704" s="24" t="n"/>
      <c r="M704" s="24" t="n"/>
      <c r="N704" s="24" t="n"/>
      <c r="O704" s="34" t="n"/>
      <c r="P704" s="24" t="n"/>
      <c r="Q704" s="24" t="n"/>
      <c r="R704" s="24" t="n"/>
    </row>
    <row r="705" ht="15" customHeight="1" s="21">
      <c r="A705" s="34" t="n"/>
      <c r="B705" s="35" t="n"/>
      <c r="C705" s="34" t="n"/>
      <c r="D705" s="31" t="n"/>
      <c r="E705" s="24" t="n"/>
      <c r="F705" s="24" t="n"/>
      <c r="G705" s="24" t="n"/>
      <c r="H705" s="24" t="n"/>
      <c r="I705" s="24" t="n"/>
      <c r="J705" s="34" t="n"/>
      <c r="K705" s="24" t="n"/>
      <c r="L705" s="24" t="n"/>
      <c r="M705" s="24" t="n"/>
      <c r="N705" s="24" t="n"/>
      <c r="O705" s="34" t="n"/>
      <c r="P705" s="24" t="n"/>
      <c r="Q705" s="24" t="n"/>
      <c r="R705" s="24" t="n"/>
    </row>
    <row r="706" ht="15" customHeight="1" s="21">
      <c r="A706" s="34" t="n"/>
      <c r="B706" s="35" t="n"/>
      <c r="C706" s="34" t="n"/>
      <c r="D706" s="31" t="n"/>
      <c r="E706" s="24" t="n"/>
      <c r="F706" s="24" t="n"/>
      <c r="G706" s="24" t="n"/>
      <c r="H706" s="24" t="n"/>
      <c r="I706" s="24" t="n"/>
      <c r="J706" s="34" t="n"/>
      <c r="K706" s="24" t="n"/>
      <c r="L706" s="24" t="n"/>
      <c r="M706" s="24" t="n"/>
      <c r="N706" s="24" t="n"/>
      <c r="O706" s="34" t="n"/>
      <c r="P706" s="24" t="n"/>
      <c r="Q706" s="24" t="n"/>
      <c r="R706" s="24" t="n"/>
    </row>
    <row r="707" ht="15" customHeight="1" s="21">
      <c r="A707" s="34" t="n"/>
      <c r="B707" s="35" t="n"/>
      <c r="C707" s="34" t="n"/>
      <c r="D707" s="31" t="n"/>
      <c r="E707" s="24" t="n"/>
      <c r="F707" s="24" t="n"/>
      <c r="G707" s="24" t="n"/>
      <c r="H707" s="24" t="n"/>
      <c r="I707" s="24" t="n"/>
      <c r="J707" s="34" t="n"/>
      <c r="K707" s="24" t="n"/>
      <c r="L707" s="24" t="n"/>
      <c r="M707" s="24" t="n"/>
      <c r="N707" s="24" t="n"/>
      <c r="O707" s="34" t="n"/>
      <c r="P707" s="24" t="n"/>
      <c r="Q707" s="24" t="n"/>
      <c r="R707" s="24" t="n"/>
    </row>
    <row r="708" ht="15" customHeight="1" s="21">
      <c r="A708" s="34" t="n"/>
      <c r="B708" s="35" t="n"/>
      <c r="C708" s="34" t="n"/>
      <c r="D708" s="31" t="n"/>
      <c r="E708" s="24" t="n"/>
      <c r="F708" s="24" t="n"/>
      <c r="G708" s="24" t="n"/>
      <c r="H708" s="24" t="n"/>
      <c r="I708" s="24" t="n"/>
      <c r="J708" s="34" t="n"/>
      <c r="K708" s="24" t="n"/>
      <c r="L708" s="24" t="n"/>
      <c r="M708" s="24" t="n"/>
      <c r="N708" s="24" t="n"/>
      <c r="O708" s="34" t="n"/>
      <c r="P708" s="24" t="n"/>
      <c r="Q708" s="24" t="n"/>
      <c r="R708" s="24" t="n"/>
    </row>
    <row r="709" ht="15" customHeight="1" s="21">
      <c r="A709" s="34" t="n"/>
      <c r="B709" s="35" t="n"/>
      <c r="C709" s="34" t="n"/>
      <c r="D709" s="31" t="n"/>
      <c r="E709" s="24" t="n"/>
      <c r="F709" s="24" t="n"/>
      <c r="G709" s="24" t="n"/>
      <c r="H709" s="24" t="n"/>
      <c r="I709" s="24" t="n"/>
      <c r="J709" s="34" t="n"/>
      <c r="K709" s="24" t="n"/>
      <c r="L709" s="24" t="n"/>
      <c r="M709" s="24" t="n"/>
      <c r="N709" s="24" t="n"/>
      <c r="O709" s="34" t="n"/>
      <c r="P709" s="24" t="n"/>
      <c r="Q709" s="24" t="n"/>
      <c r="R709" s="24" t="n"/>
    </row>
    <row r="710" ht="15" customHeight="1" s="21">
      <c r="A710" s="34" t="n"/>
      <c r="B710" s="35" t="n"/>
      <c r="C710" s="34" t="n"/>
      <c r="D710" s="31" t="n"/>
      <c r="E710" s="24" t="n"/>
      <c r="F710" s="24" t="n"/>
      <c r="G710" s="24" t="n"/>
      <c r="H710" s="24" t="n"/>
      <c r="I710" s="24" t="n"/>
      <c r="J710" s="34" t="n"/>
      <c r="K710" s="24" t="n"/>
      <c r="L710" s="24" t="n"/>
      <c r="M710" s="24" t="n"/>
      <c r="N710" s="24" t="n"/>
      <c r="O710" s="34" t="n"/>
      <c r="P710" s="24" t="n"/>
      <c r="Q710" s="24" t="n"/>
      <c r="R710" s="24" t="n"/>
    </row>
    <row r="711" ht="15" customHeight="1" s="21">
      <c r="A711" s="34" t="n"/>
      <c r="B711" s="35" t="n"/>
      <c r="C711" s="34" t="n"/>
      <c r="D711" s="31" t="n"/>
      <c r="E711" s="24" t="n"/>
      <c r="F711" s="24" t="n"/>
      <c r="G711" s="24" t="n"/>
      <c r="H711" s="24" t="n"/>
      <c r="I711" s="24" t="n"/>
      <c r="J711" s="34" t="n"/>
      <c r="K711" s="24" t="n"/>
      <c r="L711" s="24" t="n"/>
      <c r="M711" s="24" t="n"/>
      <c r="N711" s="24" t="n"/>
      <c r="O711" s="34" t="n"/>
      <c r="P711" s="24" t="n"/>
      <c r="Q711" s="24" t="n"/>
      <c r="R711" s="24" t="n"/>
    </row>
    <row r="712" ht="15" customHeight="1" s="21">
      <c r="A712" s="34" t="n"/>
      <c r="B712" s="35" t="n"/>
      <c r="C712" s="34" t="n"/>
      <c r="D712" s="31" t="n"/>
      <c r="E712" s="24" t="n"/>
      <c r="F712" s="24" t="n"/>
      <c r="G712" s="24" t="n"/>
      <c r="H712" s="24" t="n"/>
      <c r="I712" s="24" t="n"/>
      <c r="J712" s="34" t="n"/>
      <c r="K712" s="24" t="n"/>
      <c r="L712" s="24" t="n"/>
      <c r="M712" s="24" t="n"/>
      <c r="N712" s="24" t="n"/>
      <c r="O712" s="34" t="n"/>
      <c r="P712" s="24" t="n"/>
      <c r="Q712" s="24" t="n"/>
      <c r="R712" s="24" t="n"/>
    </row>
    <row r="713" ht="15" customHeight="1" s="21">
      <c r="A713" s="34" t="n"/>
      <c r="B713" s="35" t="n"/>
      <c r="C713" s="34" t="n"/>
      <c r="D713" s="31" t="n"/>
      <c r="E713" s="24" t="n"/>
      <c r="F713" s="24" t="n"/>
      <c r="G713" s="24" t="n"/>
      <c r="H713" s="24" t="n"/>
      <c r="I713" s="24" t="n"/>
      <c r="J713" s="34" t="n"/>
      <c r="K713" s="24" t="n"/>
      <c r="L713" s="24" t="n"/>
      <c r="M713" s="24" t="n"/>
      <c r="N713" s="24" t="n"/>
      <c r="O713" s="34" t="n"/>
      <c r="P713" s="24" t="n"/>
      <c r="Q713" s="24" t="n"/>
      <c r="R713" s="24" t="n"/>
    </row>
    <row r="714" ht="15" customHeight="1" s="21">
      <c r="A714" s="34" t="n"/>
      <c r="B714" s="35" t="n"/>
      <c r="C714" s="34" t="n"/>
      <c r="D714" s="31" t="n"/>
      <c r="E714" s="24" t="n"/>
      <c r="F714" s="24" t="n"/>
      <c r="G714" s="24" t="n"/>
      <c r="H714" s="24" t="n"/>
      <c r="I714" s="24" t="n"/>
      <c r="J714" s="34" t="n"/>
      <c r="K714" s="24" t="n"/>
      <c r="L714" s="24" t="n"/>
      <c r="M714" s="24" t="n"/>
      <c r="N714" s="24" t="n"/>
      <c r="O714" s="34" t="n"/>
      <c r="P714" s="24" t="n"/>
      <c r="Q714" s="24" t="n"/>
      <c r="R714" s="24" t="n"/>
    </row>
    <row r="715" ht="15" customHeight="1" s="21">
      <c r="A715" s="34" t="n"/>
      <c r="B715" s="35" t="n"/>
      <c r="C715" s="34" t="n"/>
      <c r="D715" s="31" t="n"/>
      <c r="E715" s="24" t="n"/>
      <c r="F715" s="24" t="n"/>
      <c r="G715" s="24" t="n"/>
      <c r="H715" s="24" t="n"/>
      <c r="I715" s="24" t="n"/>
      <c r="J715" s="34" t="n"/>
      <c r="K715" s="24" t="n"/>
      <c r="L715" s="24" t="n"/>
      <c r="M715" s="24" t="n"/>
      <c r="N715" s="24" t="n"/>
      <c r="O715" s="34" t="n"/>
      <c r="P715" s="24" t="n"/>
      <c r="Q715" s="24" t="n"/>
      <c r="R715" s="24" t="n"/>
    </row>
    <row r="716" ht="15" customHeight="1" s="21">
      <c r="A716" s="34" t="n"/>
      <c r="B716" s="35" t="n"/>
      <c r="C716" s="34" t="n"/>
      <c r="D716" s="31" t="n"/>
      <c r="E716" s="24" t="n"/>
      <c r="F716" s="24" t="n"/>
      <c r="G716" s="24" t="n"/>
      <c r="H716" s="24" t="n"/>
      <c r="I716" s="24" t="n"/>
      <c r="J716" s="34" t="n"/>
      <c r="K716" s="24" t="n"/>
      <c r="L716" s="24" t="n"/>
      <c r="M716" s="24" t="n"/>
      <c r="N716" s="24" t="n"/>
      <c r="O716" s="34" t="n"/>
      <c r="P716" s="24" t="n"/>
      <c r="Q716" s="24" t="n"/>
      <c r="R716" s="24" t="n"/>
    </row>
    <row r="717" ht="15" customHeight="1" s="21">
      <c r="A717" s="34" t="n"/>
      <c r="B717" s="35" t="n"/>
      <c r="C717" s="34" t="n"/>
      <c r="D717" s="31" t="n"/>
      <c r="E717" s="24" t="n"/>
      <c r="F717" s="24" t="n"/>
      <c r="G717" s="24" t="n"/>
      <c r="H717" s="24" t="n"/>
      <c r="I717" s="24" t="n"/>
      <c r="J717" s="34" t="n"/>
      <c r="K717" s="24" t="n"/>
      <c r="L717" s="24" t="n"/>
      <c r="M717" s="24" t="n"/>
      <c r="N717" s="24" t="n"/>
      <c r="O717" s="34" t="n"/>
      <c r="P717" s="24" t="n"/>
      <c r="Q717" s="24" t="n"/>
      <c r="R717" s="24" t="n"/>
    </row>
    <row r="718" ht="15" customHeight="1" s="21">
      <c r="A718" s="34" t="n"/>
      <c r="B718" s="35" t="n"/>
      <c r="C718" s="34" t="n"/>
      <c r="D718" s="31" t="n"/>
      <c r="E718" s="24" t="n"/>
      <c r="F718" s="24" t="n"/>
      <c r="G718" s="24" t="n"/>
      <c r="H718" s="24" t="n"/>
      <c r="I718" s="24" t="n"/>
      <c r="J718" s="34" t="n"/>
      <c r="K718" s="24" t="n"/>
      <c r="L718" s="24" t="n"/>
      <c r="M718" s="24" t="n"/>
      <c r="N718" s="24" t="n"/>
      <c r="O718" s="34" t="n"/>
      <c r="P718" s="24" t="n"/>
      <c r="Q718" s="24" t="n"/>
      <c r="R718" s="24" t="n"/>
    </row>
    <row r="719" ht="15" customHeight="1" s="21">
      <c r="A719" s="34" t="n"/>
      <c r="B719" s="35" t="n"/>
      <c r="C719" s="34" t="n"/>
      <c r="D719" s="31" t="n"/>
      <c r="E719" s="24" t="n"/>
      <c r="F719" s="24" t="n"/>
      <c r="G719" s="24" t="n"/>
      <c r="H719" s="24" t="n"/>
      <c r="I719" s="24" t="n"/>
      <c r="J719" s="34" t="n"/>
      <c r="K719" s="24" t="n"/>
      <c r="L719" s="24" t="n"/>
      <c r="M719" s="24" t="n"/>
      <c r="N719" s="24" t="n"/>
      <c r="O719" s="34" t="n"/>
      <c r="P719" s="24" t="n"/>
      <c r="Q719" s="24" t="n"/>
      <c r="R719" s="24" t="n"/>
    </row>
    <row r="720" ht="15" customHeight="1" s="21">
      <c r="A720" s="34" t="n"/>
      <c r="B720" s="35" t="n"/>
      <c r="C720" s="34" t="n"/>
      <c r="D720" s="31" t="n"/>
      <c r="E720" s="24" t="n"/>
      <c r="F720" s="24" t="n"/>
      <c r="G720" s="24" t="n"/>
      <c r="H720" s="24" t="n"/>
      <c r="I720" s="24" t="n"/>
      <c r="J720" s="34" t="n"/>
      <c r="K720" s="24" t="n"/>
      <c r="L720" s="24" t="n"/>
      <c r="M720" s="24" t="n"/>
      <c r="N720" s="24" t="n"/>
      <c r="O720" s="34" t="n"/>
      <c r="P720" s="24" t="n"/>
      <c r="Q720" s="24" t="n"/>
      <c r="R720" s="24" t="n"/>
    </row>
    <row r="721" ht="15" customHeight="1" s="21">
      <c r="A721" s="34" t="n"/>
      <c r="B721" s="35" t="n"/>
      <c r="C721" s="34" t="n"/>
      <c r="D721" s="31" t="n"/>
      <c r="E721" s="24" t="n"/>
      <c r="F721" s="24" t="n"/>
      <c r="G721" s="24" t="n"/>
      <c r="H721" s="24" t="n"/>
      <c r="I721" s="24" t="n"/>
      <c r="J721" s="34" t="n"/>
      <c r="K721" s="24" t="n"/>
      <c r="L721" s="24" t="n"/>
      <c r="M721" s="24" t="n"/>
      <c r="N721" s="24" t="n"/>
      <c r="O721" s="34" t="n"/>
      <c r="P721" s="24" t="n"/>
      <c r="Q721" s="24" t="n"/>
      <c r="R721" s="24" t="n"/>
    </row>
    <row r="722" ht="15" customHeight="1" s="21">
      <c r="A722" s="34" t="n"/>
      <c r="B722" s="35" t="n"/>
      <c r="C722" s="34" t="n"/>
      <c r="D722" s="31" t="n"/>
      <c r="E722" s="24" t="n"/>
      <c r="F722" s="24" t="n"/>
      <c r="G722" s="24" t="n"/>
      <c r="H722" s="24" t="n"/>
      <c r="I722" s="24" t="n"/>
      <c r="J722" s="34" t="n"/>
      <c r="K722" s="24" t="n"/>
      <c r="L722" s="24" t="n"/>
      <c r="M722" s="24" t="n"/>
      <c r="N722" s="24" t="n"/>
      <c r="O722" s="34" t="n"/>
      <c r="P722" s="24" t="n"/>
      <c r="Q722" s="24" t="n"/>
      <c r="R722" s="24" t="n"/>
    </row>
    <row r="723" ht="15" customHeight="1" s="21">
      <c r="A723" s="34" t="n"/>
      <c r="B723" s="35" t="n"/>
      <c r="C723" s="34" t="n"/>
      <c r="D723" s="31" t="n"/>
      <c r="E723" s="24" t="n"/>
      <c r="F723" s="24" t="n"/>
      <c r="G723" s="24" t="n"/>
      <c r="H723" s="24" t="n"/>
      <c r="I723" s="24" t="n"/>
      <c r="J723" s="34" t="n"/>
      <c r="K723" s="24" t="n"/>
      <c r="L723" s="24" t="n"/>
      <c r="M723" s="24" t="n"/>
      <c r="N723" s="24" t="n"/>
      <c r="O723" s="34" t="n"/>
      <c r="P723" s="24" t="n"/>
      <c r="Q723" s="24" t="n"/>
      <c r="R723" s="24" t="n"/>
    </row>
    <row r="724" ht="15" customHeight="1" s="21">
      <c r="A724" s="34" t="n"/>
      <c r="B724" s="35" t="n"/>
      <c r="C724" s="34" t="n"/>
      <c r="D724" s="31" t="n"/>
      <c r="E724" s="24" t="n"/>
      <c r="F724" s="24" t="n"/>
      <c r="G724" s="24" t="n"/>
      <c r="H724" s="24" t="n"/>
      <c r="I724" s="24" t="n"/>
      <c r="J724" s="34" t="n"/>
      <c r="K724" s="24" t="n"/>
      <c r="L724" s="24" t="n"/>
      <c r="M724" s="24" t="n"/>
      <c r="N724" s="24" t="n"/>
      <c r="O724" s="34" t="n"/>
      <c r="P724" s="24" t="n"/>
      <c r="Q724" s="24" t="n"/>
      <c r="R724" s="24" t="n"/>
    </row>
    <row r="725" ht="15" customHeight="1" s="21">
      <c r="A725" s="34" t="n"/>
      <c r="B725" s="35" t="n"/>
      <c r="C725" s="34" t="n"/>
      <c r="D725" s="31" t="n"/>
      <c r="E725" s="24" t="n"/>
      <c r="F725" s="24" t="n"/>
      <c r="G725" s="24" t="n"/>
      <c r="H725" s="24" t="n"/>
      <c r="I725" s="24" t="n"/>
      <c r="J725" s="34" t="n"/>
      <c r="K725" s="24" t="n"/>
      <c r="L725" s="24" t="n"/>
      <c r="M725" s="24" t="n"/>
      <c r="N725" s="24" t="n"/>
      <c r="O725" s="34" t="n"/>
      <c r="P725" s="24" t="n"/>
      <c r="Q725" s="24" t="n"/>
      <c r="R725" s="24" t="n"/>
    </row>
    <row r="726" ht="15" customHeight="1" s="21">
      <c r="A726" s="34" t="n"/>
      <c r="B726" s="35" t="n"/>
      <c r="C726" s="34" t="n"/>
      <c r="D726" s="31" t="n"/>
      <c r="E726" s="24" t="n"/>
      <c r="F726" s="24" t="n"/>
      <c r="G726" s="24" t="n"/>
      <c r="H726" s="24" t="n"/>
      <c r="I726" s="24" t="n"/>
      <c r="J726" s="34" t="n"/>
      <c r="K726" s="24" t="n"/>
      <c r="L726" s="24" t="n"/>
      <c r="M726" s="24" t="n"/>
      <c r="N726" s="24" t="n"/>
      <c r="O726" s="34" t="n"/>
      <c r="P726" s="24" t="n"/>
      <c r="Q726" s="24" t="n"/>
      <c r="R726" s="24" t="n"/>
    </row>
    <row r="727" ht="15" customHeight="1" s="21">
      <c r="A727" s="34" t="n"/>
      <c r="B727" s="35" t="n"/>
      <c r="C727" s="34" t="n"/>
      <c r="D727" s="31" t="n"/>
      <c r="E727" s="24" t="n"/>
      <c r="F727" s="24" t="n"/>
      <c r="G727" s="24" t="n"/>
      <c r="H727" s="24" t="n"/>
      <c r="I727" s="24" t="n"/>
      <c r="J727" s="34" t="n"/>
      <c r="K727" s="24" t="n"/>
      <c r="L727" s="24" t="n"/>
      <c r="M727" s="24" t="n"/>
      <c r="N727" s="24" t="n"/>
      <c r="O727" s="34" t="n"/>
      <c r="P727" s="24" t="n"/>
      <c r="Q727" s="24" t="n"/>
      <c r="R727" s="24" t="n"/>
    </row>
    <row r="728" ht="15" customHeight="1" s="21">
      <c r="A728" s="34" t="n"/>
      <c r="B728" s="35" t="n"/>
      <c r="C728" s="34" t="n"/>
      <c r="D728" s="31" t="n"/>
      <c r="E728" s="24" t="n"/>
      <c r="F728" s="24" t="n"/>
      <c r="G728" s="24" t="n"/>
      <c r="H728" s="24" t="n"/>
      <c r="I728" s="24" t="n"/>
      <c r="J728" s="34" t="n"/>
      <c r="K728" s="24" t="n"/>
      <c r="L728" s="24" t="n"/>
      <c r="M728" s="24" t="n"/>
      <c r="N728" s="24" t="n"/>
      <c r="O728" s="34" t="n"/>
      <c r="P728" s="24" t="n"/>
      <c r="Q728" s="24" t="n"/>
      <c r="R728" s="24" t="n"/>
    </row>
    <row r="729" ht="15" customHeight="1" s="21">
      <c r="A729" s="34" t="n"/>
      <c r="B729" s="35" t="n"/>
      <c r="C729" s="34" t="n"/>
      <c r="D729" s="31" t="n"/>
      <c r="E729" s="24" t="n"/>
      <c r="F729" s="24" t="n"/>
      <c r="G729" s="24" t="n"/>
      <c r="H729" s="24" t="n"/>
      <c r="I729" s="24" t="n"/>
      <c r="J729" s="34" t="n"/>
      <c r="K729" s="24" t="n"/>
      <c r="L729" s="24" t="n"/>
      <c r="M729" s="24" t="n"/>
      <c r="N729" s="24" t="n"/>
      <c r="O729" s="34" t="n"/>
      <c r="P729" s="24" t="n"/>
      <c r="Q729" s="24" t="n"/>
      <c r="R729" s="24" t="n"/>
    </row>
    <row r="730" ht="15" customHeight="1" s="21">
      <c r="A730" s="34" t="n"/>
      <c r="B730" s="35" t="n"/>
      <c r="C730" s="34" t="n"/>
      <c r="D730" s="31" t="n"/>
      <c r="E730" s="24" t="n"/>
      <c r="F730" s="24" t="n"/>
      <c r="G730" s="24" t="n"/>
      <c r="H730" s="24" t="n"/>
      <c r="I730" s="24" t="n"/>
      <c r="J730" s="34" t="n"/>
      <c r="K730" s="24" t="n"/>
      <c r="L730" s="24" t="n"/>
      <c r="M730" s="24" t="n"/>
      <c r="N730" s="24" t="n"/>
      <c r="O730" s="34" t="n"/>
      <c r="P730" s="24" t="n"/>
      <c r="Q730" s="24" t="n"/>
      <c r="R730" s="24" t="n"/>
    </row>
    <row r="731" ht="15" customHeight="1" s="21">
      <c r="A731" s="34" t="n"/>
      <c r="B731" s="35" t="n"/>
      <c r="C731" s="34" t="n"/>
      <c r="D731" s="31" t="n"/>
      <c r="E731" s="24" t="n"/>
      <c r="F731" s="24" t="n"/>
      <c r="G731" s="24" t="n"/>
      <c r="H731" s="24" t="n"/>
      <c r="I731" s="24" t="n"/>
      <c r="J731" s="34" t="n"/>
      <c r="K731" s="24" t="n"/>
      <c r="L731" s="24" t="n"/>
      <c r="M731" s="24" t="n"/>
      <c r="N731" s="24" t="n"/>
      <c r="O731" s="34" t="n"/>
      <c r="P731" s="24" t="n"/>
      <c r="Q731" s="24" t="n"/>
      <c r="R731" s="24" t="n"/>
    </row>
    <row r="732" ht="15" customHeight="1" s="21">
      <c r="A732" s="34" t="n"/>
      <c r="B732" s="35" t="n"/>
      <c r="C732" s="34" t="n"/>
      <c r="D732" s="31" t="n"/>
      <c r="E732" s="24" t="n"/>
      <c r="F732" s="24" t="n"/>
      <c r="G732" s="24" t="n"/>
      <c r="H732" s="24" t="n"/>
      <c r="I732" s="24" t="n"/>
      <c r="J732" s="34" t="n"/>
      <c r="K732" s="24" t="n"/>
      <c r="L732" s="24" t="n"/>
      <c r="M732" s="24" t="n"/>
      <c r="N732" s="24" t="n"/>
      <c r="O732" s="34" t="n"/>
      <c r="P732" s="24" t="n"/>
      <c r="Q732" s="24" t="n"/>
      <c r="R732" s="24" t="n"/>
    </row>
    <row r="733" ht="15" customHeight="1" s="21">
      <c r="A733" s="34" t="n"/>
      <c r="B733" s="35" t="n"/>
      <c r="C733" s="34" t="n"/>
      <c r="D733" s="31" t="n"/>
      <c r="E733" s="24" t="n"/>
      <c r="F733" s="24" t="n"/>
      <c r="G733" s="24" t="n"/>
      <c r="H733" s="24" t="n"/>
      <c r="I733" s="24" t="n"/>
      <c r="J733" s="34" t="n"/>
      <c r="K733" s="24" t="n"/>
      <c r="L733" s="24" t="n"/>
      <c r="M733" s="24" t="n"/>
      <c r="N733" s="24" t="n"/>
      <c r="O733" s="34" t="n"/>
      <c r="P733" s="24" t="n"/>
      <c r="Q733" s="24" t="n"/>
      <c r="R733" s="24" t="n"/>
    </row>
    <row r="734" ht="15" customHeight="1" s="21">
      <c r="A734" s="34" t="n"/>
      <c r="B734" s="35" t="n"/>
      <c r="C734" s="34" t="n"/>
      <c r="D734" s="31" t="n"/>
      <c r="E734" s="24" t="n"/>
      <c r="F734" s="24" t="n"/>
      <c r="G734" s="24" t="n"/>
      <c r="H734" s="24" t="n"/>
      <c r="I734" s="24" t="n"/>
      <c r="J734" s="34" t="n"/>
      <c r="K734" s="24" t="n"/>
      <c r="L734" s="24" t="n"/>
      <c r="M734" s="24" t="n"/>
      <c r="N734" s="24" t="n"/>
      <c r="O734" s="34" t="n"/>
      <c r="P734" s="24" t="n"/>
      <c r="Q734" s="24" t="n"/>
      <c r="R734" s="24" t="n"/>
    </row>
    <row r="735" ht="15" customHeight="1" s="21">
      <c r="A735" s="34" t="n"/>
      <c r="B735" s="35" t="n"/>
      <c r="C735" s="34" t="n"/>
      <c r="D735" s="31" t="n"/>
      <c r="E735" s="24" t="n"/>
      <c r="F735" s="24" t="n"/>
      <c r="G735" s="24" t="n"/>
      <c r="H735" s="24" t="n"/>
      <c r="I735" s="24" t="n"/>
      <c r="J735" s="34" t="n"/>
      <c r="K735" s="24" t="n"/>
      <c r="L735" s="24" t="n"/>
      <c r="M735" s="24" t="n"/>
      <c r="N735" s="24" t="n"/>
      <c r="O735" s="34" t="n"/>
      <c r="P735" s="24" t="n"/>
      <c r="Q735" s="24" t="n"/>
      <c r="R735" s="24" t="n"/>
    </row>
    <row r="736" ht="15" customHeight="1" s="21">
      <c r="A736" s="34" t="n"/>
      <c r="B736" s="35" t="n"/>
      <c r="C736" s="34" t="n"/>
      <c r="D736" s="31" t="n"/>
      <c r="E736" s="24" t="n"/>
      <c r="F736" s="24" t="n"/>
      <c r="G736" s="24" t="n"/>
      <c r="H736" s="24" t="n"/>
      <c r="I736" s="24" t="n"/>
      <c r="J736" s="34" t="n"/>
      <c r="K736" s="24" t="n"/>
      <c r="L736" s="24" t="n"/>
      <c r="M736" s="24" t="n"/>
      <c r="N736" s="24" t="n"/>
      <c r="O736" s="34" t="n"/>
      <c r="P736" s="24" t="n"/>
      <c r="Q736" s="24" t="n"/>
      <c r="R736" s="24" t="n"/>
    </row>
    <row r="737" ht="15" customHeight="1" s="21">
      <c r="A737" s="34" t="n"/>
      <c r="B737" s="35" t="n"/>
      <c r="C737" s="34" t="n"/>
      <c r="D737" s="31" t="n"/>
      <c r="E737" s="24" t="n"/>
      <c r="F737" s="24" t="n"/>
      <c r="G737" s="24" t="n"/>
      <c r="H737" s="24" t="n"/>
      <c r="I737" s="24" t="n"/>
      <c r="J737" s="34" t="n"/>
      <c r="K737" s="24" t="n"/>
      <c r="L737" s="24" t="n"/>
      <c r="M737" s="24" t="n"/>
      <c r="N737" s="24" t="n"/>
      <c r="O737" s="34" t="n"/>
      <c r="P737" s="24" t="n"/>
      <c r="Q737" s="24" t="n"/>
      <c r="R737" s="24" t="n"/>
    </row>
    <row r="738" ht="15" customHeight="1" s="21">
      <c r="A738" s="34" t="n"/>
      <c r="B738" s="35" t="n"/>
      <c r="C738" s="34" t="n"/>
      <c r="D738" s="31" t="n"/>
      <c r="E738" s="24" t="n"/>
      <c r="F738" s="24" t="n"/>
      <c r="G738" s="24" t="n"/>
      <c r="H738" s="24" t="n"/>
      <c r="I738" s="24" t="n"/>
      <c r="J738" s="34" t="n"/>
      <c r="K738" s="24" t="n"/>
      <c r="L738" s="24" t="n"/>
      <c r="M738" s="24" t="n"/>
      <c r="N738" s="24" t="n"/>
      <c r="O738" s="34" t="n"/>
      <c r="P738" s="24" t="n"/>
      <c r="Q738" s="24" t="n"/>
      <c r="R738" s="24" t="n"/>
    </row>
    <row r="739" ht="15" customHeight="1" s="21">
      <c r="A739" s="34" t="n"/>
      <c r="B739" s="35" t="n"/>
      <c r="C739" s="34" t="n"/>
      <c r="D739" s="31" t="n"/>
      <c r="E739" s="24" t="n"/>
      <c r="F739" s="24" t="n"/>
      <c r="G739" s="24" t="n"/>
      <c r="H739" s="24" t="n"/>
      <c r="I739" s="24" t="n"/>
      <c r="J739" s="34" t="n"/>
      <c r="K739" s="24" t="n"/>
      <c r="L739" s="24" t="n"/>
      <c r="M739" s="24" t="n"/>
      <c r="N739" s="24" t="n"/>
      <c r="O739" s="34" t="n"/>
      <c r="P739" s="24" t="n"/>
      <c r="Q739" s="24" t="n"/>
      <c r="R739" s="24" t="n"/>
    </row>
    <row r="740" ht="15" customHeight="1" s="21">
      <c r="A740" s="34" t="n"/>
      <c r="B740" s="35" t="n"/>
      <c r="C740" s="34" t="n"/>
      <c r="D740" s="31" t="n"/>
      <c r="E740" s="24" t="n"/>
      <c r="F740" s="24" t="n"/>
      <c r="G740" s="24" t="n"/>
      <c r="H740" s="24" t="n"/>
      <c r="I740" s="24" t="n"/>
      <c r="J740" s="34" t="n"/>
      <c r="K740" s="24" t="n"/>
      <c r="L740" s="24" t="n"/>
      <c r="M740" s="24" t="n"/>
      <c r="N740" s="24" t="n"/>
      <c r="O740" s="34" t="n"/>
      <c r="P740" s="24" t="n"/>
      <c r="Q740" s="24" t="n"/>
      <c r="R740" s="24" t="n"/>
    </row>
    <row r="741" ht="15" customHeight="1" s="21">
      <c r="A741" s="34" t="n"/>
      <c r="B741" s="35" t="n"/>
      <c r="C741" s="34" t="n"/>
      <c r="D741" s="31" t="n"/>
      <c r="E741" s="24" t="n"/>
      <c r="F741" s="24" t="n"/>
      <c r="G741" s="24" t="n"/>
      <c r="H741" s="24" t="n"/>
      <c r="I741" s="24" t="n"/>
      <c r="J741" s="34" t="n"/>
      <c r="K741" s="24" t="n"/>
      <c r="L741" s="24" t="n"/>
      <c r="M741" s="24" t="n"/>
      <c r="N741" s="24" t="n"/>
      <c r="O741" s="34" t="n"/>
      <c r="P741" s="24" t="n"/>
      <c r="Q741" s="24" t="n"/>
      <c r="R741" s="24" t="n"/>
    </row>
    <row r="742" ht="15" customHeight="1" s="21">
      <c r="A742" s="34" t="n"/>
      <c r="B742" s="35" t="n"/>
      <c r="C742" s="34" t="n"/>
      <c r="D742" s="31" t="n"/>
      <c r="E742" s="24" t="n"/>
      <c r="F742" s="24" t="n"/>
      <c r="G742" s="24" t="n"/>
      <c r="H742" s="24" t="n"/>
      <c r="I742" s="24" t="n"/>
      <c r="J742" s="34" t="n"/>
      <c r="K742" s="24" t="n"/>
      <c r="L742" s="24" t="n"/>
      <c r="M742" s="24" t="n"/>
      <c r="N742" s="24" t="n"/>
      <c r="O742" s="34" t="n"/>
      <c r="P742" s="24" t="n"/>
      <c r="Q742" s="24" t="n"/>
      <c r="R742" s="24" t="n"/>
    </row>
    <row r="743" ht="15" customHeight="1" s="21">
      <c r="A743" s="34" t="n"/>
      <c r="B743" s="35" t="n"/>
      <c r="C743" s="34" t="n"/>
      <c r="D743" s="31" t="n"/>
      <c r="E743" s="24" t="n"/>
      <c r="F743" s="24" t="n"/>
      <c r="G743" s="24" t="n"/>
      <c r="H743" s="24" t="n"/>
      <c r="I743" s="24" t="n"/>
      <c r="J743" s="34" t="n"/>
      <c r="K743" s="24" t="n"/>
      <c r="L743" s="24" t="n"/>
      <c r="M743" s="24" t="n"/>
      <c r="N743" s="24" t="n"/>
      <c r="O743" s="34" t="n"/>
      <c r="P743" s="24" t="n"/>
      <c r="Q743" s="24" t="n"/>
      <c r="R743" s="24" t="n"/>
    </row>
    <row r="744" ht="15" customHeight="1" s="21">
      <c r="A744" s="34" t="n"/>
      <c r="B744" s="35" t="n"/>
      <c r="C744" s="34" t="n"/>
      <c r="D744" s="31" t="n"/>
      <c r="E744" s="24" t="n"/>
      <c r="F744" s="24" t="n"/>
      <c r="G744" s="24" t="n"/>
      <c r="H744" s="24" t="n"/>
      <c r="I744" s="24" t="n"/>
      <c r="J744" s="34" t="n"/>
      <c r="K744" s="24" t="n"/>
      <c r="L744" s="24" t="n"/>
      <c r="M744" s="24" t="n"/>
      <c r="N744" s="24" t="n"/>
      <c r="O744" s="34" t="n"/>
      <c r="P744" s="24" t="n"/>
      <c r="Q744" s="24" t="n"/>
      <c r="R744" s="24" t="n"/>
    </row>
    <row r="745" ht="15" customHeight="1" s="21">
      <c r="A745" s="34" t="n"/>
      <c r="B745" s="35" t="n"/>
      <c r="C745" s="34" t="n"/>
      <c r="D745" s="31" t="n"/>
      <c r="E745" s="24" t="n"/>
      <c r="F745" s="24" t="n"/>
      <c r="G745" s="24" t="n"/>
      <c r="H745" s="24" t="n"/>
      <c r="I745" s="24" t="n"/>
      <c r="J745" s="34" t="n"/>
      <c r="K745" s="24" t="n"/>
      <c r="L745" s="24" t="n"/>
      <c r="M745" s="24" t="n"/>
      <c r="N745" s="24" t="n"/>
      <c r="O745" s="34" t="n"/>
      <c r="P745" s="24" t="n"/>
      <c r="Q745" s="24" t="n"/>
      <c r="R745" s="24" t="n"/>
    </row>
    <row r="746" ht="15" customHeight="1" s="21">
      <c r="A746" s="34" t="n"/>
      <c r="B746" s="35" t="n"/>
      <c r="C746" s="34" t="n"/>
      <c r="D746" s="31" t="n"/>
      <c r="E746" s="24" t="n"/>
      <c r="F746" s="24" t="n"/>
      <c r="G746" s="24" t="n"/>
      <c r="H746" s="24" t="n"/>
      <c r="I746" s="24" t="n"/>
      <c r="J746" s="34" t="n"/>
      <c r="K746" s="24" t="n"/>
      <c r="L746" s="24" t="n"/>
      <c r="M746" s="24" t="n"/>
      <c r="N746" s="24" t="n"/>
      <c r="O746" s="34" t="n"/>
      <c r="P746" s="24" t="n"/>
      <c r="Q746" s="24" t="n"/>
      <c r="R746" s="24" t="n"/>
    </row>
    <row r="747" ht="15" customHeight="1" s="21">
      <c r="A747" s="34" t="n"/>
      <c r="B747" s="35" t="n"/>
      <c r="C747" s="34" t="n"/>
      <c r="D747" s="31" t="n"/>
      <c r="E747" s="24" t="n"/>
      <c r="F747" s="24" t="n"/>
      <c r="G747" s="24" t="n"/>
      <c r="H747" s="24" t="n"/>
      <c r="I747" s="24" t="n"/>
      <c r="J747" s="34" t="n"/>
      <c r="K747" s="24" t="n"/>
      <c r="L747" s="24" t="n"/>
      <c r="M747" s="24" t="n"/>
      <c r="N747" s="24" t="n"/>
      <c r="O747" s="34" t="n"/>
      <c r="P747" s="24" t="n"/>
      <c r="Q747" s="24" t="n"/>
      <c r="R747" s="24" t="n"/>
    </row>
    <row r="748" ht="15" customHeight="1" s="21">
      <c r="A748" s="34" t="n"/>
      <c r="B748" s="35" t="n"/>
      <c r="C748" s="34" t="n"/>
      <c r="D748" s="31" t="n"/>
      <c r="E748" s="24" t="n"/>
      <c r="F748" s="24" t="n"/>
      <c r="G748" s="24" t="n"/>
      <c r="H748" s="24" t="n"/>
      <c r="I748" s="24" t="n"/>
      <c r="J748" s="34" t="n"/>
      <c r="K748" s="24" t="n"/>
      <c r="L748" s="24" t="n"/>
      <c r="M748" s="24" t="n"/>
      <c r="N748" s="24" t="n"/>
      <c r="O748" s="34" t="n"/>
      <c r="P748" s="24" t="n"/>
      <c r="Q748" s="24" t="n"/>
      <c r="R748" s="24" t="n"/>
    </row>
    <row r="749" ht="15" customHeight="1" s="21">
      <c r="A749" s="34" t="n"/>
      <c r="B749" s="35" t="n"/>
      <c r="C749" s="34" t="n"/>
      <c r="D749" s="31" t="n"/>
      <c r="E749" s="24" t="n"/>
      <c r="F749" s="24" t="n"/>
      <c r="G749" s="24" t="n"/>
      <c r="H749" s="24" t="n"/>
      <c r="I749" s="24" t="n"/>
      <c r="J749" s="34" t="n"/>
      <c r="K749" s="24" t="n"/>
      <c r="L749" s="24" t="n"/>
      <c r="M749" s="24" t="n"/>
      <c r="N749" s="24" t="n"/>
      <c r="O749" s="34" t="n"/>
      <c r="P749" s="24" t="n"/>
      <c r="Q749" s="24" t="n"/>
      <c r="R749" s="24" t="n"/>
    </row>
    <row r="750" ht="15" customHeight="1" s="21">
      <c r="A750" s="34" t="n"/>
      <c r="B750" s="35" t="n"/>
      <c r="C750" s="34" t="n"/>
      <c r="D750" s="31" t="n"/>
      <c r="E750" s="24" t="n"/>
      <c r="F750" s="24" t="n"/>
      <c r="G750" s="24" t="n"/>
      <c r="H750" s="24" t="n"/>
      <c r="I750" s="24" t="n"/>
      <c r="J750" s="34" t="n"/>
      <c r="K750" s="24" t="n"/>
      <c r="L750" s="24" t="n"/>
      <c r="M750" s="24" t="n"/>
      <c r="N750" s="24" t="n"/>
      <c r="O750" s="34" t="n"/>
      <c r="P750" s="24" t="n"/>
      <c r="Q750" s="24" t="n"/>
      <c r="R750" s="24" t="n"/>
    </row>
    <row r="751" ht="15" customHeight="1" s="21">
      <c r="A751" s="34" t="n"/>
      <c r="B751" s="35" t="n"/>
      <c r="C751" s="34" t="n"/>
      <c r="D751" s="31" t="n"/>
      <c r="E751" s="24" t="n"/>
      <c r="F751" s="24" t="n"/>
      <c r="G751" s="24" t="n"/>
      <c r="H751" s="24" t="n"/>
      <c r="I751" s="24" t="n"/>
      <c r="J751" s="34" t="n"/>
      <c r="K751" s="24" t="n"/>
      <c r="L751" s="24" t="n"/>
      <c r="M751" s="24" t="n"/>
      <c r="N751" s="24" t="n"/>
      <c r="O751" s="34" t="n"/>
      <c r="P751" s="24" t="n"/>
      <c r="Q751" s="24" t="n"/>
      <c r="R751" s="24" t="n"/>
    </row>
    <row r="752" ht="15" customHeight="1" s="21">
      <c r="A752" s="34" t="n"/>
      <c r="B752" s="35" t="n"/>
      <c r="C752" s="34" t="n"/>
      <c r="D752" s="31" t="n"/>
      <c r="E752" s="24" t="n"/>
      <c r="F752" s="24" t="n"/>
      <c r="G752" s="24" t="n"/>
      <c r="H752" s="24" t="n"/>
      <c r="I752" s="24" t="n"/>
      <c r="J752" s="34" t="n"/>
      <c r="K752" s="24" t="n"/>
      <c r="L752" s="24" t="n"/>
      <c r="M752" s="24" t="n"/>
      <c r="N752" s="24" t="n"/>
      <c r="O752" s="34" t="n"/>
      <c r="P752" s="24" t="n"/>
      <c r="Q752" s="24" t="n"/>
      <c r="R752" s="24" t="n"/>
    </row>
    <row r="753" ht="15" customHeight="1" s="21">
      <c r="A753" s="34" t="n"/>
      <c r="B753" s="35" t="n"/>
      <c r="C753" s="34" t="n"/>
      <c r="D753" s="31" t="n"/>
      <c r="E753" s="24" t="n"/>
      <c r="F753" s="24" t="n"/>
      <c r="G753" s="24" t="n"/>
      <c r="H753" s="24" t="n"/>
      <c r="I753" s="24" t="n"/>
      <c r="J753" s="34" t="n"/>
      <c r="K753" s="24" t="n"/>
      <c r="L753" s="24" t="n"/>
      <c r="M753" s="24" t="n"/>
      <c r="N753" s="24" t="n"/>
      <c r="O753" s="34" t="n"/>
      <c r="P753" s="24" t="n"/>
      <c r="Q753" s="24" t="n"/>
      <c r="R753" s="24" t="n"/>
    </row>
    <row r="754" ht="15" customHeight="1" s="21">
      <c r="A754" s="34" t="n"/>
      <c r="B754" s="35" t="n"/>
      <c r="C754" s="34" t="n"/>
      <c r="D754" s="31" t="n"/>
      <c r="E754" s="24" t="n"/>
      <c r="F754" s="24" t="n"/>
      <c r="G754" s="24" t="n"/>
      <c r="H754" s="24" t="n"/>
      <c r="I754" s="24" t="n"/>
      <c r="J754" s="34" t="n"/>
      <c r="K754" s="24" t="n"/>
      <c r="L754" s="24" t="n"/>
      <c r="M754" s="24" t="n"/>
      <c r="N754" s="24" t="n"/>
      <c r="O754" s="34" t="n"/>
      <c r="P754" s="24" t="n"/>
      <c r="Q754" s="24" t="n"/>
      <c r="R754" s="24" t="n"/>
    </row>
    <row r="755" ht="15" customHeight="1" s="21">
      <c r="A755" s="34" t="n"/>
      <c r="B755" s="35" t="n"/>
      <c r="C755" s="34" t="n"/>
      <c r="D755" s="31" t="n"/>
      <c r="E755" s="24" t="n"/>
      <c r="F755" s="24" t="n"/>
      <c r="G755" s="24" t="n"/>
      <c r="H755" s="24" t="n"/>
      <c r="I755" s="24" t="n"/>
      <c r="J755" s="34" t="n"/>
      <c r="K755" s="24" t="n"/>
      <c r="L755" s="24" t="n"/>
      <c r="M755" s="24" t="n"/>
      <c r="N755" s="24" t="n"/>
      <c r="O755" s="34" t="n"/>
      <c r="P755" s="24" t="n"/>
      <c r="Q755" s="24" t="n"/>
      <c r="R755" s="24" t="n"/>
    </row>
    <row r="756" ht="15" customHeight="1" s="21">
      <c r="A756" s="34" t="n"/>
      <c r="B756" s="35" t="n"/>
      <c r="C756" s="34" t="n"/>
      <c r="D756" s="31" t="n"/>
      <c r="E756" s="24" t="n"/>
      <c r="F756" s="24" t="n"/>
      <c r="G756" s="24" t="n"/>
      <c r="H756" s="24" t="n"/>
      <c r="I756" s="24" t="n"/>
      <c r="J756" s="34" t="n"/>
      <c r="K756" s="24" t="n"/>
      <c r="L756" s="24" t="n"/>
      <c r="M756" s="24" t="n"/>
      <c r="N756" s="24" t="n"/>
      <c r="O756" s="34" t="n"/>
      <c r="P756" s="24" t="n"/>
      <c r="Q756" s="24" t="n"/>
      <c r="R756" s="24" t="n"/>
    </row>
    <row r="757" ht="15" customHeight="1" s="21">
      <c r="A757" s="34" t="n"/>
      <c r="B757" s="35" t="n"/>
      <c r="C757" s="34" t="n"/>
      <c r="D757" s="31" t="n"/>
      <c r="E757" s="24" t="n"/>
      <c r="F757" s="24" t="n"/>
      <c r="G757" s="24" t="n"/>
      <c r="H757" s="24" t="n"/>
      <c r="I757" s="24" t="n"/>
      <c r="J757" s="34" t="n"/>
      <c r="K757" s="24" t="n"/>
      <c r="L757" s="24" t="n"/>
      <c r="M757" s="24" t="n"/>
      <c r="N757" s="24" t="n"/>
      <c r="O757" s="34" t="n"/>
      <c r="P757" s="24" t="n"/>
      <c r="Q757" s="24" t="n"/>
      <c r="R757" s="24" t="n"/>
    </row>
    <row r="758" ht="15" customHeight="1" s="21">
      <c r="A758" s="34" t="n"/>
      <c r="B758" s="35" t="n"/>
      <c r="C758" s="34" t="n"/>
      <c r="D758" s="31" t="n"/>
      <c r="E758" s="24" t="n"/>
      <c r="F758" s="24" t="n"/>
      <c r="G758" s="24" t="n"/>
      <c r="H758" s="24" t="n"/>
      <c r="I758" s="24" t="n"/>
      <c r="J758" s="34" t="n"/>
      <c r="K758" s="24" t="n"/>
      <c r="L758" s="24" t="n"/>
      <c r="M758" s="24" t="n"/>
      <c r="N758" s="24" t="n"/>
      <c r="O758" s="34" t="n"/>
      <c r="P758" s="24" t="n"/>
      <c r="Q758" s="24" t="n"/>
      <c r="R758" s="24" t="n"/>
    </row>
    <row r="759" ht="15" customHeight="1" s="21">
      <c r="A759" s="34" t="n"/>
      <c r="B759" s="35" t="n"/>
      <c r="C759" s="34" t="n"/>
      <c r="D759" s="31" t="n"/>
      <c r="E759" s="24" t="n"/>
      <c r="F759" s="24" t="n"/>
      <c r="G759" s="24" t="n"/>
      <c r="H759" s="24" t="n"/>
      <c r="I759" s="24" t="n"/>
      <c r="J759" s="34" t="n"/>
      <c r="K759" s="24" t="n"/>
      <c r="L759" s="24" t="n"/>
      <c r="M759" s="24" t="n"/>
      <c r="N759" s="24" t="n"/>
      <c r="O759" s="34" t="n"/>
      <c r="P759" s="24" t="n"/>
      <c r="Q759" s="24" t="n"/>
      <c r="R759" s="24" t="n"/>
    </row>
    <row r="760" ht="15" customHeight="1" s="21">
      <c r="A760" s="34" t="n"/>
      <c r="B760" s="35" t="n"/>
      <c r="C760" s="34" t="n"/>
      <c r="D760" s="31" t="n"/>
      <c r="E760" s="24" t="n"/>
      <c r="F760" s="24" t="n"/>
      <c r="G760" s="24" t="n"/>
      <c r="H760" s="24" t="n"/>
      <c r="I760" s="24" t="n"/>
      <c r="J760" s="34" t="n"/>
      <c r="K760" s="24" t="n"/>
      <c r="L760" s="24" t="n"/>
      <c r="M760" s="24" t="n"/>
      <c r="N760" s="24" t="n"/>
      <c r="O760" s="34" t="n"/>
      <c r="P760" s="24" t="n"/>
      <c r="Q760" s="24" t="n"/>
      <c r="R760" s="24" t="n"/>
    </row>
    <row r="761" ht="15" customHeight="1" s="21">
      <c r="A761" s="34" t="n"/>
      <c r="B761" s="35" t="n"/>
      <c r="C761" s="34" t="n"/>
      <c r="D761" s="31" t="n"/>
      <c r="E761" s="24" t="n"/>
      <c r="F761" s="24" t="n"/>
      <c r="G761" s="24" t="n"/>
      <c r="H761" s="24" t="n"/>
      <c r="I761" s="24" t="n"/>
      <c r="J761" s="34" t="n"/>
      <c r="K761" s="24" t="n"/>
      <c r="L761" s="24" t="n"/>
      <c r="M761" s="24" t="n"/>
      <c r="N761" s="24" t="n"/>
      <c r="O761" s="34" t="n"/>
      <c r="P761" s="24" t="n"/>
      <c r="Q761" s="24" t="n"/>
      <c r="R761" s="24" t="n"/>
    </row>
    <row r="762" ht="15" customHeight="1" s="21">
      <c r="A762" s="34" t="n"/>
      <c r="B762" s="35" t="n"/>
      <c r="C762" s="34" t="n"/>
      <c r="D762" s="31" t="n"/>
      <c r="E762" s="24" t="n"/>
      <c r="F762" s="24" t="n"/>
      <c r="G762" s="24" t="n"/>
      <c r="H762" s="24" t="n"/>
      <c r="I762" s="24" t="n"/>
      <c r="J762" s="34" t="n"/>
      <c r="K762" s="24" t="n"/>
      <c r="L762" s="24" t="n"/>
      <c r="M762" s="24" t="n"/>
      <c r="N762" s="24" t="n"/>
      <c r="O762" s="34" t="n"/>
      <c r="P762" s="24" t="n"/>
      <c r="Q762" s="24" t="n"/>
      <c r="R762" s="24" t="n"/>
    </row>
    <row r="763" ht="15" customHeight="1" s="21">
      <c r="A763" s="34" t="n"/>
      <c r="B763" s="35" t="n"/>
      <c r="C763" s="34" t="n"/>
      <c r="D763" s="31" t="n"/>
      <c r="E763" s="24" t="n"/>
      <c r="F763" s="24" t="n"/>
      <c r="G763" s="24" t="n"/>
      <c r="H763" s="24" t="n"/>
      <c r="I763" s="24" t="n"/>
      <c r="J763" s="34" t="n"/>
      <c r="K763" s="24" t="n"/>
      <c r="L763" s="24" t="n"/>
      <c r="M763" s="24" t="n"/>
      <c r="N763" s="24" t="n"/>
      <c r="O763" s="34" t="n"/>
      <c r="P763" s="24" t="n"/>
      <c r="Q763" s="24" t="n"/>
      <c r="R763" s="24" t="n"/>
    </row>
    <row r="764" ht="15" customHeight="1" s="21">
      <c r="A764" s="34" t="n"/>
      <c r="B764" s="35" t="n"/>
      <c r="C764" s="34" t="n"/>
      <c r="D764" s="31" t="n"/>
      <c r="E764" s="24" t="n"/>
      <c r="F764" s="24" t="n"/>
      <c r="G764" s="24" t="n"/>
      <c r="H764" s="24" t="n"/>
      <c r="I764" s="24" t="n"/>
      <c r="J764" s="34" t="n"/>
      <c r="K764" s="24" t="n"/>
      <c r="L764" s="24" t="n"/>
      <c r="M764" s="24" t="n"/>
      <c r="N764" s="24" t="n"/>
      <c r="O764" s="34" t="n"/>
      <c r="P764" s="24" t="n"/>
      <c r="Q764" s="24" t="n"/>
      <c r="R764" s="24" t="n"/>
    </row>
    <row r="765" ht="15" customHeight="1" s="21">
      <c r="A765" s="34" t="n"/>
      <c r="B765" s="35" t="n"/>
      <c r="C765" s="34" t="n"/>
      <c r="D765" s="31" t="n"/>
      <c r="E765" s="24" t="n"/>
      <c r="F765" s="24" t="n"/>
      <c r="G765" s="24" t="n"/>
      <c r="H765" s="24" t="n"/>
      <c r="I765" s="24" t="n"/>
      <c r="J765" s="34" t="n"/>
      <c r="K765" s="24" t="n"/>
      <c r="L765" s="24" t="n"/>
      <c r="M765" s="24" t="n"/>
      <c r="N765" s="24" t="n"/>
      <c r="O765" s="34" t="n"/>
      <c r="P765" s="24" t="n"/>
      <c r="Q765" s="24" t="n"/>
      <c r="R765" s="24" t="n"/>
    </row>
    <row r="766" ht="15" customHeight="1" s="21">
      <c r="A766" s="34" t="n"/>
      <c r="B766" s="35" t="n"/>
      <c r="C766" s="34" t="n"/>
      <c r="D766" s="31" t="n"/>
      <c r="E766" s="24" t="n"/>
      <c r="F766" s="24" t="n"/>
      <c r="G766" s="24" t="n"/>
      <c r="H766" s="24" t="n"/>
      <c r="I766" s="24" t="n"/>
      <c r="J766" s="34" t="n"/>
      <c r="K766" s="24" t="n"/>
      <c r="L766" s="24" t="n"/>
      <c r="M766" s="24" t="n"/>
      <c r="N766" s="24" t="n"/>
      <c r="O766" s="34" t="n"/>
      <c r="P766" s="24" t="n"/>
      <c r="Q766" s="24" t="n"/>
      <c r="R766" s="24" t="n"/>
    </row>
    <row r="767" ht="15" customHeight="1" s="21">
      <c r="A767" s="34" t="n"/>
      <c r="B767" s="35" t="n"/>
      <c r="C767" s="34" t="n"/>
      <c r="D767" s="31" t="n"/>
      <c r="E767" s="24" t="n"/>
      <c r="F767" s="24" t="n"/>
      <c r="G767" s="24" t="n"/>
      <c r="H767" s="24" t="n"/>
      <c r="I767" s="24" t="n"/>
      <c r="J767" s="34" t="n"/>
      <c r="K767" s="24" t="n"/>
      <c r="L767" s="24" t="n"/>
      <c r="M767" s="24" t="n"/>
      <c r="N767" s="24" t="n"/>
      <c r="O767" s="34" t="n"/>
      <c r="P767" s="24" t="n"/>
      <c r="Q767" s="24" t="n"/>
      <c r="R767" s="24" t="n"/>
    </row>
    <row r="768" ht="15" customHeight="1" s="21">
      <c r="A768" s="34" t="n"/>
      <c r="B768" s="35" t="n"/>
      <c r="C768" s="34" t="n"/>
      <c r="D768" s="31" t="n"/>
      <c r="E768" s="24" t="n"/>
      <c r="F768" s="24" t="n"/>
      <c r="G768" s="24" t="n"/>
      <c r="H768" s="24" t="n"/>
      <c r="I768" s="24" t="n"/>
      <c r="J768" s="34" t="n"/>
      <c r="K768" s="24" t="n"/>
      <c r="L768" s="24" t="n"/>
      <c r="M768" s="24" t="n"/>
      <c r="N768" s="24" t="n"/>
      <c r="O768" s="34" t="n"/>
      <c r="P768" s="24" t="n"/>
      <c r="Q768" s="24" t="n"/>
      <c r="R768" s="24" t="n"/>
    </row>
    <row r="769" ht="15" customHeight="1" s="21">
      <c r="A769" s="34" t="n"/>
      <c r="B769" s="35" t="n"/>
      <c r="C769" s="34" t="n"/>
      <c r="D769" s="31" t="n"/>
      <c r="E769" s="24" t="n"/>
      <c r="F769" s="24" t="n"/>
      <c r="G769" s="24" t="n"/>
      <c r="H769" s="24" t="n"/>
      <c r="I769" s="24" t="n"/>
      <c r="J769" s="34" t="n"/>
      <c r="K769" s="24" t="n"/>
      <c r="L769" s="24" t="n"/>
      <c r="M769" s="24" t="n"/>
      <c r="N769" s="24" t="n"/>
      <c r="O769" s="34" t="n"/>
      <c r="P769" s="24" t="n"/>
      <c r="Q769" s="24" t="n"/>
      <c r="R769" s="24" t="n"/>
    </row>
    <row r="770" ht="15" customHeight="1" s="21">
      <c r="A770" s="34" t="n"/>
      <c r="B770" s="35" t="n"/>
      <c r="C770" s="34" t="n"/>
      <c r="D770" s="31" t="n"/>
      <c r="E770" s="24" t="n"/>
      <c r="F770" s="24" t="n"/>
      <c r="G770" s="24" t="n"/>
      <c r="H770" s="24" t="n"/>
      <c r="I770" s="24" t="n"/>
      <c r="J770" s="34" t="n"/>
      <c r="K770" s="24" t="n"/>
      <c r="L770" s="24" t="n"/>
      <c r="M770" s="24" t="n"/>
      <c r="N770" s="24" t="n"/>
      <c r="O770" s="34" t="n"/>
      <c r="P770" s="24" t="n"/>
      <c r="Q770" s="24" t="n"/>
      <c r="R770" s="24" t="n"/>
    </row>
    <row r="771" ht="15" customHeight="1" s="21">
      <c r="A771" s="34" t="n"/>
      <c r="B771" s="35" t="n"/>
      <c r="C771" s="34" t="n"/>
      <c r="D771" s="31" t="n"/>
      <c r="E771" s="24" t="n"/>
      <c r="F771" s="24" t="n"/>
      <c r="G771" s="24" t="n"/>
      <c r="H771" s="24" t="n"/>
      <c r="I771" s="24" t="n"/>
      <c r="J771" s="34" t="n"/>
      <c r="K771" s="24" t="n"/>
      <c r="L771" s="24" t="n"/>
      <c r="M771" s="24" t="n"/>
      <c r="N771" s="24" t="n"/>
      <c r="O771" s="34" t="n"/>
      <c r="P771" s="24" t="n"/>
      <c r="Q771" s="24" t="n"/>
      <c r="R771" s="24" t="n"/>
    </row>
    <row r="772" ht="15" customHeight="1" s="21">
      <c r="A772" s="34" t="n"/>
      <c r="B772" s="35" t="n"/>
      <c r="C772" s="34" t="n"/>
      <c r="D772" s="31" t="n"/>
      <c r="E772" s="24" t="n"/>
      <c r="F772" s="24" t="n"/>
      <c r="G772" s="24" t="n"/>
      <c r="H772" s="24" t="n"/>
      <c r="I772" s="24" t="n"/>
      <c r="J772" s="34" t="n"/>
      <c r="K772" s="24" t="n"/>
      <c r="L772" s="24" t="n"/>
      <c r="M772" s="24" t="n"/>
      <c r="N772" s="24" t="n"/>
      <c r="O772" s="34" t="n"/>
      <c r="P772" s="24" t="n"/>
      <c r="Q772" s="24" t="n"/>
      <c r="R772" s="24" t="n"/>
    </row>
    <row r="773" ht="15" customHeight="1" s="21">
      <c r="A773" s="34" t="n"/>
      <c r="B773" s="35" t="n"/>
      <c r="C773" s="34" t="n"/>
      <c r="D773" s="31" t="n"/>
      <c r="E773" s="24" t="n"/>
      <c r="F773" s="24" t="n"/>
      <c r="G773" s="24" t="n"/>
      <c r="H773" s="24" t="n"/>
      <c r="I773" s="24" t="n"/>
      <c r="J773" s="34" t="n"/>
      <c r="K773" s="24" t="n"/>
      <c r="L773" s="24" t="n"/>
      <c r="M773" s="24" t="n"/>
      <c r="N773" s="24" t="n"/>
      <c r="O773" s="34" t="n"/>
      <c r="P773" s="24" t="n"/>
      <c r="Q773" s="24" t="n"/>
      <c r="R773" s="24" t="n"/>
    </row>
    <row r="774" ht="15" customHeight="1" s="21">
      <c r="A774" s="34" t="n"/>
      <c r="B774" s="35" t="n"/>
      <c r="C774" s="34" t="n"/>
      <c r="D774" s="31" t="n"/>
      <c r="E774" s="24" t="n"/>
      <c r="F774" s="24" t="n"/>
      <c r="G774" s="24" t="n"/>
      <c r="H774" s="24" t="n"/>
      <c r="I774" s="24" t="n"/>
      <c r="J774" s="34" t="n"/>
      <c r="K774" s="24" t="n"/>
      <c r="L774" s="24" t="n"/>
      <c r="M774" s="24" t="n"/>
      <c r="N774" s="24" t="n"/>
      <c r="O774" s="34" t="n"/>
      <c r="P774" s="24" t="n"/>
      <c r="Q774" s="24" t="n"/>
      <c r="R774" s="24" t="n"/>
    </row>
    <row r="775" ht="15" customHeight="1" s="21">
      <c r="A775" s="34" t="n"/>
      <c r="B775" s="35" t="n"/>
      <c r="C775" s="34" t="n"/>
      <c r="D775" s="31" t="n"/>
      <c r="E775" s="24" t="n"/>
      <c r="F775" s="24" t="n"/>
      <c r="G775" s="24" t="n"/>
      <c r="H775" s="24" t="n"/>
      <c r="I775" s="24" t="n"/>
      <c r="J775" s="34" t="n"/>
      <c r="K775" s="24" t="n"/>
      <c r="L775" s="24" t="n"/>
      <c r="M775" s="24" t="n"/>
      <c r="N775" s="24" t="n"/>
      <c r="O775" s="34" t="n"/>
      <c r="P775" s="24" t="n"/>
      <c r="Q775" s="24" t="n"/>
      <c r="R775" s="24" t="n"/>
    </row>
    <row r="776" ht="15" customHeight="1" s="21">
      <c r="A776" s="34" t="n"/>
      <c r="B776" s="35" t="n"/>
      <c r="C776" s="34" t="n"/>
      <c r="D776" s="31" t="n"/>
      <c r="E776" s="24" t="n"/>
      <c r="F776" s="24" t="n"/>
      <c r="G776" s="24" t="n"/>
      <c r="H776" s="24" t="n"/>
      <c r="I776" s="24" t="n"/>
      <c r="J776" s="34" t="n"/>
      <c r="K776" s="24" t="n"/>
      <c r="L776" s="24" t="n"/>
      <c r="M776" s="24" t="n"/>
      <c r="N776" s="24" t="n"/>
      <c r="O776" s="34" t="n"/>
      <c r="P776" s="24" t="n"/>
      <c r="Q776" s="24" t="n"/>
      <c r="R776" s="24" t="n"/>
    </row>
    <row r="777" ht="15" customHeight="1" s="21">
      <c r="A777" s="34" t="n"/>
      <c r="B777" s="35" t="n"/>
      <c r="C777" s="34" t="n"/>
      <c r="D777" s="31" t="n"/>
      <c r="E777" s="24" t="n"/>
      <c r="F777" s="24" t="n"/>
      <c r="G777" s="24" t="n"/>
      <c r="H777" s="24" t="n"/>
      <c r="I777" s="24" t="n"/>
      <c r="J777" s="34" t="n"/>
      <c r="K777" s="24" t="n"/>
      <c r="L777" s="24" t="n"/>
      <c r="M777" s="24" t="n"/>
      <c r="N777" s="24" t="n"/>
      <c r="O777" s="34" t="n"/>
      <c r="P777" s="24" t="n"/>
      <c r="Q777" s="24" t="n"/>
      <c r="R777" s="24" t="n"/>
    </row>
    <row r="778" ht="15" customHeight="1" s="21">
      <c r="A778" s="34" t="n"/>
      <c r="B778" s="35" t="n"/>
      <c r="C778" s="34" t="n"/>
      <c r="D778" s="31" t="n"/>
      <c r="E778" s="24" t="n"/>
      <c r="F778" s="24" t="n"/>
      <c r="G778" s="24" t="n"/>
      <c r="H778" s="24" t="n"/>
      <c r="I778" s="24" t="n"/>
      <c r="J778" s="34" t="n"/>
      <c r="K778" s="24" t="n"/>
      <c r="L778" s="24" t="n"/>
      <c r="M778" s="24" t="n"/>
      <c r="N778" s="24" t="n"/>
      <c r="O778" s="34" t="n"/>
      <c r="P778" s="24" t="n"/>
      <c r="Q778" s="24" t="n"/>
      <c r="R778" s="24" t="n"/>
    </row>
    <row r="779" ht="15" customHeight="1" s="21">
      <c r="A779" s="34" t="n"/>
      <c r="B779" s="35" t="n"/>
      <c r="C779" s="34" t="n"/>
      <c r="D779" s="31" t="n"/>
      <c r="E779" s="24" t="n"/>
      <c r="F779" s="24" t="n"/>
      <c r="G779" s="24" t="n"/>
      <c r="H779" s="24" t="n"/>
      <c r="I779" s="24" t="n"/>
      <c r="J779" s="34" t="n"/>
      <c r="K779" s="24" t="n"/>
      <c r="L779" s="24" t="n"/>
      <c r="M779" s="24" t="n"/>
      <c r="N779" s="24" t="n"/>
      <c r="O779" s="34" t="n"/>
      <c r="P779" s="24" t="n"/>
      <c r="Q779" s="24" t="n"/>
      <c r="R779" s="24" t="n"/>
    </row>
    <row r="780" ht="15" customHeight="1" s="21">
      <c r="A780" s="34" t="n"/>
      <c r="B780" s="35" t="n"/>
      <c r="C780" s="34" t="n"/>
      <c r="D780" s="31" t="n"/>
      <c r="E780" s="24" t="n"/>
      <c r="F780" s="24" t="n"/>
      <c r="G780" s="24" t="n"/>
      <c r="H780" s="24" t="n"/>
      <c r="I780" s="24" t="n"/>
      <c r="J780" s="34" t="n"/>
      <c r="K780" s="24" t="n"/>
      <c r="L780" s="24" t="n"/>
      <c r="M780" s="24" t="n"/>
      <c r="N780" s="24" t="n"/>
      <c r="O780" s="34" t="n"/>
      <c r="P780" s="24" t="n"/>
      <c r="Q780" s="24" t="n"/>
      <c r="R780" s="24" t="n"/>
    </row>
    <row r="781" ht="15" customHeight="1" s="21">
      <c r="A781" s="34" t="n"/>
      <c r="B781" s="35" t="n"/>
      <c r="C781" s="34" t="n"/>
      <c r="D781" s="31" t="n"/>
      <c r="E781" s="24" t="n"/>
      <c r="F781" s="24" t="n"/>
      <c r="G781" s="24" t="n"/>
      <c r="H781" s="24" t="n"/>
      <c r="I781" s="24" t="n"/>
      <c r="J781" s="34" t="n"/>
      <c r="K781" s="24" t="n"/>
      <c r="L781" s="24" t="n"/>
      <c r="M781" s="24" t="n"/>
      <c r="N781" s="24" t="n"/>
      <c r="O781" s="34" t="n"/>
      <c r="P781" s="24" t="n"/>
      <c r="Q781" s="24" t="n"/>
      <c r="R781" s="24" t="n"/>
    </row>
    <row r="782" ht="15" customHeight="1" s="21">
      <c r="A782" s="34" t="n"/>
      <c r="B782" s="35" t="n"/>
      <c r="C782" s="34" t="n"/>
      <c r="D782" s="31" t="n"/>
      <c r="E782" s="24" t="n"/>
      <c r="F782" s="24" t="n"/>
      <c r="G782" s="24" t="n"/>
      <c r="H782" s="24" t="n"/>
      <c r="I782" s="24" t="n"/>
      <c r="J782" s="34" t="n"/>
      <c r="K782" s="24" t="n"/>
      <c r="L782" s="24" t="n"/>
      <c r="M782" s="24" t="n"/>
      <c r="N782" s="24" t="n"/>
      <c r="O782" s="34" t="n"/>
      <c r="P782" s="24" t="n"/>
      <c r="Q782" s="24" t="n"/>
      <c r="R782" s="24" t="n"/>
    </row>
    <row r="783" ht="15" customHeight="1" s="21">
      <c r="A783" s="34" t="n"/>
      <c r="B783" s="35" t="n"/>
      <c r="C783" s="34" t="n"/>
      <c r="D783" s="31" t="n"/>
      <c r="E783" s="24" t="n"/>
      <c r="F783" s="24" t="n"/>
      <c r="G783" s="24" t="n"/>
      <c r="H783" s="24" t="n"/>
      <c r="I783" s="24" t="n"/>
      <c r="J783" s="34" t="n"/>
      <c r="K783" s="24" t="n"/>
      <c r="L783" s="24" t="n"/>
      <c r="M783" s="24" t="n"/>
      <c r="N783" s="24" t="n"/>
      <c r="O783" s="34" t="n"/>
      <c r="P783" s="24" t="n"/>
      <c r="Q783" s="24" t="n"/>
      <c r="R783" s="24" t="n"/>
    </row>
    <row r="784" ht="15" customHeight="1" s="21">
      <c r="A784" s="34" t="n"/>
      <c r="B784" s="35" t="n"/>
      <c r="C784" s="34" t="n"/>
      <c r="D784" s="31" t="n"/>
      <c r="E784" s="24" t="n"/>
      <c r="F784" s="24" t="n"/>
      <c r="G784" s="24" t="n"/>
      <c r="H784" s="24" t="n"/>
      <c r="I784" s="24" t="n"/>
      <c r="J784" s="34" t="n"/>
      <c r="K784" s="24" t="n"/>
      <c r="L784" s="24" t="n"/>
      <c r="M784" s="24" t="n"/>
      <c r="N784" s="24" t="n"/>
      <c r="O784" s="34" t="n"/>
      <c r="P784" s="24" t="n"/>
      <c r="Q784" s="24" t="n"/>
      <c r="R784" s="24" t="n"/>
    </row>
    <row r="785" ht="15" customHeight="1" s="21">
      <c r="A785" s="34" t="n"/>
      <c r="B785" s="35" t="n"/>
      <c r="C785" s="34" t="n"/>
      <c r="D785" s="31" t="n"/>
      <c r="E785" s="24" t="n"/>
      <c r="F785" s="24" t="n"/>
      <c r="G785" s="24" t="n"/>
      <c r="H785" s="24" t="n"/>
      <c r="I785" s="24" t="n"/>
      <c r="J785" s="34" t="n"/>
      <c r="K785" s="24" t="n"/>
      <c r="L785" s="24" t="n"/>
      <c r="M785" s="24" t="n"/>
      <c r="N785" s="24" t="n"/>
      <c r="O785" s="34" t="n"/>
      <c r="P785" s="24" t="n"/>
      <c r="Q785" s="24" t="n"/>
      <c r="R785" s="24" t="n"/>
    </row>
    <row r="786" ht="15" customHeight="1" s="21">
      <c r="A786" s="34" t="n"/>
      <c r="B786" s="35" t="n"/>
      <c r="C786" s="34" t="n"/>
      <c r="D786" s="31" t="n"/>
      <c r="E786" s="24" t="n"/>
      <c r="F786" s="24" t="n"/>
      <c r="G786" s="24" t="n"/>
      <c r="H786" s="24" t="n"/>
      <c r="I786" s="24" t="n"/>
      <c r="J786" s="34" t="n"/>
      <c r="K786" s="24" t="n"/>
      <c r="L786" s="24" t="n"/>
      <c r="M786" s="24" t="n"/>
      <c r="N786" s="24" t="n"/>
      <c r="O786" s="34" t="n"/>
      <c r="P786" s="24" t="n"/>
      <c r="Q786" s="24" t="n"/>
      <c r="R786" s="24" t="n"/>
    </row>
    <row r="787" ht="15" customHeight="1" s="21">
      <c r="A787" s="34" t="n"/>
      <c r="B787" s="35" t="n"/>
      <c r="C787" s="34" t="n"/>
      <c r="D787" s="31" t="n"/>
      <c r="E787" s="24" t="n"/>
      <c r="F787" s="24" t="n"/>
      <c r="G787" s="24" t="n"/>
      <c r="H787" s="24" t="n"/>
      <c r="I787" s="24" t="n"/>
      <c r="J787" s="34" t="n"/>
      <c r="K787" s="24" t="n"/>
      <c r="L787" s="24" t="n"/>
      <c r="M787" s="24" t="n"/>
      <c r="N787" s="24" t="n"/>
      <c r="O787" s="34" t="n"/>
      <c r="P787" s="24" t="n"/>
      <c r="Q787" s="24" t="n"/>
      <c r="R787" s="24" t="n"/>
    </row>
    <row r="788" ht="15" customHeight="1" s="21">
      <c r="A788" s="34" t="n"/>
      <c r="B788" s="35" t="n"/>
      <c r="C788" s="34" t="n"/>
      <c r="D788" s="31" t="n"/>
      <c r="E788" s="24" t="n"/>
      <c r="F788" s="24" t="n"/>
      <c r="G788" s="24" t="n"/>
      <c r="H788" s="24" t="n"/>
      <c r="I788" s="24" t="n"/>
      <c r="J788" s="34" t="n"/>
      <c r="K788" s="24" t="n"/>
      <c r="L788" s="24" t="n"/>
      <c r="M788" s="24" t="n"/>
      <c r="N788" s="24" t="n"/>
      <c r="O788" s="34" t="n"/>
      <c r="P788" s="24" t="n"/>
      <c r="Q788" s="24" t="n"/>
      <c r="R788" s="24" t="n"/>
    </row>
    <row r="789" ht="15" customHeight="1" s="21">
      <c r="A789" s="34" t="n"/>
      <c r="B789" s="35" t="n"/>
      <c r="C789" s="34" t="n"/>
      <c r="D789" s="31" t="n"/>
      <c r="E789" s="24" t="n"/>
      <c r="F789" s="24" t="n"/>
      <c r="G789" s="24" t="n"/>
      <c r="H789" s="24" t="n"/>
      <c r="I789" s="24" t="n"/>
      <c r="J789" s="34" t="n"/>
      <c r="K789" s="24" t="n"/>
      <c r="L789" s="24" t="n"/>
      <c r="M789" s="24" t="n"/>
      <c r="N789" s="24" t="n"/>
      <c r="O789" s="34" t="n"/>
      <c r="P789" s="24" t="n"/>
      <c r="Q789" s="24" t="n"/>
      <c r="R789" s="24" t="n"/>
    </row>
    <row r="790" ht="15" customHeight="1" s="21">
      <c r="A790" s="34" t="n"/>
      <c r="B790" s="35" t="n"/>
      <c r="C790" s="34" t="n"/>
      <c r="D790" s="31" t="n"/>
      <c r="E790" s="24" t="n"/>
      <c r="F790" s="24" t="n"/>
      <c r="G790" s="24" t="n"/>
      <c r="H790" s="24" t="n"/>
      <c r="I790" s="24" t="n"/>
      <c r="J790" s="34" t="n"/>
      <c r="K790" s="24" t="n"/>
      <c r="L790" s="24" t="n"/>
      <c r="M790" s="24" t="n"/>
      <c r="N790" s="24" t="n"/>
      <c r="O790" s="34" t="n"/>
      <c r="P790" s="24" t="n"/>
      <c r="Q790" s="24" t="n"/>
      <c r="R790" s="24" t="n"/>
    </row>
    <row r="791" ht="15" customHeight="1" s="21">
      <c r="A791" s="34" t="n"/>
      <c r="B791" s="35" t="n"/>
      <c r="C791" s="34" t="n"/>
      <c r="D791" s="31" t="n"/>
      <c r="E791" s="24" t="n"/>
      <c r="F791" s="24" t="n"/>
      <c r="G791" s="24" t="n"/>
      <c r="H791" s="24" t="n"/>
      <c r="I791" s="24" t="n"/>
      <c r="J791" s="34" t="n"/>
      <c r="K791" s="24" t="n"/>
      <c r="L791" s="24" t="n"/>
      <c r="M791" s="24" t="n"/>
      <c r="N791" s="24" t="n"/>
      <c r="O791" s="34" t="n"/>
      <c r="P791" s="24" t="n"/>
      <c r="Q791" s="24" t="n"/>
      <c r="R791" s="24" t="n"/>
    </row>
    <row r="792" ht="15" customHeight="1" s="21">
      <c r="A792" s="34" t="n"/>
      <c r="B792" s="35" t="n"/>
      <c r="C792" s="34" t="n"/>
      <c r="D792" s="31" t="n"/>
      <c r="E792" s="24" t="n"/>
      <c r="F792" s="24" t="n"/>
      <c r="G792" s="24" t="n"/>
      <c r="H792" s="24" t="n"/>
      <c r="I792" s="24" t="n"/>
      <c r="J792" s="34" t="n"/>
      <c r="K792" s="24" t="n"/>
      <c r="L792" s="24" t="n"/>
      <c r="M792" s="24" t="n"/>
      <c r="N792" s="24" t="n"/>
      <c r="O792" s="34" t="n"/>
      <c r="P792" s="24" t="n"/>
      <c r="Q792" s="24" t="n"/>
      <c r="R792" s="24" t="n"/>
    </row>
    <row r="793" ht="15" customHeight="1" s="21">
      <c r="A793" s="34" t="n"/>
      <c r="B793" s="35" t="n"/>
      <c r="C793" s="34" t="n"/>
      <c r="D793" s="31" t="n"/>
      <c r="E793" s="24" t="n"/>
      <c r="F793" s="24" t="n"/>
      <c r="G793" s="24" t="n"/>
      <c r="H793" s="24" t="n"/>
      <c r="I793" s="24" t="n"/>
      <c r="J793" s="34" t="n"/>
      <c r="K793" s="24" t="n"/>
      <c r="L793" s="24" t="n"/>
      <c r="M793" s="24" t="n"/>
      <c r="N793" s="24" t="n"/>
      <c r="O793" s="34" t="n"/>
      <c r="P793" s="24" t="n"/>
      <c r="Q793" s="24" t="n"/>
      <c r="R793" s="24" t="n"/>
    </row>
    <row r="794" ht="15" customHeight="1" s="21">
      <c r="A794" s="34" t="n"/>
      <c r="B794" s="35" t="n"/>
      <c r="C794" s="34" t="n"/>
      <c r="D794" s="31" t="n"/>
      <c r="E794" s="24" t="n"/>
      <c r="F794" s="24" t="n"/>
      <c r="G794" s="24" t="n"/>
      <c r="H794" s="24" t="n"/>
      <c r="I794" s="24" t="n"/>
      <c r="J794" s="34" t="n"/>
      <c r="K794" s="24" t="n"/>
      <c r="L794" s="24" t="n"/>
      <c r="M794" s="24" t="n"/>
      <c r="N794" s="24" t="n"/>
      <c r="O794" s="34" t="n"/>
      <c r="P794" s="24" t="n"/>
      <c r="Q794" s="24" t="n"/>
      <c r="R794" s="24" t="n"/>
    </row>
    <row r="795" ht="15" customHeight="1" s="21">
      <c r="A795" s="34" t="n"/>
      <c r="B795" s="35" t="n"/>
      <c r="C795" s="34" t="n"/>
      <c r="D795" s="31" t="n"/>
      <c r="E795" s="24" t="n"/>
      <c r="F795" s="24" t="n"/>
      <c r="G795" s="24" t="n"/>
      <c r="H795" s="24" t="n"/>
      <c r="I795" s="24" t="n"/>
      <c r="J795" s="34" t="n"/>
      <c r="K795" s="24" t="n"/>
      <c r="L795" s="24" t="n"/>
      <c r="M795" s="24" t="n"/>
      <c r="N795" s="24" t="n"/>
      <c r="O795" s="34" t="n"/>
      <c r="P795" s="24" t="n"/>
      <c r="Q795" s="24" t="n"/>
      <c r="R795" s="24" t="n"/>
    </row>
    <row r="796" ht="15" customHeight="1" s="21">
      <c r="A796" s="34" t="n"/>
      <c r="B796" s="35" t="n"/>
      <c r="C796" s="34" t="n"/>
      <c r="D796" s="31" t="n"/>
      <c r="E796" s="24" t="n"/>
      <c r="F796" s="24" t="n"/>
      <c r="G796" s="24" t="n"/>
      <c r="H796" s="24" t="n"/>
      <c r="I796" s="24" t="n"/>
      <c r="J796" s="34" t="n"/>
      <c r="K796" s="24" t="n"/>
      <c r="L796" s="24" t="n"/>
      <c r="M796" s="24" t="n"/>
      <c r="N796" s="24" t="n"/>
      <c r="O796" s="34" t="n"/>
      <c r="P796" s="24" t="n"/>
      <c r="Q796" s="24" t="n"/>
      <c r="R796" s="24" t="n"/>
    </row>
    <row r="797" ht="15" customHeight="1" s="21">
      <c r="A797" s="34" t="n"/>
      <c r="B797" s="35" t="n"/>
      <c r="C797" s="34" t="n"/>
      <c r="D797" s="31" t="n"/>
      <c r="E797" s="24" t="n"/>
      <c r="F797" s="24" t="n"/>
      <c r="G797" s="24" t="n"/>
      <c r="H797" s="24" t="n"/>
      <c r="I797" s="24" t="n"/>
      <c r="J797" s="34" t="n"/>
      <c r="K797" s="24" t="n"/>
      <c r="L797" s="24" t="n"/>
      <c r="M797" s="24" t="n"/>
      <c r="N797" s="24" t="n"/>
      <c r="O797" s="34" t="n"/>
      <c r="P797" s="24" t="n"/>
      <c r="Q797" s="24" t="n"/>
      <c r="R797" s="24" t="n"/>
    </row>
    <row r="798" ht="15" customHeight="1" s="21">
      <c r="A798" s="34" t="n"/>
      <c r="B798" s="35" t="n"/>
      <c r="C798" s="34" t="n"/>
      <c r="D798" s="31" t="n"/>
      <c r="E798" s="24" t="n"/>
      <c r="F798" s="24" t="n"/>
      <c r="G798" s="24" t="n"/>
      <c r="H798" s="24" t="n"/>
      <c r="I798" s="24" t="n"/>
      <c r="J798" s="34" t="n"/>
      <c r="K798" s="24" t="n"/>
      <c r="L798" s="24" t="n"/>
      <c r="M798" s="24" t="n"/>
      <c r="N798" s="24" t="n"/>
      <c r="O798" s="34" t="n"/>
      <c r="P798" s="24" t="n"/>
      <c r="Q798" s="24" t="n"/>
      <c r="R798" s="24" t="n"/>
    </row>
    <row r="799" ht="15" customHeight="1" s="21">
      <c r="A799" s="34" t="n"/>
      <c r="B799" s="35" t="n"/>
      <c r="C799" s="34" t="n"/>
      <c r="D799" s="31" t="n"/>
      <c r="E799" s="24" t="n"/>
      <c r="F799" s="24" t="n"/>
      <c r="G799" s="24" t="n"/>
      <c r="H799" s="24" t="n"/>
      <c r="I799" s="24" t="n"/>
      <c r="J799" s="34" t="n"/>
      <c r="K799" s="24" t="n"/>
      <c r="L799" s="24" t="n"/>
      <c r="M799" s="24" t="n"/>
      <c r="N799" s="24" t="n"/>
      <c r="O799" s="34" t="n"/>
      <c r="P799" s="24" t="n"/>
      <c r="Q799" s="24" t="n"/>
      <c r="R799" s="24" t="n"/>
    </row>
    <row r="800" ht="15" customHeight="1" s="21">
      <c r="A800" s="34" t="n"/>
      <c r="B800" s="35" t="n"/>
      <c r="C800" s="34" t="n"/>
      <c r="D800" s="31" t="n"/>
      <c r="E800" s="24" t="n"/>
      <c r="F800" s="24" t="n"/>
      <c r="G800" s="24" t="n"/>
      <c r="H800" s="24" t="n"/>
      <c r="I800" s="24" t="n"/>
      <c r="J800" s="34" t="n"/>
      <c r="K800" s="24" t="n"/>
      <c r="L800" s="24" t="n"/>
      <c r="M800" s="24" t="n"/>
      <c r="N800" s="24" t="n"/>
      <c r="O800" s="34" t="n"/>
      <c r="P800" s="24" t="n"/>
      <c r="Q800" s="24" t="n"/>
      <c r="R800" s="24" t="n"/>
    </row>
    <row r="801" ht="15" customHeight="1" s="21">
      <c r="A801" s="34" t="n"/>
      <c r="B801" s="35" t="n"/>
      <c r="C801" s="34" t="n"/>
      <c r="D801" s="31" t="n"/>
      <c r="E801" s="24" t="n"/>
      <c r="F801" s="24" t="n"/>
      <c r="G801" s="24" t="n"/>
      <c r="H801" s="24" t="n"/>
      <c r="I801" s="24" t="n"/>
      <c r="J801" s="34" t="n"/>
      <c r="K801" s="24" t="n"/>
      <c r="L801" s="24" t="n"/>
      <c r="M801" s="24" t="n"/>
      <c r="N801" s="24" t="n"/>
      <c r="O801" s="34" t="n"/>
      <c r="P801" s="24" t="n"/>
      <c r="Q801" s="24" t="n"/>
      <c r="R801" s="24" t="n"/>
    </row>
    <row r="802" ht="15" customHeight="1" s="21">
      <c r="A802" s="34" t="n"/>
      <c r="B802" s="35" t="n"/>
      <c r="C802" s="34" t="n"/>
      <c r="D802" s="31" t="n"/>
      <c r="E802" s="24" t="n"/>
      <c r="F802" s="24" t="n"/>
      <c r="G802" s="24" t="n"/>
      <c r="H802" s="24" t="n"/>
      <c r="I802" s="24" t="n"/>
      <c r="J802" s="34" t="n"/>
      <c r="K802" s="24" t="n"/>
      <c r="L802" s="24" t="n"/>
      <c r="M802" s="24" t="n"/>
      <c r="N802" s="24" t="n"/>
      <c r="O802" s="34" t="n"/>
      <c r="P802" s="24" t="n"/>
      <c r="Q802" s="24" t="n"/>
      <c r="R802" s="24" t="n"/>
    </row>
    <row r="803" ht="15" customHeight="1" s="21">
      <c r="A803" s="34" t="n"/>
      <c r="B803" s="35" t="n"/>
      <c r="C803" s="34" t="n"/>
      <c r="D803" s="31" t="n"/>
      <c r="E803" s="24" t="n"/>
      <c r="F803" s="24" t="n"/>
      <c r="G803" s="24" t="n"/>
      <c r="H803" s="24" t="n"/>
      <c r="I803" s="24" t="n"/>
      <c r="J803" s="34" t="n"/>
      <c r="K803" s="24" t="n"/>
      <c r="L803" s="24" t="n"/>
      <c r="M803" s="24" t="n"/>
      <c r="N803" s="24" t="n"/>
      <c r="O803" s="34" t="n"/>
      <c r="P803" s="24" t="n"/>
      <c r="Q803" s="24" t="n"/>
      <c r="R803" s="24" t="n"/>
    </row>
    <row r="804" ht="15" customHeight="1" s="21">
      <c r="A804" s="34" t="n"/>
      <c r="B804" s="35" t="n"/>
      <c r="C804" s="34" t="n"/>
      <c r="D804" s="31" t="n"/>
      <c r="E804" s="24" t="n"/>
      <c r="F804" s="24" t="n"/>
      <c r="G804" s="24" t="n"/>
      <c r="H804" s="24" t="n"/>
      <c r="I804" s="24" t="n"/>
      <c r="J804" s="34" t="n"/>
      <c r="K804" s="24" t="n"/>
      <c r="L804" s="24" t="n"/>
      <c r="M804" s="24" t="n"/>
      <c r="N804" s="24" t="n"/>
      <c r="O804" s="34" t="n"/>
      <c r="P804" s="24" t="n"/>
      <c r="Q804" s="24" t="n"/>
      <c r="R804" s="24" t="n"/>
    </row>
    <row r="805" ht="15" customHeight="1" s="21">
      <c r="A805" s="34" t="n"/>
      <c r="B805" s="35" t="n"/>
      <c r="C805" s="34" t="n"/>
      <c r="D805" s="31" t="n"/>
      <c r="E805" s="24" t="n"/>
      <c r="F805" s="24" t="n"/>
      <c r="G805" s="24" t="n"/>
      <c r="H805" s="24" t="n"/>
      <c r="I805" s="24" t="n"/>
      <c r="J805" s="34" t="n"/>
      <c r="K805" s="24" t="n"/>
      <c r="L805" s="24" t="n"/>
      <c r="M805" s="24" t="n"/>
      <c r="N805" s="24" t="n"/>
      <c r="O805" s="34" t="n"/>
      <c r="P805" s="24" t="n"/>
      <c r="Q805" s="24" t="n"/>
      <c r="R805" s="24" t="n"/>
    </row>
    <row r="806" ht="15" customHeight="1" s="21">
      <c r="A806" s="34" t="n"/>
      <c r="B806" s="35" t="n"/>
      <c r="C806" s="34" t="n"/>
      <c r="D806" s="31" t="n"/>
      <c r="E806" s="24" t="n"/>
      <c r="F806" s="24" t="n"/>
      <c r="G806" s="24" t="n"/>
      <c r="H806" s="24" t="n"/>
      <c r="I806" s="24" t="n"/>
      <c r="J806" s="34" t="n"/>
      <c r="K806" s="24" t="n"/>
      <c r="L806" s="24" t="n"/>
      <c r="M806" s="24" t="n"/>
      <c r="N806" s="24" t="n"/>
      <c r="O806" s="34" t="n"/>
      <c r="P806" s="24" t="n"/>
      <c r="Q806" s="24" t="n"/>
      <c r="R806" s="24" t="n"/>
    </row>
    <row r="807" ht="15" customHeight="1" s="21">
      <c r="A807" s="34" t="n"/>
      <c r="B807" s="35" t="n"/>
      <c r="C807" s="34" t="n"/>
      <c r="D807" s="31" t="n"/>
      <c r="E807" s="24" t="n"/>
      <c r="F807" s="24" t="n"/>
      <c r="G807" s="24" t="n"/>
      <c r="H807" s="24" t="n"/>
      <c r="I807" s="24" t="n"/>
      <c r="J807" s="34" t="n"/>
      <c r="K807" s="24" t="n"/>
      <c r="L807" s="24" t="n"/>
      <c r="M807" s="24" t="n"/>
      <c r="N807" s="24" t="n"/>
      <c r="O807" s="34" t="n"/>
      <c r="P807" s="24" t="n"/>
      <c r="Q807" s="24" t="n"/>
      <c r="R807" s="24" t="n"/>
    </row>
    <row r="808" ht="15" customHeight="1" s="21">
      <c r="A808" s="34" t="n"/>
      <c r="B808" s="35" t="n"/>
      <c r="C808" s="34" t="n"/>
      <c r="D808" s="31" t="n"/>
      <c r="E808" s="24" t="n"/>
      <c r="F808" s="24" t="n"/>
      <c r="G808" s="24" t="n"/>
      <c r="H808" s="24" t="n"/>
      <c r="I808" s="24" t="n"/>
      <c r="J808" s="34" t="n"/>
      <c r="K808" s="24" t="n"/>
      <c r="L808" s="24" t="n"/>
      <c r="M808" s="24" t="n"/>
      <c r="N808" s="24" t="n"/>
      <c r="O808" s="34" t="n"/>
      <c r="P808" s="24" t="n"/>
      <c r="Q808" s="24" t="n"/>
      <c r="R808" s="24" t="n"/>
    </row>
    <row r="809" ht="15" customHeight="1" s="21">
      <c r="A809" s="34" t="n"/>
      <c r="B809" s="35" t="n"/>
      <c r="C809" s="34" t="n"/>
      <c r="D809" s="31" t="n"/>
      <c r="E809" s="24" t="n"/>
      <c r="F809" s="24" t="n"/>
      <c r="G809" s="24" t="n"/>
      <c r="H809" s="24" t="n"/>
      <c r="I809" s="24" t="n"/>
      <c r="J809" s="34" t="n"/>
      <c r="K809" s="24" t="n"/>
      <c r="L809" s="24" t="n"/>
      <c r="M809" s="24" t="n"/>
      <c r="N809" s="24" t="n"/>
      <c r="O809" s="34" t="n"/>
      <c r="P809" s="24" t="n"/>
      <c r="Q809" s="24" t="n"/>
      <c r="R809" s="24" t="n"/>
    </row>
    <row r="810" ht="15" customHeight="1" s="21">
      <c r="A810" s="34" t="n"/>
      <c r="B810" s="35" t="n"/>
      <c r="C810" s="34" t="n"/>
      <c r="D810" s="31" t="n"/>
      <c r="E810" s="24" t="n"/>
      <c r="F810" s="24" t="n"/>
      <c r="G810" s="24" t="n"/>
      <c r="H810" s="24" t="n"/>
      <c r="I810" s="24" t="n"/>
      <c r="J810" s="34" t="n"/>
      <c r="K810" s="24" t="n"/>
      <c r="L810" s="24" t="n"/>
      <c r="M810" s="24" t="n"/>
      <c r="N810" s="24" t="n"/>
      <c r="O810" s="34" t="n"/>
      <c r="P810" s="24" t="n"/>
      <c r="Q810" s="24" t="n"/>
      <c r="R810" s="24" t="n"/>
    </row>
    <row r="811" ht="15" customHeight="1" s="21">
      <c r="A811" s="34" t="n"/>
      <c r="B811" s="35" t="n"/>
      <c r="C811" s="34" t="n"/>
      <c r="D811" s="31" t="n"/>
      <c r="E811" s="24" t="n"/>
      <c r="F811" s="24" t="n"/>
      <c r="G811" s="24" t="n"/>
      <c r="H811" s="24" t="n"/>
      <c r="I811" s="24" t="n"/>
      <c r="J811" s="34" t="n"/>
      <c r="K811" s="24" t="n"/>
      <c r="L811" s="24" t="n"/>
      <c r="M811" s="24" t="n"/>
      <c r="N811" s="24" t="n"/>
      <c r="O811" s="34" t="n"/>
      <c r="P811" s="24" t="n"/>
      <c r="Q811" s="24" t="n"/>
      <c r="R811" s="24" t="n"/>
    </row>
    <row r="812" ht="15" customHeight="1" s="21">
      <c r="A812" s="34" t="n"/>
      <c r="B812" s="35" t="n"/>
      <c r="C812" s="34" t="n"/>
      <c r="D812" s="31" t="n"/>
      <c r="E812" s="24" t="n"/>
      <c r="F812" s="24" t="n"/>
      <c r="G812" s="24" t="n"/>
      <c r="H812" s="24" t="n"/>
      <c r="I812" s="24" t="n"/>
      <c r="J812" s="34" t="n"/>
      <c r="K812" s="24" t="n"/>
      <c r="L812" s="24" t="n"/>
      <c r="M812" s="24" t="n"/>
      <c r="N812" s="24" t="n"/>
      <c r="O812" s="34" t="n"/>
      <c r="P812" s="24" t="n"/>
      <c r="Q812" s="24" t="n"/>
      <c r="R812" s="24" t="n"/>
    </row>
    <row r="813" ht="15" customHeight="1" s="21">
      <c r="A813" s="34" t="n"/>
      <c r="B813" s="35" t="n"/>
      <c r="C813" s="34" t="n"/>
      <c r="D813" s="31" t="n"/>
      <c r="E813" s="24" t="n"/>
      <c r="F813" s="24" t="n"/>
      <c r="G813" s="24" t="n"/>
      <c r="H813" s="24" t="n"/>
      <c r="I813" s="24" t="n"/>
      <c r="J813" s="34" t="n"/>
      <c r="K813" s="24" t="n"/>
      <c r="L813" s="24" t="n"/>
      <c r="M813" s="24" t="n"/>
      <c r="N813" s="24" t="n"/>
      <c r="O813" s="34" t="n"/>
      <c r="P813" s="24" t="n"/>
      <c r="Q813" s="24" t="n"/>
      <c r="R813" s="24" t="n"/>
    </row>
    <row r="814" ht="15" customHeight="1" s="21">
      <c r="A814" s="34" t="n"/>
      <c r="B814" s="35" t="n"/>
      <c r="C814" s="34" t="n"/>
      <c r="D814" s="31" t="n"/>
      <c r="E814" s="24" t="n"/>
      <c r="F814" s="24" t="n"/>
      <c r="G814" s="24" t="n"/>
      <c r="H814" s="24" t="n"/>
      <c r="I814" s="24" t="n"/>
      <c r="J814" s="34" t="n"/>
      <c r="K814" s="24" t="n"/>
      <c r="L814" s="24" t="n"/>
      <c r="M814" s="24" t="n"/>
      <c r="N814" s="24" t="n"/>
      <c r="O814" s="34" t="n"/>
      <c r="P814" s="24" t="n"/>
      <c r="Q814" s="24" t="n"/>
      <c r="R814" s="24" t="n"/>
    </row>
    <row r="815" ht="15" customHeight="1" s="21">
      <c r="A815" s="34" t="n"/>
      <c r="B815" s="35" t="n"/>
      <c r="C815" s="34" t="n"/>
      <c r="D815" s="31" t="n"/>
      <c r="E815" s="24" t="n"/>
      <c r="F815" s="24" t="n"/>
      <c r="G815" s="24" t="n"/>
      <c r="H815" s="24" t="n"/>
      <c r="I815" s="24" t="n"/>
      <c r="J815" s="34" t="n"/>
      <c r="K815" s="24" t="n"/>
      <c r="L815" s="24" t="n"/>
      <c r="M815" s="24" t="n"/>
      <c r="N815" s="24" t="n"/>
      <c r="O815" s="34" t="n"/>
      <c r="P815" s="24" t="n"/>
      <c r="Q815" s="24" t="n"/>
      <c r="R815" s="24" t="n"/>
    </row>
    <row r="816" ht="15" customHeight="1" s="21">
      <c r="A816" s="34" t="n"/>
      <c r="B816" s="35" t="n"/>
      <c r="C816" s="34" t="n"/>
      <c r="D816" s="31" t="n"/>
      <c r="E816" s="24" t="n"/>
      <c r="F816" s="24" t="n"/>
      <c r="G816" s="24" t="n"/>
      <c r="H816" s="24" t="n"/>
      <c r="I816" s="24" t="n"/>
      <c r="J816" s="34" t="n"/>
      <c r="K816" s="24" t="n"/>
      <c r="L816" s="24" t="n"/>
      <c r="M816" s="24" t="n"/>
      <c r="N816" s="24" t="n"/>
      <c r="O816" s="34" t="n"/>
      <c r="P816" s="24" t="n"/>
      <c r="Q816" s="24" t="n"/>
      <c r="R816" s="24" t="n"/>
    </row>
    <row r="817" ht="15" customHeight="1" s="21">
      <c r="A817" s="34" t="n"/>
      <c r="B817" s="35" t="n"/>
      <c r="C817" s="34" t="n"/>
      <c r="D817" s="31" t="n"/>
      <c r="E817" s="24" t="n"/>
      <c r="F817" s="24" t="n"/>
      <c r="G817" s="24" t="n"/>
      <c r="H817" s="24" t="n"/>
      <c r="I817" s="24" t="n"/>
      <c r="J817" s="34" t="n"/>
      <c r="K817" s="24" t="n"/>
      <c r="L817" s="24" t="n"/>
      <c r="M817" s="24" t="n"/>
      <c r="N817" s="24" t="n"/>
      <c r="O817" s="34" t="n"/>
      <c r="P817" s="24" t="n"/>
      <c r="Q817" s="24" t="n"/>
      <c r="R817" s="24" t="n"/>
    </row>
    <row r="818" ht="15" customHeight="1" s="21">
      <c r="A818" s="34" t="n"/>
      <c r="B818" s="35" t="n"/>
      <c r="C818" s="34" t="n"/>
      <c r="D818" s="31" t="n"/>
      <c r="E818" s="24" t="n"/>
      <c r="F818" s="24" t="n"/>
      <c r="G818" s="24" t="n"/>
      <c r="H818" s="24" t="n"/>
      <c r="I818" s="24" t="n"/>
      <c r="J818" s="34" t="n"/>
      <c r="K818" s="24" t="n"/>
      <c r="L818" s="24" t="n"/>
      <c r="M818" s="24" t="n"/>
      <c r="N818" s="24" t="n"/>
      <c r="O818" s="34" t="n"/>
      <c r="P818" s="24" t="n"/>
      <c r="Q818" s="24" t="n"/>
      <c r="R818" s="24" t="n"/>
    </row>
    <row r="819" ht="15" customHeight="1" s="21">
      <c r="A819" s="34" t="n"/>
      <c r="B819" s="35" t="n"/>
      <c r="C819" s="34" t="n"/>
      <c r="D819" s="31" t="n"/>
      <c r="E819" s="24" t="n"/>
      <c r="F819" s="24" t="n"/>
      <c r="G819" s="24" t="n"/>
      <c r="H819" s="24" t="n"/>
      <c r="I819" s="24" t="n"/>
      <c r="J819" s="34" t="n"/>
      <c r="K819" s="24" t="n"/>
      <c r="L819" s="24" t="n"/>
      <c r="M819" s="24" t="n"/>
      <c r="N819" s="24" t="n"/>
      <c r="O819" s="34" t="n"/>
      <c r="P819" s="24" t="n"/>
      <c r="Q819" s="24" t="n"/>
      <c r="R819" s="24" t="n"/>
    </row>
    <row r="820" ht="15" customHeight="1" s="21">
      <c r="A820" s="34" t="n"/>
      <c r="B820" s="35" t="n"/>
      <c r="C820" s="34" t="n"/>
      <c r="D820" s="31" t="n"/>
      <c r="E820" s="24" t="n"/>
      <c r="F820" s="24" t="n"/>
      <c r="G820" s="24" t="n"/>
      <c r="H820" s="24" t="n"/>
      <c r="I820" s="24" t="n"/>
      <c r="J820" s="34" t="n"/>
      <c r="K820" s="24" t="n"/>
      <c r="L820" s="24" t="n"/>
      <c r="M820" s="24" t="n"/>
      <c r="N820" s="24" t="n"/>
      <c r="O820" s="34" t="n"/>
      <c r="P820" s="24" t="n"/>
      <c r="Q820" s="24" t="n"/>
      <c r="R820" s="24" t="n"/>
    </row>
    <row r="821" ht="15" customHeight="1" s="21">
      <c r="A821" s="34" t="n"/>
      <c r="B821" s="35" t="n"/>
      <c r="C821" s="34" t="n"/>
      <c r="D821" s="31" t="n"/>
      <c r="E821" s="24" t="n"/>
      <c r="F821" s="24" t="n"/>
      <c r="G821" s="24" t="n"/>
      <c r="H821" s="24" t="n"/>
      <c r="I821" s="24" t="n"/>
      <c r="J821" s="34" t="n"/>
      <c r="K821" s="24" t="n"/>
      <c r="L821" s="24" t="n"/>
      <c r="M821" s="24" t="n"/>
      <c r="N821" s="24" t="n"/>
      <c r="O821" s="34" t="n"/>
      <c r="P821" s="24" t="n"/>
      <c r="Q821" s="24" t="n"/>
      <c r="R821" s="24" t="n"/>
    </row>
    <row r="822" ht="15" customHeight="1" s="21">
      <c r="A822" s="34" t="n"/>
      <c r="B822" s="35" t="n"/>
      <c r="C822" s="34" t="n"/>
      <c r="D822" s="31" t="n"/>
      <c r="E822" s="24" t="n"/>
      <c r="F822" s="24" t="n"/>
      <c r="G822" s="24" t="n"/>
      <c r="H822" s="24" t="n"/>
      <c r="I822" s="24" t="n"/>
      <c r="J822" s="34" t="n"/>
      <c r="K822" s="24" t="n"/>
      <c r="L822" s="24" t="n"/>
      <c r="M822" s="24" t="n"/>
      <c r="N822" s="24" t="n"/>
      <c r="O822" s="34" t="n"/>
      <c r="P822" s="24" t="n"/>
      <c r="Q822" s="24" t="n"/>
      <c r="R822" s="24" t="n"/>
    </row>
    <row r="823" ht="15" customHeight="1" s="21">
      <c r="A823" s="34" t="n"/>
      <c r="B823" s="35" t="n"/>
      <c r="C823" s="34" t="n"/>
      <c r="D823" s="31" t="n"/>
      <c r="E823" s="24" t="n"/>
      <c r="F823" s="24" t="n"/>
      <c r="G823" s="24" t="n"/>
      <c r="H823" s="24" t="n"/>
      <c r="I823" s="24" t="n"/>
      <c r="J823" s="34" t="n"/>
      <c r="K823" s="24" t="n"/>
      <c r="L823" s="24" t="n"/>
      <c r="M823" s="24" t="n"/>
      <c r="N823" s="24" t="n"/>
      <c r="O823" s="34" t="n"/>
      <c r="P823" s="24" t="n"/>
      <c r="Q823" s="24" t="n"/>
      <c r="R823" s="24" t="n"/>
    </row>
    <row r="824" ht="15" customHeight="1" s="21">
      <c r="A824" s="34" t="n"/>
      <c r="B824" s="35" t="n"/>
      <c r="C824" s="34" t="n"/>
      <c r="D824" s="31" t="n"/>
      <c r="E824" s="24" t="n"/>
      <c r="F824" s="24" t="n"/>
      <c r="G824" s="24" t="n"/>
      <c r="H824" s="24" t="n"/>
      <c r="I824" s="24" t="n"/>
      <c r="J824" s="34" t="n"/>
      <c r="K824" s="24" t="n"/>
      <c r="L824" s="24" t="n"/>
      <c r="M824" s="24" t="n"/>
      <c r="N824" s="24" t="n"/>
      <c r="O824" s="34" t="n"/>
      <c r="P824" s="24" t="n"/>
      <c r="Q824" s="24" t="n"/>
      <c r="R824" s="24" t="n"/>
    </row>
    <row r="825" ht="15" customHeight="1" s="21">
      <c r="A825" s="34" t="n"/>
      <c r="B825" s="35" t="n"/>
      <c r="C825" s="34" t="n"/>
      <c r="D825" s="31" t="n"/>
      <c r="E825" s="24" t="n"/>
      <c r="F825" s="24" t="n"/>
      <c r="G825" s="24" t="n"/>
      <c r="H825" s="24" t="n"/>
      <c r="I825" s="24" t="n"/>
      <c r="J825" s="34" t="n"/>
      <c r="K825" s="24" t="n"/>
      <c r="L825" s="24" t="n"/>
      <c r="M825" s="24" t="n"/>
      <c r="N825" s="24" t="n"/>
      <c r="O825" s="34" t="n"/>
      <c r="P825" s="24" t="n"/>
      <c r="Q825" s="24" t="n"/>
      <c r="R825" s="24" t="n"/>
    </row>
    <row r="826" ht="15" customHeight="1" s="21">
      <c r="A826" s="34" t="n"/>
      <c r="B826" s="35" t="n"/>
      <c r="C826" s="34" t="n"/>
      <c r="D826" s="31" t="n"/>
      <c r="E826" s="24" t="n"/>
      <c r="F826" s="24" t="n"/>
      <c r="G826" s="24" t="n"/>
      <c r="H826" s="24" t="n"/>
      <c r="I826" s="24" t="n"/>
      <c r="J826" s="34" t="n"/>
      <c r="K826" s="24" t="n"/>
      <c r="L826" s="24" t="n"/>
      <c r="M826" s="24" t="n"/>
      <c r="N826" s="24" t="n"/>
      <c r="O826" s="34" t="n"/>
      <c r="P826" s="24" t="n"/>
      <c r="Q826" s="24" t="n"/>
      <c r="R826" s="24" t="n"/>
    </row>
    <row r="827" ht="15" customHeight="1" s="21">
      <c r="A827" s="34" t="n"/>
      <c r="B827" s="35" t="n"/>
      <c r="C827" s="34" t="n"/>
      <c r="D827" s="31" t="n"/>
      <c r="E827" s="24" t="n"/>
      <c r="F827" s="24" t="n"/>
      <c r="G827" s="24" t="n"/>
      <c r="H827" s="24" t="n"/>
      <c r="I827" s="24" t="n"/>
      <c r="J827" s="34" t="n"/>
      <c r="K827" s="24" t="n"/>
      <c r="L827" s="24" t="n"/>
      <c r="M827" s="24" t="n"/>
      <c r="N827" s="24" t="n"/>
      <c r="O827" s="34" t="n"/>
      <c r="P827" s="24" t="n"/>
      <c r="Q827" s="24" t="n"/>
      <c r="R827" s="24" t="n"/>
    </row>
    <row r="828" ht="15" customHeight="1" s="21">
      <c r="A828" s="34" t="n"/>
      <c r="B828" s="35" t="n"/>
      <c r="C828" s="34" t="n"/>
      <c r="D828" s="31" t="n"/>
      <c r="E828" s="24" t="n"/>
      <c r="F828" s="24" t="n"/>
      <c r="G828" s="24" t="n"/>
      <c r="H828" s="24" t="n"/>
      <c r="I828" s="24" t="n"/>
      <c r="J828" s="34" t="n"/>
      <c r="K828" s="24" t="n"/>
      <c r="L828" s="24" t="n"/>
      <c r="M828" s="24" t="n"/>
      <c r="N828" s="24" t="n"/>
      <c r="O828" s="34" t="n"/>
      <c r="P828" s="24" t="n"/>
      <c r="Q828" s="24" t="n"/>
      <c r="R828" s="24" t="n"/>
    </row>
    <row r="829" ht="15" customHeight="1" s="21">
      <c r="A829" s="34" t="n"/>
      <c r="B829" s="35" t="n"/>
      <c r="C829" s="34" t="n"/>
      <c r="D829" s="31" t="n"/>
      <c r="E829" s="24" t="n"/>
      <c r="F829" s="24" t="n"/>
      <c r="G829" s="24" t="n"/>
      <c r="H829" s="24" t="n"/>
      <c r="I829" s="24" t="n"/>
      <c r="J829" s="34" t="n"/>
      <c r="K829" s="24" t="n"/>
      <c r="L829" s="24" t="n"/>
      <c r="M829" s="24" t="n"/>
      <c r="N829" s="24" t="n"/>
      <c r="O829" s="34" t="n"/>
      <c r="P829" s="24" t="n"/>
      <c r="Q829" s="24" t="n"/>
      <c r="R829" s="24" t="n"/>
    </row>
    <row r="830" ht="15" customHeight="1" s="21">
      <c r="A830" s="34" t="n"/>
      <c r="B830" s="35" t="n"/>
      <c r="C830" s="34" t="n"/>
      <c r="D830" s="31" t="n"/>
      <c r="E830" s="24" t="n"/>
      <c r="F830" s="24" t="n"/>
      <c r="G830" s="24" t="n"/>
      <c r="H830" s="24" t="n"/>
      <c r="I830" s="24" t="n"/>
      <c r="J830" s="34" t="n"/>
      <c r="K830" s="24" t="n"/>
      <c r="L830" s="24" t="n"/>
      <c r="M830" s="24" t="n"/>
      <c r="N830" s="24" t="n"/>
      <c r="O830" s="34" t="n"/>
      <c r="P830" s="24" t="n"/>
      <c r="Q830" s="24" t="n"/>
      <c r="R830" s="24" t="n"/>
    </row>
    <row r="831" ht="15" customHeight="1" s="21">
      <c r="A831" s="34" t="n"/>
      <c r="B831" s="35" t="n"/>
      <c r="C831" s="34" t="n"/>
      <c r="D831" s="31" t="n"/>
      <c r="E831" s="24" t="n"/>
      <c r="F831" s="24" t="n"/>
      <c r="G831" s="24" t="n"/>
      <c r="H831" s="24" t="n"/>
      <c r="I831" s="24" t="n"/>
      <c r="J831" s="34" t="n"/>
      <c r="K831" s="24" t="n"/>
      <c r="L831" s="24" t="n"/>
      <c r="M831" s="24" t="n"/>
      <c r="N831" s="24" t="n"/>
      <c r="O831" s="34" t="n"/>
      <c r="P831" s="24" t="n"/>
      <c r="Q831" s="24" t="n"/>
      <c r="R831" s="24" t="n"/>
    </row>
    <row r="832" ht="15" customHeight="1" s="21">
      <c r="A832" s="34" t="n"/>
      <c r="B832" s="35" t="n"/>
      <c r="C832" s="34" t="n"/>
      <c r="D832" s="31" t="n"/>
      <c r="E832" s="24" t="n"/>
      <c r="F832" s="24" t="n"/>
      <c r="G832" s="24" t="n"/>
      <c r="H832" s="24" t="n"/>
      <c r="I832" s="24" t="n"/>
      <c r="J832" s="34" t="n"/>
      <c r="K832" s="24" t="n"/>
      <c r="L832" s="24" t="n"/>
      <c r="M832" s="24" t="n"/>
      <c r="N832" s="24" t="n"/>
      <c r="O832" s="34" t="n"/>
      <c r="P832" s="24" t="n"/>
      <c r="Q832" s="24" t="n"/>
      <c r="R832" s="24" t="n"/>
    </row>
    <row r="833" ht="15" customHeight="1" s="21">
      <c r="A833" s="34" t="n"/>
      <c r="B833" s="35" t="n"/>
      <c r="C833" s="34" t="n"/>
      <c r="D833" s="31" t="n"/>
      <c r="E833" s="24" t="n"/>
      <c r="F833" s="24" t="n"/>
      <c r="G833" s="24" t="n"/>
      <c r="H833" s="24" t="n"/>
      <c r="I833" s="24" t="n"/>
      <c r="J833" s="34" t="n"/>
      <c r="K833" s="24" t="n"/>
      <c r="L833" s="24" t="n"/>
      <c r="M833" s="24" t="n"/>
      <c r="N833" s="24" t="n"/>
      <c r="O833" s="34" t="n"/>
      <c r="P833" s="24" t="n"/>
      <c r="Q833" s="24" t="n"/>
      <c r="R833" s="24" t="n"/>
    </row>
    <row r="834" ht="15" customHeight="1" s="21">
      <c r="A834" s="34" t="n"/>
      <c r="B834" s="35" t="n"/>
      <c r="C834" s="34" t="n"/>
      <c r="D834" s="31" t="n"/>
      <c r="E834" s="24" t="n"/>
      <c r="F834" s="24" t="n"/>
      <c r="G834" s="24" t="n"/>
      <c r="H834" s="24" t="n"/>
      <c r="I834" s="24" t="n"/>
      <c r="J834" s="34" t="n"/>
      <c r="K834" s="24" t="n"/>
      <c r="L834" s="24" t="n"/>
      <c r="M834" s="24" t="n"/>
      <c r="N834" s="24" t="n"/>
      <c r="O834" s="34" t="n"/>
      <c r="P834" s="24" t="n"/>
      <c r="Q834" s="24" t="n"/>
      <c r="R834" s="24" t="n"/>
    </row>
    <row r="835" ht="15" customHeight="1" s="21">
      <c r="A835" s="34" t="n"/>
      <c r="B835" s="35" t="n"/>
      <c r="C835" s="34" t="n"/>
      <c r="D835" s="31" t="n"/>
      <c r="E835" s="24" t="n"/>
      <c r="F835" s="24" t="n"/>
      <c r="G835" s="24" t="n"/>
      <c r="H835" s="24" t="n"/>
      <c r="I835" s="24" t="n"/>
      <c r="J835" s="34" t="n"/>
      <c r="K835" s="24" t="n"/>
      <c r="L835" s="24" t="n"/>
      <c r="M835" s="24" t="n"/>
      <c r="N835" s="24" t="n"/>
      <c r="O835" s="34" t="n"/>
      <c r="P835" s="24" t="n"/>
      <c r="Q835" s="24" t="n"/>
      <c r="R835" s="24" t="n"/>
    </row>
    <row r="836" ht="15" customHeight="1" s="21">
      <c r="A836" s="34" t="n"/>
      <c r="B836" s="35" t="n"/>
      <c r="C836" s="34" t="n"/>
      <c r="D836" s="31" t="n"/>
      <c r="E836" s="24" t="n"/>
      <c r="F836" s="24" t="n"/>
      <c r="G836" s="24" t="n"/>
      <c r="H836" s="24" t="n"/>
      <c r="I836" s="24" t="n"/>
      <c r="J836" s="34" t="n"/>
      <c r="K836" s="24" t="n"/>
      <c r="L836" s="24" t="n"/>
      <c r="M836" s="24" t="n"/>
      <c r="N836" s="24" t="n"/>
      <c r="O836" s="34" t="n"/>
      <c r="P836" s="24" t="n"/>
      <c r="Q836" s="24" t="n"/>
      <c r="R836" s="24" t="n"/>
    </row>
    <row r="837" ht="15" customHeight="1" s="21">
      <c r="A837" s="34" t="n"/>
      <c r="B837" s="35" t="n"/>
      <c r="C837" s="34" t="n"/>
      <c r="D837" s="31" t="n"/>
      <c r="E837" s="24" t="n"/>
      <c r="F837" s="24" t="n"/>
      <c r="G837" s="24" t="n"/>
      <c r="H837" s="24" t="n"/>
      <c r="I837" s="24" t="n"/>
      <c r="J837" s="34" t="n"/>
      <c r="K837" s="24" t="n"/>
      <c r="L837" s="24" t="n"/>
      <c r="M837" s="24" t="n"/>
      <c r="N837" s="24" t="n"/>
      <c r="O837" s="34" t="n"/>
      <c r="P837" s="24" t="n"/>
      <c r="Q837" s="24" t="n"/>
      <c r="R837" s="24" t="n"/>
    </row>
    <row r="838" ht="15" customHeight="1" s="21">
      <c r="A838" s="34" t="n"/>
      <c r="B838" s="35" t="n"/>
      <c r="C838" s="34" t="n"/>
      <c r="D838" s="31" t="n"/>
      <c r="E838" s="24" t="n"/>
      <c r="F838" s="24" t="n"/>
      <c r="G838" s="24" t="n"/>
      <c r="H838" s="24" t="n"/>
      <c r="I838" s="24" t="n"/>
      <c r="J838" s="34" t="n"/>
      <c r="K838" s="24" t="n"/>
      <c r="L838" s="24" t="n"/>
      <c r="M838" s="24" t="n"/>
      <c r="N838" s="24" t="n"/>
      <c r="O838" s="34" t="n"/>
      <c r="P838" s="24" t="n"/>
      <c r="Q838" s="24" t="n"/>
      <c r="R838" s="24" t="n"/>
    </row>
    <row r="839" ht="15" customHeight="1" s="21">
      <c r="A839" s="34" t="n"/>
      <c r="B839" s="35" t="n"/>
      <c r="C839" s="34" t="n"/>
      <c r="D839" s="31" t="n"/>
      <c r="E839" s="24" t="n"/>
      <c r="F839" s="24" t="n"/>
      <c r="G839" s="24" t="n"/>
      <c r="H839" s="24" t="n"/>
      <c r="I839" s="24" t="n"/>
      <c r="J839" s="34" t="n"/>
      <c r="K839" s="24" t="n"/>
      <c r="L839" s="24" t="n"/>
      <c r="M839" s="24" t="n"/>
      <c r="N839" s="24" t="n"/>
      <c r="O839" s="34" t="n"/>
      <c r="P839" s="24" t="n"/>
      <c r="Q839" s="24" t="n"/>
      <c r="R839" s="24" t="n"/>
    </row>
    <row r="840" ht="15" customHeight="1" s="21">
      <c r="A840" s="34" t="n"/>
      <c r="B840" s="35" t="n"/>
      <c r="C840" s="34" t="n"/>
      <c r="D840" s="31" t="n"/>
      <c r="E840" s="24" t="n"/>
      <c r="F840" s="24" t="n"/>
      <c r="G840" s="24" t="n"/>
      <c r="H840" s="24" t="n"/>
      <c r="I840" s="24" t="n"/>
      <c r="J840" s="34" t="n"/>
      <c r="K840" s="24" t="n"/>
      <c r="L840" s="24" t="n"/>
      <c r="M840" s="24" t="n"/>
      <c r="N840" s="24" t="n"/>
      <c r="O840" s="34" t="n"/>
      <c r="P840" s="24" t="n"/>
      <c r="Q840" s="24" t="n"/>
      <c r="R840" s="24" t="n"/>
    </row>
    <row r="841" ht="15" customHeight="1" s="21">
      <c r="A841" s="34" t="n"/>
      <c r="B841" s="35" t="n"/>
      <c r="C841" s="34" t="n"/>
      <c r="D841" s="31" t="n"/>
      <c r="E841" s="24" t="n"/>
      <c r="F841" s="24" t="n"/>
      <c r="G841" s="24" t="n"/>
      <c r="H841" s="24" t="n"/>
      <c r="I841" s="24" t="n"/>
      <c r="J841" s="34" t="n"/>
      <c r="K841" s="24" t="n"/>
      <c r="L841" s="24" t="n"/>
      <c r="M841" s="24" t="n"/>
      <c r="N841" s="24" t="n"/>
      <c r="O841" s="34" t="n"/>
      <c r="P841" s="24" t="n"/>
      <c r="Q841" s="24" t="n"/>
      <c r="R841" s="24" t="n"/>
    </row>
    <row r="842" ht="15" customHeight="1" s="21">
      <c r="A842" s="34" t="n"/>
      <c r="B842" s="35" t="n"/>
      <c r="C842" s="34" t="n"/>
      <c r="D842" s="31" t="n"/>
      <c r="E842" s="24" t="n"/>
      <c r="F842" s="24" t="n"/>
      <c r="G842" s="24" t="n"/>
      <c r="H842" s="24" t="n"/>
      <c r="I842" s="24" t="n"/>
      <c r="J842" s="34" t="n"/>
      <c r="K842" s="24" t="n"/>
      <c r="L842" s="24" t="n"/>
      <c r="M842" s="24" t="n"/>
      <c r="N842" s="24" t="n"/>
      <c r="O842" s="34" t="n"/>
      <c r="P842" s="24" t="n"/>
      <c r="Q842" s="24" t="n"/>
      <c r="R842" s="24" t="n"/>
    </row>
    <row r="843" ht="15" customHeight="1" s="21">
      <c r="A843" s="34" t="n"/>
      <c r="B843" s="35" t="n"/>
      <c r="C843" s="34" t="n"/>
      <c r="D843" s="31" t="n"/>
      <c r="E843" s="24" t="n"/>
      <c r="F843" s="24" t="n"/>
      <c r="G843" s="24" t="n"/>
      <c r="H843" s="24" t="n"/>
      <c r="I843" s="24" t="n"/>
      <c r="J843" s="34" t="n"/>
      <c r="K843" s="24" t="n"/>
      <c r="L843" s="24" t="n"/>
      <c r="M843" s="24" t="n"/>
      <c r="N843" s="24" t="n"/>
      <c r="O843" s="34" t="n"/>
      <c r="P843" s="24" t="n"/>
      <c r="Q843" s="24" t="n"/>
      <c r="R843" s="24" t="n"/>
    </row>
    <row r="844" ht="15" customHeight="1" s="21">
      <c r="A844" s="34" t="n"/>
      <c r="B844" s="35" t="n"/>
      <c r="C844" s="34" t="n"/>
      <c r="D844" s="31" t="n"/>
      <c r="E844" s="24" t="n"/>
      <c r="F844" s="24" t="n"/>
      <c r="G844" s="24" t="n"/>
      <c r="H844" s="24" t="n"/>
      <c r="I844" s="24" t="n"/>
      <c r="J844" s="34" t="n"/>
      <c r="K844" s="24" t="n"/>
      <c r="L844" s="24" t="n"/>
      <c r="M844" s="24" t="n"/>
      <c r="N844" s="24" t="n"/>
      <c r="O844" s="34" t="n"/>
      <c r="P844" s="24" t="n"/>
      <c r="Q844" s="24" t="n"/>
      <c r="R844" s="24" t="n"/>
    </row>
    <row r="845" ht="15" customHeight="1" s="21">
      <c r="A845" s="34" t="n"/>
      <c r="B845" s="35" t="n"/>
      <c r="C845" s="34" t="n"/>
      <c r="D845" s="31" t="n"/>
      <c r="E845" s="24" t="n"/>
      <c r="F845" s="24" t="n"/>
      <c r="G845" s="24" t="n"/>
      <c r="H845" s="24" t="n"/>
      <c r="I845" s="24" t="n"/>
      <c r="J845" s="34" t="n"/>
      <c r="K845" s="24" t="n"/>
      <c r="L845" s="24" t="n"/>
      <c r="M845" s="24" t="n"/>
      <c r="N845" s="24" t="n"/>
      <c r="O845" s="34" t="n"/>
      <c r="P845" s="24" t="n"/>
      <c r="Q845" s="24" t="n"/>
      <c r="R845" s="24" t="n"/>
    </row>
    <row r="846" ht="15" customHeight="1" s="21">
      <c r="A846" s="34" t="n"/>
      <c r="B846" s="35" t="n"/>
      <c r="C846" s="34" t="n"/>
      <c r="D846" s="31" t="n"/>
      <c r="E846" s="24" t="n"/>
      <c r="F846" s="24" t="n"/>
      <c r="G846" s="24" t="n"/>
      <c r="H846" s="24" t="n"/>
      <c r="I846" s="24" t="n"/>
      <c r="J846" s="34" t="n"/>
      <c r="K846" s="24" t="n"/>
      <c r="L846" s="24" t="n"/>
      <c r="M846" s="24" t="n"/>
      <c r="N846" s="24" t="n"/>
      <c r="O846" s="34" t="n"/>
      <c r="P846" s="24" t="n"/>
      <c r="Q846" s="24" t="n"/>
      <c r="R846" s="24" t="n"/>
    </row>
    <row r="847" ht="15" customHeight="1" s="21">
      <c r="A847" s="34" t="n"/>
      <c r="B847" s="35" t="n"/>
      <c r="C847" s="34" t="n"/>
      <c r="D847" s="31" t="n"/>
      <c r="E847" s="24" t="n"/>
      <c r="F847" s="24" t="n"/>
      <c r="G847" s="24" t="n"/>
      <c r="H847" s="24" t="n"/>
      <c r="I847" s="24" t="n"/>
      <c r="J847" s="34" t="n"/>
      <c r="K847" s="24" t="n"/>
      <c r="L847" s="24" t="n"/>
      <c r="M847" s="24" t="n"/>
      <c r="N847" s="24" t="n"/>
      <c r="O847" s="34" t="n"/>
      <c r="P847" s="24" t="n"/>
      <c r="Q847" s="24" t="n"/>
      <c r="R847" s="24" t="n"/>
    </row>
    <row r="848" ht="15" customHeight="1" s="21">
      <c r="A848" s="34" t="n"/>
      <c r="B848" s="35" t="n"/>
      <c r="C848" s="34" t="n"/>
      <c r="D848" s="31" t="n"/>
      <c r="E848" s="24" t="n"/>
      <c r="F848" s="24" t="n"/>
      <c r="G848" s="24" t="n"/>
      <c r="H848" s="24" t="n"/>
      <c r="I848" s="24" t="n"/>
      <c r="J848" s="34" t="n"/>
      <c r="K848" s="24" t="n"/>
      <c r="L848" s="24" t="n"/>
      <c r="M848" s="24" t="n"/>
      <c r="N848" s="24" t="n"/>
      <c r="O848" s="34" t="n"/>
      <c r="P848" s="24" t="n"/>
      <c r="Q848" s="24" t="n"/>
      <c r="R848" s="24" t="n"/>
    </row>
    <row r="849" ht="15" customHeight="1" s="21">
      <c r="A849" s="34" t="n"/>
      <c r="B849" s="35" t="n"/>
      <c r="C849" s="34" t="n"/>
      <c r="D849" s="31" t="n"/>
      <c r="E849" s="24" t="n"/>
      <c r="F849" s="24" t="n"/>
      <c r="G849" s="24" t="n"/>
      <c r="H849" s="24" t="n"/>
      <c r="I849" s="24" t="n"/>
      <c r="J849" s="34" t="n"/>
      <c r="K849" s="24" t="n"/>
      <c r="L849" s="24" t="n"/>
      <c r="M849" s="24" t="n"/>
      <c r="N849" s="24" t="n"/>
      <c r="O849" s="34" t="n"/>
      <c r="P849" s="24" t="n"/>
      <c r="Q849" s="24" t="n"/>
      <c r="R849" s="24" t="n"/>
    </row>
    <row r="850" ht="15" customHeight="1" s="21">
      <c r="A850" s="34" t="n"/>
      <c r="B850" s="35" t="n"/>
      <c r="C850" s="34" t="n"/>
      <c r="D850" s="31" t="n"/>
      <c r="E850" s="24" t="n"/>
      <c r="F850" s="24" t="n"/>
      <c r="G850" s="24" t="n"/>
      <c r="H850" s="24" t="n"/>
      <c r="I850" s="24" t="n"/>
      <c r="J850" s="34" t="n"/>
      <c r="K850" s="24" t="n"/>
      <c r="L850" s="24" t="n"/>
      <c r="M850" s="24" t="n"/>
      <c r="N850" s="24" t="n"/>
      <c r="O850" s="34" t="n"/>
      <c r="P850" s="24" t="n"/>
      <c r="Q850" s="24" t="n"/>
      <c r="R850" s="24" t="n"/>
    </row>
    <row r="851" ht="15" customHeight="1" s="21">
      <c r="A851" s="34" t="n"/>
      <c r="B851" s="35" t="n"/>
      <c r="C851" s="34" t="n"/>
      <c r="D851" s="31" t="n"/>
      <c r="E851" s="24" t="n"/>
      <c r="F851" s="24" t="n"/>
      <c r="G851" s="24" t="n"/>
      <c r="H851" s="24" t="n"/>
      <c r="I851" s="24" t="n"/>
      <c r="J851" s="34" t="n"/>
      <c r="K851" s="24" t="n"/>
      <c r="L851" s="24" t="n"/>
      <c r="M851" s="24" t="n"/>
      <c r="N851" s="24" t="n"/>
      <c r="O851" s="34" t="n"/>
      <c r="P851" s="24" t="n"/>
      <c r="Q851" s="24" t="n"/>
      <c r="R851" s="24" t="n"/>
    </row>
    <row r="852" ht="15" customHeight="1" s="21">
      <c r="A852" s="34" t="n"/>
      <c r="B852" s="35" t="n"/>
      <c r="C852" s="34" t="n"/>
      <c r="D852" s="31" t="n"/>
      <c r="E852" s="24" t="n"/>
      <c r="F852" s="24" t="n"/>
      <c r="G852" s="24" t="n"/>
      <c r="H852" s="24" t="n"/>
      <c r="I852" s="24" t="n"/>
      <c r="J852" s="34" t="n"/>
      <c r="K852" s="24" t="n"/>
      <c r="L852" s="24" t="n"/>
      <c r="M852" s="24" t="n"/>
      <c r="N852" s="24" t="n"/>
      <c r="O852" s="34" t="n"/>
      <c r="P852" s="24" t="n"/>
      <c r="Q852" s="24" t="n"/>
      <c r="R852" s="24" t="n"/>
    </row>
    <row r="853" ht="15" customHeight="1" s="21">
      <c r="A853" s="34" t="n"/>
      <c r="B853" s="35" t="n"/>
      <c r="C853" s="34" t="n"/>
      <c r="D853" s="31" t="n"/>
      <c r="E853" s="24" t="n"/>
      <c r="F853" s="24" t="n"/>
      <c r="G853" s="24" t="n"/>
      <c r="H853" s="24" t="n"/>
      <c r="I853" s="24" t="n"/>
      <c r="J853" s="34" t="n"/>
      <c r="K853" s="24" t="n"/>
      <c r="L853" s="24" t="n"/>
      <c r="M853" s="24" t="n"/>
      <c r="N853" s="24" t="n"/>
      <c r="O853" s="34" t="n"/>
      <c r="P853" s="24" t="n"/>
      <c r="Q853" s="24" t="n"/>
      <c r="R853" s="24" t="n"/>
    </row>
    <row r="854" ht="15" customHeight="1" s="21">
      <c r="A854" s="34" t="n"/>
      <c r="B854" s="35" t="n"/>
      <c r="C854" s="34" t="n"/>
      <c r="D854" s="31" t="n"/>
      <c r="E854" s="24" t="n"/>
      <c r="F854" s="24" t="n"/>
      <c r="G854" s="24" t="n"/>
      <c r="H854" s="24" t="n"/>
      <c r="I854" s="24" t="n"/>
      <c r="J854" s="34" t="n"/>
      <c r="K854" s="24" t="n"/>
      <c r="L854" s="24" t="n"/>
      <c r="M854" s="24" t="n"/>
      <c r="N854" s="24" t="n"/>
      <c r="O854" s="34" t="n"/>
      <c r="P854" s="24" t="n"/>
      <c r="Q854" s="24" t="n"/>
      <c r="R854" s="24" t="n"/>
    </row>
    <row r="855" ht="15" customHeight="1" s="21">
      <c r="A855" s="34" t="n"/>
      <c r="B855" s="35" t="n"/>
      <c r="C855" s="34" t="n"/>
      <c r="D855" s="31" t="n"/>
      <c r="E855" s="24" t="n"/>
      <c r="F855" s="24" t="n"/>
      <c r="G855" s="24" t="n"/>
      <c r="H855" s="24" t="n"/>
      <c r="I855" s="24" t="n"/>
      <c r="J855" s="34" t="n"/>
      <c r="K855" s="24" t="n"/>
      <c r="L855" s="24" t="n"/>
      <c r="M855" s="24" t="n"/>
      <c r="N855" s="24" t="n"/>
      <c r="O855" s="34" t="n"/>
      <c r="P855" s="24" t="n"/>
      <c r="Q855" s="24" t="n"/>
      <c r="R855" s="24" t="n"/>
    </row>
    <row r="856" ht="15" customHeight="1" s="21">
      <c r="A856" s="34" t="n"/>
      <c r="B856" s="35" t="n"/>
      <c r="C856" s="34" t="n"/>
      <c r="D856" s="31" t="n"/>
      <c r="E856" s="24" t="n"/>
      <c r="F856" s="24" t="n"/>
      <c r="G856" s="24" t="n"/>
      <c r="H856" s="24" t="n"/>
      <c r="I856" s="24" t="n"/>
      <c r="J856" s="34" t="n"/>
      <c r="K856" s="24" t="n"/>
      <c r="L856" s="24" t="n"/>
      <c r="M856" s="24" t="n"/>
      <c r="N856" s="24" t="n"/>
      <c r="O856" s="34" t="n"/>
      <c r="P856" s="24" t="n"/>
      <c r="Q856" s="24" t="n"/>
      <c r="R856" s="24" t="n"/>
    </row>
    <row r="857" ht="15" customHeight="1" s="21">
      <c r="A857" s="34" t="n"/>
      <c r="B857" s="35" t="n"/>
      <c r="C857" s="34" t="n"/>
      <c r="D857" s="31" t="n"/>
      <c r="E857" s="24" t="n"/>
      <c r="F857" s="24" t="n"/>
      <c r="G857" s="24" t="n"/>
      <c r="H857" s="24" t="n"/>
      <c r="I857" s="24" t="n"/>
      <c r="J857" s="34" t="n"/>
      <c r="K857" s="24" t="n"/>
      <c r="L857" s="24" t="n"/>
      <c r="M857" s="24" t="n"/>
      <c r="N857" s="24" t="n"/>
      <c r="O857" s="34" t="n"/>
      <c r="P857" s="24" t="n"/>
      <c r="Q857" s="24" t="n"/>
      <c r="R857" s="24" t="n"/>
    </row>
    <row r="858" ht="15" customHeight="1" s="21">
      <c r="A858" s="34" t="n"/>
      <c r="B858" s="35" t="n"/>
      <c r="C858" s="34" t="n"/>
      <c r="D858" s="31" t="n"/>
      <c r="E858" s="24" t="n"/>
      <c r="F858" s="24" t="n"/>
      <c r="G858" s="24" t="n"/>
      <c r="H858" s="24" t="n"/>
      <c r="I858" s="24" t="n"/>
      <c r="J858" s="34" t="n"/>
      <c r="K858" s="24" t="n"/>
      <c r="L858" s="24" t="n"/>
      <c r="M858" s="24" t="n"/>
      <c r="N858" s="24" t="n"/>
      <c r="O858" s="34" t="n"/>
      <c r="P858" s="24" t="n"/>
      <c r="Q858" s="24" t="n"/>
      <c r="R858" s="24" t="n"/>
    </row>
    <row r="859" ht="15" customHeight="1" s="21">
      <c r="A859" s="34" t="n"/>
      <c r="B859" s="35" t="n"/>
      <c r="C859" s="34" t="n"/>
      <c r="D859" s="31" t="n"/>
      <c r="E859" s="24" t="n"/>
      <c r="F859" s="24" t="n"/>
      <c r="G859" s="24" t="n"/>
      <c r="H859" s="24" t="n"/>
      <c r="I859" s="24" t="n"/>
      <c r="J859" s="34" t="n"/>
      <c r="K859" s="24" t="n"/>
      <c r="L859" s="24" t="n"/>
      <c r="M859" s="24" t="n"/>
      <c r="N859" s="24" t="n"/>
      <c r="O859" s="34" t="n"/>
      <c r="P859" s="24" t="n"/>
      <c r="Q859" s="24" t="n"/>
      <c r="R859" s="24" t="n"/>
    </row>
    <row r="860" ht="15" customHeight="1" s="21">
      <c r="A860" s="34" t="n"/>
      <c r="B860" s="35" t="n"/>
      <c r="C860" s="34" t="n"/>
      <c r="D860" s="31" t="n"/>
      <c r="E860" s="24" t="n"/>
      <c r="F860" s="24" t="n"/>
      <c r="G860" s="24" t="n"/>
      <c r="H860" s="24" t="n"/>
      <c r="I860" s="24" t="n"/>
      <c r="J860" s="34" t="n"/>
      <c r="K860" s="24" t="n"/>
      <c r="L860" s="24" t="n"/>
      <c r="M860" s="24" t="n"/>
      <c r="N860" s="24" t="n"/>
      <c r="O860" s="34" t="n"/>
      <c r="P860" s="24" t="n"/>
      <c r="Q860" s="24" t="n"/>
      <c r="R860" s="24" t="n"/>
    </row>
    <row r="861" ht="15" customHeight="1" s="21">
      <c r="A861" s="34" t="n"/>
      <c r="B861" s="35" t="n"/>
      <c r="C861" s="34" t="n"/>
      <c r="D861" s="31" t="n"/>
      <c r="E861" s="24" t="n"/>
      <c r="F861" s="24" t="n"/>
      <c r="G861" s="24" t="n"/>
      <c r="H861" s="24" t="n"/>
      <c r="I861" s="24" t="n"/>
      <c r="J861" s="34" t="n"/>
      <c r="K861" s="24" t="n"/>
      <c r="L861" s="24" t="n"/>
      <c r="M861" s="24" t="n"/>
      <c r="N861" s="24" t="n"/>
      <c r="O861" s="34" t="n"/>
      <c r="P861" s="24" t="n"/>
      <c r="Q861" s="24" t="n"/>
      <c r="R861" s="24" t="n"/>
    </row>
    <row r="862" ht="15" customHeight="1" s="21">
      <c r="A862" s="34" t="n"/>
      <c r="B862" s="35" t="n"/>
      <c r="C862" s="34" t="n"/>
      <c r="D862" s="31" t="n"/>
      <c r="E862" s="24" t="n"/>
      <c r="F862" s="24" t="n"/>
      <c r="G862" s="24" t="n"/>
      <c r="H862" s="24" t="n"/>
      <c r="I862" s="24" t="n"/>
      <c r="J862" s="34" t="n"/>
      <c r="K862" s="24" t="n"/>
      <c r="L862" s="24" t="n"/>
      <c r="M862" s="24" t="n"/>
      <c r="N862" s="24" t="n"/>
      <c r="O862" s="34" t="n"/>
      <c r="P862" s="24" t="n"/>
      <c r="Q862" s="24" t="n"/>
      <c r="R862" s="24" t="n"/>
    </row>
    <row r="863" ht="15" customHeight="1" s="21">
      <c r="A863" s="34" t="n"/>
      <c r="B863" s="35" t="n"/>
      <c r="C863" s="34" t="n"/>
      <c r="D863" s="31" t="n"/>
      <c r="E863" s="24" t="n"/>
      <c r="F863" s="24" t="n"/>
      <c r="G863" s="24" t="n"/>
      <c r="H863" s="24" t="n"/>
      <c r="I863" s="24" t="n"/>
      <c r="J863" s="34" t="n"/>
      <c r="K863" s="24" t="n"/>
      <c r="L863" s="24" t="n"/>
      <c r="M863" s="24" t="n"/>
      <c r="N863" s="24" t="n"/>
      <c r="O863" s="34" t="n"/>
      <c r="P863" s="24" t="n"/>
      <c r="Q863" s="24" t="n"/>
      <c r="R863" s="24" t="n"/>
    </row>
    <row r="864" ht="15" customHeight="1" s="21">
      <c r="A864" s="34" t="n"/>
      <c r="B864" s="35" t="n"/>
      <c r="C864" s="34" t="n"/>
      <c r="D864" s="31" t="n"/>
      <c r="E864" s="24" t="n"/>
      <c r="F864" s="24" t="n"/>
      <c r="G864" s="24" t="n"/>
      <c r="H864" s="24" t="n"/>
      <c r="I864" s="24" t="n"/>
      <c r="J864" s="34" t="n"/>
      <c r="K864" s="24" t="n"/>
      <c r="L864" s="24" t="n"/>
      <c r="M864" s="24" t="n"/>
      <c r="N864" s="24" t="n"/>
      <c r="O864" s="34" t="n"/>
      <c r="P864" s="24" t="n"/>
      <c r="Q864" s="24" t="n"/>
      <c r="R864" s="24" t="n"/>
    </row>
    <row r="865" ht="15" customHeight="1" s="21">
      <c r="A865" s="34" t="n"/>
      <c r="B865" s="35" t="n"/>
      <c r="C865" s="34" t="n"/>
      <c r="D865" s="31" t="n"/>
      <c r="E865" s="24" t="n"/>
      <c r="F865" s="24" t="n"/>
      <c r="G865" s="24" t="n"/>
      <c r="H865" s="24" t="n"/>
      <c r="I865" s="24" t="n"/>
      <c r="J865" s="34" t="n"/>
      <c r="K865" s="24" t="n"/>
      <c r="L865" s="24" t="n"/>
      <c r="M865" s="24" t="n"/>
      <c r="N865" s="24" t="n"/>
      <c r="O865" s="34" t="n"/>
      <c r="P865" s="24" t="n"/>
      <c r="Q865" s="24" t="n"/>
      <c r="R865" s="24" t="n"/>
    </row>
    <row r="866" ht="15" customHeight="1" s="21">
      <c r="A866" s="34" t="n"/>
      <c r="B866" s="35" t="n"/>
      <c r="C866" s="34" t="n"/>
      <c r="D866" s="31" t="n"/>
      <c r="E866" s="24" t="n"/>
      <c r="F866" s="24" t="n"/>
      <c r="G866" s="24" t="n"/>
      <c r="H866" s="24" t="n"/>
      <c r="I866" s="24" t="n"/>
      <c r="J866" s="34" t="n"/>
      <c r="K866" s="24" t="n"/>
      <c r="L866" s="24" t="n"/>
      <c r="M866" s="24" t="n"/>
      <c r="N866" s="24" t="n"/>
      <c r="O866" s="34" t="n"/>
      <c r="P866" s="24" t="n"/>
      <c r="Q866" s="24" t="n"/>
      <c r="R866" s="24" t="n"/>
    </row>
    <row r="867" ht="15" customHeight="1" s="21">
      <c r="A867" s="34" t="n"/>
      <c r="B867" s="35" t="n"/>
      <c r="C867" s="34" t="n"/>
      <c r="D867" s="31" t="n"/>
      <c r="E867" s="24" t="n"/>
      <c r="F867" s="24" t="n"/>
      <c r="G867" s="24" t="n"/>
      <c r="H867" s="24" t="n"/>
      <c r="I867" s="24" t="n"/>
      <c r="J867" s="34" t="n"/>
      <c r="K867" s="24" t="n"/>
      <c r="L867" s="24" t="n"/>
      <c r="M867" s="24" t="n"/>
      <c r="N867" s="24" t="n"/>
      <c r="O867" s="34" t="n"/>
      <c r="P867" s="24" t="n"/>
      <c r="Q867" s="24" t="n"/>
      <c r="R867" s="24" t="n"/>
    </row>
    <row r="868" ht="15" customHeight="1" s="21">
      <c r="A868" s="34" t="n"/>
      <c r="B868" s="35" t="n"/>
      <c r="C868" s="34" t="n"/>
      <c r="D868" s="31" t="n"/>
      <c r="E868" s="24" t="n"/>
      <c r="F868" s="24" t="n"/>
      <c r="G868" s="24" t="n"/>
      <c r="H868" s="24" t="n"/>
      <c r="I868" s="24" t="n"/>
      <c r="J868" s="34" t="n"/>
      <c r="K868" s="24" t="n"/>
      <c r="L868" s="24" t="n"/>
      <c r="M868" s="24" t="n"/>
      <c r="N868" s="24" t="n"/>
      <c r="O868" s="34" t="n"/>
      <c r="P868" s="24" t="n"/>
      <c r="Q868" s="24" t="n"/>
      <c r="R868" s="24" t="n"/>
    </row>
    <row r="869" ht="15" customHeight="1" s="21">
      <c r="A869" s="34" t="n"/>
      <c r="B869" s="35" t="n"/>
      <c r="C869" s="34" t="n"/>
      <c r="D869" s="31" t="n"/>
      <c r="E869" s="24" t="n"/>
      <c r="F869" s="24" t="n"/>
      <c r="G869" s="24" t="n"/>
      <c r="H869" s="24" t="n"/>
      <c r="I869" s="24" t="n"/>
      <c r="J869" s="34" t="n"/>
      <c r="K869" s="24" t="n"/>
      <c r="L869" s="24" t="n"/>
      <c r="M869" s="24" t="n"/>
      <c r="N869" s="24" t="n"/>
      <c r="O869" s="34" t="n"/>
      <c r="P869" s="24" t="n"/>
      <c r="Q869" s="24" t="n"/>
      <c r="R869" s="24" t="n"/>
    </row>
    <row r="870" ht="15" customHeight="1" s="21">
      <c r="A870" s="34" t="n"/>
      <c r="B870" s="35" t="n"/>
      <c r="C870" s="34" t="n"/>
      <c r="D870" s="31" t="n"/>
      <c r="E870" s="24" t="n"/>
      <c r="F870" s="24" t="n"/>
      <c r="G870" s="24" t="n"/>
      <c r="H870" s="24" t="n"/>
      <c r="I870" s="24" t="n"/>
      <c r="J870" s="34" t="n"/>
      <c r="K870" s="24" t="n"/>
      <c r="L870" s="24" t="n"/>
      <c r="M870" s="24" t="n"/>
      <c r="N870" s="24" t="n"/>
      <c r="O870" s="34" t="n"/>
      <c r="P870" s="24" t="n"/>
      <c r="Q870" s="24" t="n"/>
      <c r="R870" s="24" t="n"/>
    </row>
    <row r="871" ht="15" customHeight="1" s="21">
      <c r="A871" s="34" t="n"/>
      <c r="B871" s="35" t="n"/>
      <c r="C871" s="34" t="n"/>
      <c r="D871" s="31" t="n"/>
      <c r="E871" s="24" t="n"/>
      <c r="F871" s="24" t="n"/>
      <c r="G871" s="24" t="n"/>
      <c r="H871" s="24" t="n"/>
      <c r="I871" s="24" t="n"/>
      <c r="J871" s="34" t="n"/>
      <c r="K871" s="24" t="n"/>
      <c r="L871" s="24" t="n"/>
      <c r="M871" s="24" t="n"/>
      <c r="N871" s="24" t="n"/>
      <c r="O871" s="34" t="n"/>
      <c r="P871" s="24" t="n"/>
      <c r="Q871" s="24" t="n"/>
      <c r="R871" s="24" t="n"/>
    </row>
    <row r="872" ht="15" customHeight="1" s="21">
      <c r="A872" s="34" t="n"/>
      <c r="B872" s="35" t="n"/>
      <c r="C872" s="34" t="n"/>
      <c r="D872" s="31" t="n"/>
      <c r="E872" s="24" t="n"/>
      <c r="F872" s="24" t="n"/>
      <c r="G872" s="24" t="n"/>
      <c r="H872" s="24" t="n"/>
      <c r="I872" s="24" t="n"/>
      <c r="J872" s="34" t="n"/>
      <c r="K872" s="24" t="n"/>
      <c r="L872" s="24" t="n"/>
      <c r="M872" s="24" t="n"/>
      <c r="N872" s="24" t="n"/>
      <c r="O872" s="34" t="n"/>
      <c r="P872" s="24" t="n"/>
      <c r="Q872" s="24" t="n"/>
      <c r="R872" s="24" t="n"/>
    </row>
    <row r="873" ht="15" customHeight="1" s="21">
      <c r="A873" s="34" t="n"/>
      <c r="B873" s="35" t="n"/>
      <c r="C873" s="34" t="n"/>
      <c r="D873" s="31" t="n"/>
      <c r="E873" s="24" t="n"/>
      <c r="F873" s="24" t="n"/>
      <c r="G873" s="24" t="n"/>
      <c r="H873" s="24" t="n"/>
      <c r="I873" s="24" t="n"/>
      <c r="J873" s="34" t="n"/>
      <c r="K873" s="24" t="n"/>
      <c r="L873" s="24" t="n"/>
      <c r="M873" s="24" t="n"/>
      <c r="N873" s="24" t="n"/>
      <c r="O873" s="34" t="n"/>
      <c r="P873" s="24" t="n"/>
      <c r="Q873" s="24" t="n"/>
      <c r="R873" s="24" t="n"/>
    </row>
    <row r="874" ht="15" customHeight="1" s="21">
      <c r="A874" s="34" t="n"/>
      <c r="B874" s="35" t="n"/>
      <c r="C874" s="34" t="n"/>
      <c r="D874" s="31" t="n"/>
      <c r="E874" s="24" t="n"/>
      <c r="F874" s="24" t="n"/>
      <c r="G874" s="24" t="n"/>
      <c r="H874" s="24" t="n"/>
      <c r="I874" s="24" t="n"/>
      <c r="J874" s="34" t="n"/>
      <c r="K874" s="24" t="n"/>
      <c r="L874" s="24" t="n"/>
      <c r="M874" s="24" t="n"/>
      <c r="N874" s="24" t="n"/>
      <c r="O874" s="34" t="n"/>
      <c r="P874" s="24" t="n"/>
      <c r="Q874" s="24" t="n"/>
      <c r="R874" s="24" t="n"/>
    </row>
    <row r="875" ht="15" customHeight="1" s="21">
      <c r="A875" s="34" t="n"/>
      <c r="B875" s="35" t="n"/>
      <c r="C875" s="34" t="n"/>
      <c r="D875" s="31" t="n"/>
      <c r="E875" s="24" t="n"/>
      <c r="F875" s="24" t="n"/>
      <c r="G875" s="24" t="n"/>
      <c r="H875" s="24" t="n"/>
      <c r="I875" s="24" t="n"/>
      <c r="J875" s="34" t="n"/>
      <c r="K875" s="24" t="n"/>
      <c r="L875" s="24" t="n"/>
      <c r="M875" s="24" t="n"/>
      <c r="N875" s="24" t="n"/>
      <c r="O875" s="34" t="n"/>
      <c r="P875" s="24" t="n"/>
      <c r="Q875" s="24" t="n"/>
      <c r="R875" s="24" t="n"/>
    </row>
    <row r="876" ht="15" customHeight="1" s="21">
      <c r="A876" s="34" t="n"/>
      <c r="B876" s="35" t="n"/>
      <c r="C876" s="34" t="n"/>
      <c r="D876" s="31" t="n"/>
      <c r="E876" s="24" t="n"/>
      <c r="F876" s="24" t="n"/>
      <c r="G876" s="24" t="n"/>
      <c r="H876" s="24" t="n"/>
      <c r="I876" s="24" t="n"/>
      <c r="J876" s="34" t="n"/>
      <c r="K876" s="24" t="n"/>
      <c r="L876" s="24" t="n"/>
      <c r="M876" s="24" t="n"/>
      <c r="N876" s="24" t="n"/>
      <c r="O876" s="34" t="n"/>
      <c r="P876" s="24" t="n"/>
      <c r="Q876" s="24" t="n"/>
      <c r="R876" s="24" t="n"/>
    </row>
    <row r="877" ht="15" customHeight="1" s="21">
      <c r="A877" s="34" t="n"/>
      <c r="B877" s="35" t="n"/>
      <c r="C877" s="34" t="n"/>
      <c r="D877" s="31" t="n"/>
      <c r="E877" s="24" t="n"/>
      <c r="F877" s="24" t="n"/>
      <c r="G877" s="24" t="n"/>
      <c r="H877" s="24" t="n"/>
      <c r="I877" s="24" t="n"/>
      <c r="J877" s="34" t="n"/>
      <c r="K877" s="24" t="n"/>
      <c r="L877" s="24" t="n"/>
      <c r="M877" s="24" t="n"/>
      <c r="N877" s="24" t="n"/>
      <c r="O877" s="34" t="n"/>
      <c r="P877" s="24" t="n"/>
      <c r="Q877" s="24" t="n"/>
      <c r="R877" s="24" t="n"/>
    </row>
    <row r="878" ht="15" customHeight="1" s="21">
      <c r="A878" s="34" t="n"/>
      <c r="B878" s="35" t="n"/>
      <c r="C878" s="34" t="n"/>
      <c r="D878" s="31" t="n"/>
      <c r="E878" s="24" t="n"/>
      <c r="F878" s="24" t="n"/>
      <c r="G878" s="24" t="n"/>
      <c r="H878" s="24" t="n"/>
      <c r="I878" s="24" t="n"/>
      <c r="J878" s="34" t="n"/>
      <c r="K878" s="24" t="n"/>
      <c r="L878" s="24" t="n"/>
      <c r="M878" s="24" t="n"/>
      <c r="N878" s="24" t="n"/>
      <c r="O878" s="34" t="n"/>
      <c r="P878" s="24" t="n"/>
      <c r="Q878" s="24" t="n"/>
      <c r="R878" s="24" t="n"/>
    </row>
    <row r="879" ht="15" customHeight="1" s="21">
      <c r="A879" s="34" t="n"/>
      <c r="B879" s="35" t="n"/>
      <c r="C879" s="34" t="n"/>
      <c r="D879" s="31" t="n"/>
      <c r="E879" s="24" t="n"/>
      <c r="F879" s="24" t="n"/>
      <c r="G879" s="24" t="n"/>
      <c r="H879" s="24" t="n"/>
      <c r="I879" s="24" t="n"/>
      <c r="J879" s="34" t="n"/>
      <c r="K879" s="24" t="n"/>
      <c r="L879" s="24" t="n"/>
      <c r="M879" s="24" t="n"/>
      <c r="N879" s="24" t="n"/>
      <c r="O879" s="34" t="n"/>
      <c r="P879" s="24" t="n"/>
      <c r="Q879" s="24" t="n"/>
      <c r="R879" s="24" t="n"/>
    </row>
    <row r="880" ht="15" customHeight="1" s="21">
      <c r="A880" s="34" t="n"/>
      <c r="B880" s="35" t="n"/>
      <c r="C880" s="34" t="n"/>
      <c r="D880" s="31" t="n"/>
      <c r="E880" s="24" t="n"/>
      <c r="F880" s="24" t="n"/>
      <c r="G880" s="24" t="n"/>
      <c r="H880" s="24" t="n"/>
      <c r="I880" s="24" t="n"/>
      <c r="J880" s="34" t="n"/>
      <c r="K880" s="24" t="n"/>
      <c r="L880" s="24" t="n"/>
      <c r="M880" s="24" t="n"/>
      <c r="N880" s="24" t="n"/>
      <c r="O880" s="34" t="n"/>
      <c r="P880" s="24" t="n"/>
      <c r="Q880" s="24" t="n"/>
      <c r="R880" s="24" t="n"/>
    </row>
    <row r="881" ht="15" customHeight="1" s="21">
      <c r="A881" s="34" t="n"/>
      <c r="B881" s="35" t="n"/>
      <c r="C881" s="34" t="n"/>
      <c r="D881" s="31" t="n"/>
      <c r="E881" s="24" t="n"/>
      <c r="F881" s="24" t="n"/>
      <c r="G881" s="24" t="n"/>
      <c r="H881" s="24" t="n"/>
      <c r="I881" s="24" t="n"/>
      <c r="J881" s="34" t="n"/>
      <c r="K881" s="24" t="n"/>
      <c r="L881" s="24" t="n"/>
      <c r="M881" s="24" t="n"/>
      <c r="N881" s="24" t="n"/>
      <c r="O881" s="34" t="n"/>
      <c r="P881" s="24" t="n"/>
      <c r="Q881" s="24" t="n"/>
      <c r="R881" s="24" t="n"/>
    </row>
    <row r="882" ht="15" customHeight="1" s="21">
      <c r="A882" s="34" t="n"/>
      <c r="B882" s="35" t="n"/>
      <c r="C882" s="34" t="n"/>
      <c r="D882" s="31" t="n"/>
      <c r="E882" s="24" t="n"/>
      <c r="F882" s="24" t="n"/>
      <c r="G882" s="24" t="n"/>
      <c r="H882" s="24" t="n"/>
      <c r="I882" s="24" t="n"/>
      <c r="J882" s="34" t="n"/>
      <c r="K882" s="24" t="n"/>
      <c r="L882" s="24" t="n"/>
      <c r="M882" s="24" t="n"/>
      <c r="N882" s="24" t="n"/>
      <c r="O882" s="34" t="n"/>
      <c r="P882" s="24" t="n"/>
      <c r="Q882" s="24" t="n"/>
      <c r="R882" s="24" t="n"/>
    </row>
    <row r="883" ht="15" customHeight="1" s="21">
      <c r="A883" s="34" t="n"/>
      <c r="B883" s="35" t="n"/>
      <c r="C883" s="34" t="n"/>
      <c r="D883" s="31" t="n"/>
      <c r="E883" s="24" t="n"/>
      <c r="F883" s="24" t="n"/>
      <c r="G883" s="24" t="n"/>
      <c r="H883" s="24" t="n"/>
      <c r="I883" s="24" t="n"/>
      <c r="J883" s="34" t="n"/>
      <c r="K883" s="24" t="n"/>
      <c r="L883" s="24" t="n"/>
      <c r="M883" s="24" t="n"/>
      <c r="N883" s="24" t="n"/>
      <c r="O883" s="34" t="n"/>
      <c r="P883" s="24" t="n"/>
      <c r="Q883" s="24" t="n"/>
      <c r="R883" s="24" t="n"/>
    </row>
    <row r="884" ht="15" customHeight="1" s="21">
      <c r="A884" s="34" t="n"/>
      <c r="B884" s="35" t="n"/>
      <c r="C884" s="34" t="n"/>
      <c r="D884" s="31" t="n"/>
      <c r="E884" s="24" t="n"/>
      <c r="F884" s="24" t="n"/>
      <c r="G884" s="24" t="n"/>
      <c r="H884" s="24" t="n"/>
      <c r="I884" s="24" t="n"/>
      <c r="J884" s="34" t="n"/>
      <c r="K884" s="24" t="n"/>
      <c r="L884" s="24" t="n"/>
      <c r="M884" s="24" t="n"/>
      <c r="N884" s="24" t="n"/>
      <c r="O884" s="34" t="n"/>
      <c r="P884" s="24" t="n"/>
      <c r="Q884" s="24" t="n"/>
      <c r="R884" s="24" t="n"/>
    </row>
    <row r="885" ht="15" customHeight="1" s="21">
      <c r="A885" s="34" t="n"/>
      <c r="B885" s="35" t="n"/>
      <c r="C885" s="34" t="n"/>
      <c r="D885" s="31" t="n"/>
      <c r="E885" s="24" t="n"/>
      <c r="F885" s="24" t="n"/>
      <c r="G885" s="24" t="n"/>
      <c r="H885" s="24" t="n"/>
      <c r="I885" s="24" t="n"/>
      <c r="J885" s="34" t="n"/>
      <c r="K885" s="24" t="n"/>
      <c r="L885" s="24" t="n"/>
      <c r="M885" s="24" t="n"/>
      <c r="N885" s="24" t="n"/>
      <c r="O885" s="34" t="n"/>
      <c r="P885" s="24" t="n"/>
      <c r="Q885" s="24" t="n"/>
      <c r="R885" s="24" t="n"/>
    </row>
    <row r="886" ht="15" customHeight="1" s="21">
      <c r="A886" s="34" t="n"/>
      <c r="B886" s="35" t="n"/>
      <c r="C886" s="34" t="n"/>
      <c r="D886" s="31" t="n"/>
      <c r="E886" s="24" t="n"/>
      <c r="F886" s="24" t="n"/>
      <c r="G886" s="24" t="n"/>
      <c r="H886" s="24" t="n"/>
      <c r="I886" s="24" t="n"/>
      <c r="J886" s="34" t="n"/>
      <c r="K886" s="24" t="n"/>
      <c r="L886" s="24" t="n"/>
      <c r="M886" s="24" t="n"/>
      <c r="N886" s="24" t="n"/>
      <c r="O886" s="34" t="n"/>
      <c r="P886" s="24" t="n"/>
      <c r="Q886" s="24" t="n"/>
      <c r="R886" s="24" t="n"/>
    </row>
    <row r="887" ht="15" customHeight="1" s="21">
      <c r="A887" s="34" t="n"/>
      <c r="B887" s="35" t="n"/>
      <c r="C887" s="34" t="n"/>
      <c r="D887" s="31" t="n"/>
      <c r="E887" s="24" t="n"/>
      <c r="F887" s="24" t="n"/>
      <c r="G887" s="24" t="n"/>
      <c r="H887" s="24" t="n"/>
      <c r="I887" s="24" t="n"/>
      <c r="J887" s="34" t="n"/>
      <c r="K887" s="24" t="n"/>
      <c r="L887" s="24" t="n"/>
      <c r="M887" s="24" t="n"/>
      <c r="N887" s="24" t="n"/>
      <c r="O887" s="34" t="n"/>
      <c r="P887" s="24" t="n"/>
      <c r="Q887" s="24" t="n"/>
      <c r="R887" s="24" t="n"/>
    </row>
    <row r="888" ht="15" customHeight="1" s="21">
      <c r="A888" s="34" t="n"/>
      <c r="B888" s="35" t="n"/>
      <c r="C888" s="34" t="n"/>
      <c r="D888" s="31" t="n"/>
      <c r="E888" s="24" t="n"/>
      <c r="F888" s="24" t="n"/>
      <c r="G888" s="24" t="n"/>
      <c r="H888" s="24" t="n"/>
      <c r="I888" s="24" t="n"/>
      <c r="J888" s="34" t="n"/>
      <c r="K888" s="24" t="n"/>
      <c r="L888" s="24" t="n"/>
      <c r="M888" s="24" t="n"/>
      <c r="N888" s="24" t="n"/>
      <c r="O888" s="34" t="n"/>
      <c r="P888" s="24" t="n"/>
      <c r="Q888" s="24" t="n"/>
      <c r="R888" s="24" t="n"/>
    </row>
    <row r="889" ht="15" customHeight="1" s="21">
      <c r="A889" s="34" t="n"/>
      <c r="B889" s="35" t="n"/>
      <c r="C889" s="34" t="n"/>
      <c r="D889" s="31" t="n"/>
      <c r="E889" s="24" t="n"/>
      <c r="F889" s="24" t="n"/>
      <c r="G889" s="24" t="n"/>
      <c r="H889" s="24" t="n"/>
      <c r="I889" s="24" t="n"/>
      <c r="J889" s="34" t="n"/>
      <c r="K889" s="24" t="n"/>
      <c r="L889" s="24" t="n"/>
      <c r="M889" s="24" t="n"/>
      <c r="N889" s="24" t="n"/>
      <c r="O889" s="34" t="n"/>
      <c r="P889" s="24" t="n"/>
      <c r="Q889" s="24" t="n"/>
      <c r="R889" s="24" t="n"/>
    </row>
    <row r="890" ht="15" customHeight="1" s="21">
      <c r="A890" s="34" t="n"/>
      <c r="B890" s="35" t="n"/>
      <c r="C890" s="34" t="n"/>
      <c r="D890" s="31" t="n"/>
      <c r="E890" s="24" t="n"/>
      <c r="F890" s="24" t="n"/>
      <c r="G890" s="24" t="n"/>
      <c r="H890" s="24" t="n"/>
      <c r="I890" s="24" t="n"/>
      <c r="J890" s="34" t="n"/>
      <c r="K890" s="24" t="n"/>
      <c r="L890" s="24" t="n"/>
      <c r="M890" s="24" t="n"/>
      <c r="N890" s="24" t="n"/>
      <c r="O890" s="34" t="n"/>
      <c r="P890" s="24" t="n"/>
      <c r="Q890" s="24" t="n"/>
      <c r="R890" s="24" t="n"/>
    </row>
    <row r="891" ht="15" customHeight="1" s="21">
      <c r="A891" s="34" t="n"/>
      <c r="B891" s="35" t="n"/>
      <c r="C891" s="34" t="n"/>
      <c r="D891" s="31" t="n"/>
      <c r="E891" s="24" t="n"/>
      <c r="F891" s="24" t="n"/>
      <c r="G891" s="24" t="n"/>
      <c r="H891" s="24" t="n"/>
      <c r="I891" s="24" t="n"/>
      <c r="J891" s="34" t="n"/>
      <c r="K891" s="24" t="n"/>
      <c r="L891" s="24" t="n"/>
      <c r="M891" s="24" t="n"/>
      <c r="N891" s="24" t="n"/>
      <c r="O891" s="34" t="n"/>
      <c r="P891" s="24" t="n"/>
      <c r="Q891" s="24" t="n"/>
      <c r="R891" s="24" t="n"/>
    </row>
    <row r="892" ht="15" customHeight="1" s="21">
      <c r="A892" s="34" t="n"/>
      <c r="B892" s="35" t="n"/>
      <c r="C892" s="34" t="n"/>
      <c r="D892" s="31" t="n"/>
      <c r="E892" s="24" t="n"/>
      <c r="F892" s="24" t="n"/>
      <c r="G892" s="24" t="n"/>
      <c r="H892" s="24" t="n"/>
      <c r="I892" s="24" t="n"/>
      <c r="J892" s="34" t="n"/>
      <c r="K892" s="24" t="n"/>
      <c r="L892" s="24" t="n"/>
      <c r="M892" s="24" t="n"/>
      <c r="N892" s="24" t="n"/>
      <c r="O892" s="34" t="n"/>
      <c r="P892" s="24" t="n"/>
      <c r="Q892" s="24" t="n"/>
      <c r="R892" s="24" t="n"/>
    </row>
    <row r="893" ht="15" customHeight="1" s="21">
      <c r="A893" s="34" t="n"/>
      <c r="B893" s="35" t="n"/>
      <c r="C893" s="34" t="n"/>
      <c r="D893" s="31" t="n"/>
      <c r="E893" s="24" t="n"/>
      <c r="F893" s="24" t="n"/>
      <c r="G893" s="24" t="n"/>
      <c r="H893" s="24" t="n"/>
      <c r="I893" s="24" t="n"/>
      <c r="J893" s="34" t="n"/>
      <c r="K893" s="24" t="n"/>
      <c r="L893" s="24" t="n"/>
      <c r="M893" s="24" t="n"/>
      <c r="N893" s="24" t="n"/>
      <c r="O893" s="34" t="n"/>
      <c r="P893" s="24" t="n"/>
      <c r="Q893" s="24" t="n"/>
      <c r="R893" s="24" t="n"/>
    </row>
    <row r="894" ht="15" customHeight="1" s="21">
      <c r="A894" s="34" t="n"/>
      <c r="B894" s="35" t="n"/>
      <c r="C894" s="34" t="n"/>
      <c r="D894" s="31" t="n"/>
      <c r="E894" s="24" t="n"/>
      <c r="F894" s="24" t="n"/>
      <c r="G894" s="24" t="n"/>
      <c r="H894" s="24" t="n"/>
      <c r="I894" s="24" t="n"/>
      <c r="J894" s="34" t="n"/>
      <c r="K894" s="24" t="n"/>
      <c r="L894" s="24" t="n"/>
      <c r="M894" s="24" t="n"/>
      <c r="N894" s="24" t="n"/>
      <c r="O894" s="34" t="n"/>
      <c r="P894" s="24" t="n"/>
      <c r="Q894" s="24" t="n"/>
      <c r="R894" s="24" t="n"/>
    </row>
    <row r="895" ht="15" customHeight="1" s="21">
      <c r="A895" s="34" t="n"/>
      <c r="B895" s="35" t="n"/>
      <c r="C895" s="34" t="n"/>
      <c r="D895" s="31" t="n"/>
      <c r="E895" s="24" t="n"/>
      <c r="F895" s="24" t="n"/>
      <c r="G895" s="24" t="n"/>
      <c r="H895" s="24" t="n"/>
      <c r="I895" s="24" t="n"/>
      <c r="J895" s="34" t="n"/>
      <c r="K895" s="24" t="n"/>
      <c r="L895" s="24" t="n"/>
      <c r="M895" s="24" t="n"/>
      <c r="N895" s="24" t="n"/>
      <c r="O895" s="34" t="n"/>
      <c r="P895" s="24" t="n"/>
      <c r="Q895" s="24" t="n"/>
      <c r="R895" s="24" t="n"/>
    </row>
    <row r="896" ht="15" customHeight="1" s="21">
      <c r="A896" s="34" t="n"/>
      <c r="B896" s="35" t="n"/>
      <c r="C896" s="34" t="n"/>
      <c r="D896" s="31" t="n"/>
      <c r="E896" s="24" t="n"/>
      <c r="F896" s="24" t="n"/>
      <c r="G896" s="24" t="n"/>
      <c r="H896" s="24" t="n"/>
      <c r="I896" s="24" t="n"/>
      <c r="J896" s="34" t="n"/>
      <c r="K896" s="24" t="n"/>
      <c r="L896" s="24" t="n"/>
      <c r="M896" s="24" t="n"/>
      <c r="N896" s="24" t="n"/>
      <c r="O896" s="34" t="n"/>
      <c r="P896" s="24" t="n"/>
      <c r="Q896" s="24" t="n"/>
      <c r="R896" s="24" t="n"/>
    </row>
    <row r="897" ht="15" customHeight="1" s="21">
      <c r="A897" s="34" t="n"/>
      <c r="B897" s="35" t="n"/>
      <c r="C897" s="34" t="n"/>
      <c r="D897" s="31" t="n"/>
      <c r="E897" s="24" t="n"/>
      <c r="F897" s="24" t="n"/>
      <c r="G897" s="24" t="n"/>
      <c r="H897" s="24" t="n"/>
      <c r="I897" s="24" t="n"/>
      <c r="J897" s="34" t="n"/>
      <c r="K897" s="24" t="n"/>
      <c r="L897" s="24" t="n"/>
      <c r="M897" s="24" t="n"/>
      <c r="N897" s="24" t="n"/>
      <c r="O897" s="34" t="n"/>
      <c r="P897" s="24" t="n"/>
      <c r="Q897" s="24" t="n"/>
      <c r="R897" s="24" t="n"/>
    </row>
    <row r="898" ht="15" customHeight="1" s="21">
      <c r="A898" s="34" t="n"/>
      <c r="B898" s="35" t="n"/>
      <c r="C898" s="34" t="n"/>
      <c r="D898" s="31" t="n"/>
      <c r="E898" s="24" t="n"/>
      <c r="F898" s="24" t="n"/>
      <c r="G898" s="24" t="n"/>
      <c r="H898" s="24" t="n"/>
      <c r="I898" s="24" t="n"/>
      <c r="J898" s="34" t="n"/>
      <c r="K898" s="24" t="n"/>
      <c r="L898" s="24" t="n"/>
      <c r="M898" s="24" t="n"/>
      <c r="N898" s="24" t="n"/>
      <c r="O898" s="34" t="n"/>
      <c r="P898" s="24" t="n"/>
      <c r="Q898" s="24" t="n"/>
      <c r="R898" s="24" t="n"/>
    </row>
    <row r="899" ht="15" customHeight="1" s="21">
      <c r="A899" s="34" t="n"/>
      <c r="B899" s="35" t="n"/>
      <c r="C899" s="34" t="n"/>
      <c r="D899" s="31" t="n"/>
      <c r="E899" s="24" t="n"/>
      <c r="F899" s="24" t="n"/>
      <c r="G899" s="24" t="n"/>
      <c r="H899" s="24" t="n"/>
      <c r="I899" s="24" t="n"/>
      <c r="J899" s="34" t="n"/>
      <c r="K899" s="24" t="n"/>
      <c r="L899" s="24" t="n"/>
      <c r="M899" s="24" t="n"/>
      <c r="N899" s="24" t="n"/>
      <c r="O899" s="34" t="n"/>
      <c r="P899" s="24" t="n"/>
      <c r="Q899" s="24" t="n"/>
      <c r="R899" s="24" t="n"/>
    </row>
    <row r="900" ht="15" customHeight="1" s="21">
      <c r="A900" s="34" t="n"/>
      <c r="B900" s="35" t="n"/>
      <c r="C900" s="34" t="n"/>
      <c r="D900" s="31" t="n"/>
      <c r="E900" s="24" t="n"/>
      <c r="F900" s="24" t="n"/>
      <c r="G900" s="24" t="n"/>
      <c r="H900" s="24" t="n"/>
      <c r="I900" s="24" t="n"/>
      <c r="J900" s="34" t="n"/>
      <c r="K900" s="24" t="n"/>
      <c r="L900" s="24" t="n"/>
      <c r="M900" s="24" t="n"/>
      <c r="N900" s="24" t="n"/>
      <c r="O900" s="34" t="n"/>
      <c r="P900" s="24" t="n"/>
      <c r="Q900" s="24" t="n"/>
      <c r="R900" s="24" t="n"/>
    </row>
    <row r="901" ht="15" customHeight="1" s="21">
      <c r="A901" s="34" t="n"/>
      <c r="B901" s="35" t="n"/>
      <c r="C901" s="34" t="n"/>
      <c r="D901" s="31" t="n"/>
      <c r="E901" s="24" t="n"/>
      <c r="F901" s="24" t="n"/>
      <c r="G901" s="24" t="n"/>
      <c r="H901" s="24" t="n"/>
      <c r="I901" s="24" t="n"/>
      <c r="J901" s="34" t="n"/>
      <c r="K901" s="24" t="n"/>
      <c r="L901" s="24" t="n"/>
      <c r="M901" s="24" t="n"/>
      <c r="N901" s="24" t="n"/>
      <c r="O901" s="34" t="n"/>
      <c r="P901" s="24" t="n"/>
      <c r="Q901" s="24" t="n"/>
      <c r="R901" s="24" t="n"/>
    </row>
    <row r="902" ht="15" customHeight="1" s="21">
      <c r="A902" s="34" t="n"/>
      <c r="B902" s="35" t="n"/>
      <c r="C902" s="34" t="n"/>
      <c r="D902" s="31" t="n"/>
      <c r="E902" s="24" t="n"/>
      <c r="F902" s="24" t="n"/>
      <c r="G902" s="24" t="n"/>
      <c r="H902" s="24" t="n"/>
      <c r="I902" s="24" t="n"/>
      <c r="J902" s="34" t="n"/>
      <c r="K902" s="24" t="n"/>
      <c r="L902" s="24" t="n"/>
      <c r="M902" s="24" t="n"/>
      <c r="N902" s="24" t="n"/>
      <c r="O902" s="34" t="n"/>
      <c r="P902" s="24" t="n"/>
      <c r="Q902" s="24" t="n"/>
      <c r="R902" s="24" t="n"/>
    </row>
    <row r="903" ht="15" customHeight="1" s="21">
      <c r="A903" s="34" t="n"/>
      <c r="B903" s="35" t="n"/>
      <c r="C903" s="34" t="n"/>
      <c r="D903" s="31" t="n"/>
      <c r="E903" s="24" t="n"/>
      <c r="F903" s="24" t="n"/>
      <c r="G903" s="24" t="n"/>
      <c r="H903" s="24" t="n"/>
      <c r="I903" s="24" t="n"/>
      <c r="J903" s="34" t="n"/>
      <c r="K903" s="24" t="n"/>
      <c r="L903" s="24" t="n"/>
      <c r="M903" s="24" t="n"/>
      <c r="N903" s="24" t="n"/>
      <c r="O903" s="34" t="n"/>
      <c r="P903" s="24" t="n"/>
      <c r="Q903" s="24" t="n"/>
      <c r="R903" s="24" t="n"/>
    </row>
    <row r="904" ht="15" customHeight="1" s="21">
      <c r="A904" s="34" t="n"/>
      <c r="B904" s="35" t="n"/>
      <c r="C904" s="34" t="n"/>
      <c r="D904" s="31" t="n"/>
      <c r="E904" s="24" t="n"/>
      <c r="F904" s="24" t="n"/>
      <c r="G904" s="24" t="n"/>
      <c r="H904" s="24" t="n"/>
      <c r="I904" s="24" t="n"/>
      <c r="J904" s="34" t="n"/>
      <c r="K904" s="24" t="n"/>
      <c r="L904" s="24" t="n"/>
      <c r="M904" s="24" t="n"/>
      <c r="N904" s="24" t="n"/>
      <c r="O904" s="34" t="n"/>
      <c r="P904" s="24" t="n"/>
      <c r="Q904" s="24" t="n"/>
      <c r="R904" s="24" t="n"/>
    </row>
    <row r="905" ht="15" customHeight="1" s="21">
      <c r="A905" s="34" t="n"/>
      <c r="B905" s="35" t="n"/>
      <c r="C905" s="34" t="n"/>
      <c r="D905" s="31" t="n"/>
      <c r="E905" s="24" t="n"/>
      <c r="F905" s="24" t="n"/>
      <c r="G905" s="24" t="n"/>
      <c r="H905" s="24" t="n"/>
      <c r="I905" s="24" t="n"/>
      <c r="J905" s="34" t="n"/>
      <c r="K905" s="24" t="n"/>
      <c r="L905" s="24" t="n"/>
      <c r="M905" s="24" t="n"/>
      <c r="N905" s="24" t="n"/>
      <c r="O905" s="34" t="n"/>
      <c r="P905" s="24" t="n"/>
      <c r="Q905" s="24" t="n"/>
      <c r="R905" s="24" t="n"/>
    </row>
    <row r="906" ht="15" customHeight="1" s="21">
      <c r="A906" s="34" t="n"/>
      <c r="B906" s="35" t="n"/>
      <c r="C906" s="34" t="n"/>
      <c r="D906" s="31" t="n"/>
      <c r="E906" s="24" t="n"/>
      <c r="F906" s="24" t="n"/>
      <c r="G906" s="24" t="n"/>
      <c r="H906" s="24" t="n"/>
      <c r="I906" s="24" t="n"/>
      <c r="J906" s="34" t="n"/>
      <c r="K906" s="24" t="n"/>
      <c r="L906" s="24" t="n"/>
      <c r="M906" s="24" t="n"/>
      <c r="N906" s="24" t="n"/>
      <c r="O906" s="34" t="n"/>
      <c r="P906" s="24" t="n"/>
      <c r="Q906" s="24" t="n"/>
      <c r="R906" s="24" t="n"/>
    </row>
    <row r="907" ht="15" customHeight="1" s="21">
      <c r="A907" s="34" t="n"/>
      <c r="B907" s="35" t="n"/>
      <c r="C907" s="34" t="n"/>
      <c r="D907" s="31" t="n"/>
      <c r="E907" s="24" t="n"/>
      <c r="F907" s="24" t="n"/>
      <c r="G907" s="24" t="n"/>
      <c r="H907" s="24" t="n"/>
      <c r="I907" s="24" t="n"/>
      <c r="J907" s="34" t="n"/>
      <c r="K907" s="24" t="n"/>
      <c r="L907" s="24" t="n"/>
      <c r="M907" s="24" t="n"/>
      <c r="N907" s="24" t="n"/>
      <c r="O907" s="34" t="n"/>
      <c r="P907" s="24" t="n"/>
      <c r="Q907" s="24" t="n"/>
      <c r="R907" s="24" t="n"/>
    </row>
    <row r="908" ht="15" customHeight="1" s="21">
      <c r="A908" s="34" t="n"/>
      <c r="B908" s="35" t="n"/>
      <c r="C908" s="34" t="n"/>
      <c r="D908" s="31" t="n"/>
      <c r="E908" s="24" t="n"/>
      <c r="F908" s="24" t="n"/>
      <c r="G908" s="24" t="n"/>
      <c r="H908" s="24" t="n"/>
      <c r="I908" s="24" t="n"/>
      <c r="J908" s="34" t="n"/>
      <c r="K908" s="24" t="n"/>
      <c r="L908" s="24" t="n"/>
      <c r="M908" s="24" t="n"/>
      <c r="N908" s="24" t="n"/>
      <c r="O908" s="34" t="n"/>
      <c r="P908" s="24" t="n"/>
      <c r="Q908" s="24" t="n"/>
      <c r="R908" s="24" t="n"/>
    </row>
    <row r="909" ht="15" customHeight="1" s="21">
      <c r="A909" s="34" t="n"/>
      <c r="B909" s="35" t="n"/>
      <c r="C909" s="34" t="n"/>
      <c r="D909" s="31" t="n"/>
      <c r="E909" s="24" t="n"/>
      <c r="F909" s="24" t="n"/>
      <c r="G909" s="24" t="n"/>
      <c r="H909" s="24" t="n"/>
      <c r="I909" s="24" t="n"/>
      <c r="J909" s="34" t="n"/>
      <c r="K909" s="24" t="n"/>
      <c r="L909" s="24" t="n"/>
      <c r="M909" s="24" t="n"/>
      <c r="N909" s="24" t="n"/>
      <c r="O909" s="34" t="n"/>
      <c r="P909" s="24" t="n"/>
      <c r="Q909" s="24" t="n"/>
      <c r="R909" s="24" t="n"/>
    </row>
    <row r="910" ht="15" customHeight="1" s="21">
      <c r="A910" s="34" t="n"/>
      <c r="B910" s="35" t="n"/>
      <c r="C910" s="34" t="n"/>
      <c r="D910" s="31" t="n"/>
      <c r="E910" s="24" t="n"/>
      <c r="F910" s="24" t="n"/>
      <c r="G910" s="24" t="n"/>
      <c r="H910" s="24" t="n"/>
      <c r="I910" s="24" t="n"/>
      <c r="J910" s="34" t="n"/>
      <c r="K910" s="24" t="n"/>
      <c r="L910" s="24" t="n"/>
      <c r="M910" s="24" t="n"/>
      <c r="N910" s="24" t="n"/>
      <c r="O910" s="34" t="n"/>
      <c r="P910" s="24" t="n"/>
      <c r="Q910" s="24" t="n"/>
      <c r="R910" s="24" t="n"/>
    </row>
    <row r="911" ht="15" customHeight="1" s="21">
      <c r="A911" s="34" t="n"/>
      <c r="B911" s="35" t="n"/>
      <c r="C911" s="34" t="n"/>
      <c r="D911" s="31" t="n"/>
      <c r="E911" s="24" t="n"/>
      <c r="F911" s="24" t="n"/>
      <c r="G911" s="24" t="n"/>
      <c r="H911" s="24" t="n"/>
      <c r="I911" s="24" t="n"/>
      <c r="J911" s="34" t="n"/>
      <c r="K911" s="24" t="n"/>
      <c r="L911" s="24" t="n"/>
      <c r="M911" s="24" t="n"/>
      <c r="N911" s="24" t="n"/>
      <c r="O911" s="34" t="n"/>
      <c r="P911" s="24" t="n"/>
      <c r="Q911" s="24" t="n"/>
      <c r="R911" s="24" t="n"/>
    </row>
    <row r="912" ht="15" customHeight="1" s="21">
      <c r="A912" s="34" t="n"/>
      <c r="B912" s="35" t="n"/>
      <c r="C912" s="34" t="n"/>
      <c r="D912" s="31" t="n"/>
      <c r="E912" s="24" t="n"/>
      <c r="F912" s="24" t="n"/>
      <c r="G912" s="24" t="n"/>
      <c r="H912" s="24" t="n"/>
      <c r="I912" s="24" t="n"/>
      <c r="J912" s="34" t="n"/>
      <c r="K912" s="24" t="n"/>
      <c r="L912" s="24" t="n"/>
      <c r="M912" s="24" t="n"/>
      <c r="N912" s="24" t="n"/>
      <c r="O912" s="34" t="n"/>
      <c r="P912" s="24" t="n"/>
      <c r="Q912" s="24" t="n"/>
      <c r="R912" s="24" t="n"/>
    </row>
    <row r="913" ht="15" customHeight="1" s="21">
      <c r="A913" s="34" t="n"/>
      <c r="B913" s="35" t="n"/>
      <c r="C913" s="34" t="n"/>
      <c r="D913" s="31" t="n"/>
      <c r="E913" s="24" t="n"/>
      <c r="F913" s="24" t="n"/>
      <c r="G913" s="24" t="n"/>
      <c r="H913" s="24" t="n"/>
      <c r="I913" s="24" t="n"/>
      <c r="J913" s="34" t="n"/>
      <c r="K913" s="24" t="n"/>
      <c r="L913" s="24" t="n"/>
      <c r="M913" s="24" t="n"/>
      <c r="N913" s="24" t="n"/>
      <c r="O913" s="34" t="n"/>
      <c r="P913" s="24" t="n"/>
      <c r="Q913" s="24" t="n"/>
      <c r="R913" s="24" t="n"/>
    </row>
    <row r="914" ht="15" customHeight="1" s="21">
      <c r="A914" s="34" t="n"/>
      <c r="B914" s="35" t="n"/>
      <c r="C914" s="34" t="n"/>
      <c r="D914" s="31" t="n"/>
      <c r="E914" s="24" t="n"/>
      <c r="F914" s="24" t="n"/>
      <c r="G914" s="24" t="n"/>
      <c r="H914" s="24" t="n"/>
      <c r="I914" s="24" t="n"/>
      <c r="J914" s="34" t="n"/>
      <c r="K914" s="24" t="n"/>
      <c r="L914" s="24" t="n"/>
      <c r="M914" s="24" t="n"/>
      <c r="N914" s="24" t="n"/>
      <c r="O914" s="34" t="n"/>
      <c r="P914" s="24" t="n"/>
      <c r="Q914" s="24" t="n"/>
      <c r="R914" s="24" t="n"/>
    </row>
    <row r="915" ht="15" customHeight="1" s="21">
      <c r="A915" s="34" t="n"/>
      <c r="B915" s="35" t="n"/>
      <c r="C915" s="34" t="n"/>
      <c r="D915" s="31" t="n"/>
      <c r="E915" s="24" t="n"/>
      <c r="F915" s="24" t="n"/>
      <c r="G915" s="24" t="n"/>
      <c r="H915" s="24" t="n"/>
      <c r="I915" s="24" t="n"/>
      <c r="J915" s="34" t="n"/>
      <c r="K915" s="24" t="n"/>
      <c r="L915" s="24" t="n"/>
      <c r="M915" s="24" t="n"/>
      <c r="N915" s="24" t="n"/>
      <c r="O915" s="34" t="n"/>
      <c r="P915" s="24" t="n"/>
      <c r="Q915" s="24" t="n"/>
      <c r="R915" s="24" t="n"/>
    </row>
    <row r="916" ht="15" customHeight="1" s="21">
      <c r="A916" s="34" t="n"/>
      <c r="B916" s="35" t="n"/>
      <c r="C916" s="34" t="n"/>
      <c r="D916" s="31" t="n"/>
      <c r="E916" s="24" t="n"/>
      <c r="F916" s="24" t="n"/>
      <c r="G916" s="24" t="n"/>
      <c r="H916" s="24" t="n"/>
      <c r="I916" s="24" t="n"/>
      <c r="J916" s="34" t="n"/>
      <c r="K916" s="24" t="n"/>
      <c r="L916" s="24" t="n"/>
      <c r="M916" s="24" t="n"/>
      <c r="N916" s="24" t="n"/>
      <c r="O916" s="34" t="n"/>
      <c r="P916" s="24" t="n"/>
      <c r="Q916" s="24" t="n"/>
      <c r="R916" s="24" t="n"/>
    </row>
    <row r="917" ht="15" customHeight="1" s="21">
      <c r="A917" s="34" t="n"/>
      <c r="B917" s="35" t="n"/>
      <c r="C917" s="34" t="n"/>
      <c r="D917" s="31" t="n"/>
      <c r="E917" s="24" t="n"/>
      <c r="F917" s="24" t="n"/>
      <c r="G917" s="24" t="n"/>
      <c r="H917" s="24" t="n"/>
      <c r="I917" s="24" t="n"/>
      <c r="J917" s="34" t="n"/>
      <c r="K917" s="24" t="n"/>
      <c r="L917" s="24" t="n"/>
      <c r="M917" s="24" t="n"/>
      <c r="N917" s="24" t="n"/>
      <c r="O917" s="34" t="n"/>
      <c r="P917" s="24" t="n"/>
      <c r="Q917" s="24" t="n"/>
      <c r="R917" s="24" t="n"/>
    </row>
    <row r="918" ht="15" customHeight="1" s="21">
      <c r="A918" s="34" t="n"/>
      <c r="B918" s="35" t="n"/>
      <c r="C918" s="34" t="n"/>
      <c r="D918" s="31" t="n"/>
      <c r="E918" s="24" t="n"/>
      <c r="F918" s="24" t="n"/>
      <c r="G918" s="24" t="n"/>
      <c r="H918" s="24" t="n"/>
      <c r="I918" s="24" t="n"/>
      <c r="J918" s="34" t="n"/>
      <c r="K918" s="24" t="n"/>
      <c r="L918" s="24" t="n"/>
      <c r="M918" s="24" t="n"/>
      <c r="N918" s="24" t="n"/>
      <c r="O918" s="34" t="n"/>
      <c r="P918" s="24" t="n"/>
      <c r="Q918" s="24" t="n"/>
      <c r="R918" s="24" t="n"/>
    </row>
    <row r="919" ht="15" customHeight="1" s="21">
      <c r="A919" s="34" t="n"/>
      <c r="B919" s="35" t="n"/>
      <c r="C919" s="34" t="n"/>
      <c r="D919" s="31" t="n"/>
      <c r="E919" s="24" t="n"/>
      <c r="F919" s="24" t="n"/>
      <c r="G919" s="24" t="n"/>
      <c r="H919" s="24" t="n"/>
      <c r="I919" s="24" t="n"/>
      <c r="J919" s="34" t="n"/>
      <c r="K919" s="24" t="n"/>
      <c r="L919" s="24" t="n"/>
      <c r="M919" s="24" t="n"/>
      <c r="N919" s="24" t="n"/>
      <c r="O919" s="34" t="n"/>
      <c r="P919" s="24" t="n"/>
      <c r="Q919" s="24" t="n"/>
      <c r="R919" s="24" t="n"/>
    </row>
    <row r="920" ht="15" customHeight="1" s="21">
      <c r="A920" s="34" t="n"/>
      <c r="B920" s="35" t="n"/>
      <c r="C920" s="34" t="n"/>
      <c r="D920" s="31" t="n"/>
      <c r="E920" s="24" t="n"/>
      <c r="F920" s="24" t="n"/>
      <c r="G920" s="24" t="n"/>
      <c r="H920" s="24" t="n"/>
      <c r="I920" s="24" t="n"/>
      <c r="J920" s="34" t="n"/>
      <c r="K920" s="24" t="n"/>
      <c r="L920" s="24" t="n"/>
      <c r="M920" s="24" t="n"/>
      <c r="N920" s="24" t="n"/>
      <c r="O920" s="34" t="n"/>
      <c r="P920" s="24" t="n"/>
      <c r="Q920" s="24" t="n"/>
      <c r="R920" s="24" t="n"/>
    </row>
    <row r="921" ht="15" customHeight="1" s="21">
      <c r="A921" s="34" t="n"/>
      <c r="B921" s="35" t="n"/>
      <c r="C921" s="34" t="n"/>
      <c r="D921" s="31" t="n"/>
      <c r="E921" s="24" t="n"/>
      <c r="F921" s="24" t="n"/>
      <c r="G921" s="24" t="n"/>
      <c r="H921" s="24" t="n"/>
      <c r="I921" s="24" t="n"/>
      <c r="J921" s="34" t="n"/>
      <c r="K921" s="24" t="n"/>
      <c r="L921" s="24" t="n"/>
      <c r="M921" s="24" t="n"/>
      <c r="N921" s="24" t="n"/>
      <c r="O921" s="34" t="n"/>
      <c r="P921" s="24" t="n"/>
      <c r="Q921" s="24" t="n"/>
      <c r="R921" s="24" t="n"/>
    </row>
    <row r="922" ht="15" customHeight="1" s="21">
      <c r="A922" s="34" t="n"/>
      <c r="B922" s="35" t="n"/>
      <c r="C922" s="34" t="n"/>
      <c r="D922" s="31" t="n"/>
      <c r="E922" s="24" t="n"/>
      <c r="F922" s="24" t="n"/>
      <c r="G922" s="24" t="n"/>
      <c r="H922" s="24" t="n"/>
      <c r="I922" s="24" t="n"/>
      <c r="J922" s="34" t="n"/>
      <c r="K922" s="24" t="n"/>
      <c r="L922" s="24" t="n"/>
      <c r="M922" s="24" t="n"/>
      <c r="N922" s="24" t="n"/>
      <c r="O922" s="34" t="n"/>
      <c r="P922" s="24" t="n"/>
      <c r="Q922" s="24" t="n"/>
      <c r="R922" s="24" t="n"/>
    </row>
    <row r="923" ht="15" customHeight="1" s="21">
      <c r="A923" s="34" t="n"/>
      <c r="B923" s="35" t="n"/>
      <c r="C923" s="34" t="n"/>
      <c r="D923" s="31" t="n"/>
      <c r="E923" s="24" t="n"/>
      <c r="F923" s="24" t="n"/>
      <c r="G923" s="24" t="n"/>
      <c r="H923" s="24" t="n"/>
      <c r="I923" s="24" t="n"/>
      <c r="J923" s="34" t="n"/>
      <c r="K923" s="24" t="n"/>
      <c r="L923" s="24" t="n"/>
      <c r="M923" s="24" t="n"/>
      <c r="N923" s="24" t="n"/>
      <c r="O923" s="34" t="n"/>
      <c r="P923" s="24" t="n"/>
      <c r="Q923" s="24" t="n"/>
      <c r="R923" s="24" t="n"/>
    </row>
    <row r="924" ht="15" customHeight="1" s="21">
      <c r="A924" s="34" t="n"/>
      <c r="B924" s="35" t="n"/>
      <c r="C924" s="34" t="n"/>
      <c r="D924" s="31" t="n"/>
      <c r="E924" s="24" t="n"/>
      <c r="F924" s="24" t="n"/>
      <c r="G924" s="24" t="n"/>
      <c r="H924" s="24" t="n"/>
      <c r="I924" s="24" t="n"/>
      <c r="J924" s="34" t="n"/>
      <c r="K924" s="24" t="n"/>
      <c r="L924" s="24" t="n"/>
      <c r="M924" s="24" t="n"/>
      <c r="N924" s="24" t="n"/>
      <c r="O924" s="34" t="n"/>
      <c r="P924" s="24" t="n"/>
      <c r="Q924" s="24" t="n"/>
      <c r="R924" s="24" t="n"/>
    </row>
    <row r="925" ht="15" customHeight="1" s="21">
      <c r="A925" s="34" t="n"/>
      <c r="B925" s="35" t="n"/>
      <c r="C925" s="34" t="n"/>
      <c r="D925" s="31" t="n"/>
      <c r="E925" s="24" t="n"/>
      <c r="F925" s="24" t="n"/>
      <c r="G925" s="24" t="n"/>
      <c r="H925" s="24" t="n"/>
      <c r="I925" s="24" t="n"/>
      <c r="J925" s="34" t="n"/>
      <c r="K925" s="24" t="n"/>
      <c r="L925" s="24" t="n"/>
      <c r="M925" s="24" t="n"/>
      <c r="N925" s="24" t="n"/>
      <c r="O925" s="34" t="n"/>
      <c r="P925" s="24" t="n"/>
      <c r="Q925" s="24" t="n"/>
      <c r="R925" s="24" t="n"/>
    </row>
    <row r="926" ht="15" customHeight="1" s="21">
      <c r="A926" s="34" t="n"/>
      <c r="B926" s="35" t="n"/>
      <c r="C926" s="34" t="n"/>
      <c r="D926" s="31" t="n"/>
      <c r="E926" s="24" t="n"/>
      <c r="F926" s="24" t="n"/>
      <c r="G926" s="24" t="n"/>
      <c r="H926" s="24" t="n"/>
      <c r="I926" s="24" t="n"/>
      <c r="J926" s="34" t="n"/>
      <c r="K926" s="24" t="n"/>
      <c r="L926" s="24" t="n"/>
      <c r="M926" s="24" t="n"/>
      <c r="N926" s="24" t="n"/>
      <c r="O926" s="34" t="n"/>
      <c r="P926" s="24" t="n"/>
      <c r="Q926" s="24" t="n"/>
      <c r="R926" s="24" t="n"/>
    </row>
    <row r="927" ht="15" customHeight="1" s="21">
      <c r="A927" s="34" t="n"/>
      <c r="B927" s="35" t="n"/>
      <c r="C927" s="34" t="n"/>
      <c r="D927" s="31" t="n"/>
      <c r="E927" s="24" t="n"/>
      <c r="F927" s="24" t="n"/>
      <c r="G927" s="24" t="n"/>
      <c r="H927" s="24" t="n"/>
      <c r="I927" s="24" t="n"/>
      <c r="J927" s="34" t="n"/>
      <c r="K927" s="24" t="n"/>
      <c r="L927" s="24" t="n"/>
      <c r="M927" s="24" t="n"/>
      <c r="N927" s="24" t="n"/>
      <c r="O927" s="34" t="n"/>
      <c r="P927" s="24" t="n"/>
      <c r="Q927" s="24" t="n"/>
      <c r="R927" s="24" t="n"/>
    </row>
    <row r="928" ht="15" customHeight="1" s="21">
      <c r="A928" s="34" t="n"/>
      <c r="B928" s="35" t="n"/>
      <c r="C928" s="34" t="n"/>
      <c r="D928" s="31" t="n"/>
      <c r="E928" s="24" t="n"/>
      <c r="F928" s="24" t="n"/>
      <c r="G928" s="24" t="n"/>
      <c r="H928" s="24" t="n"/>
      <c r="I928" s="24" t="n"/>
      <c r="J928" s="34" t="n"/>
      <c r="K928" s="24" t="n"/>
      <c r="L928" s="24" t="n"/>
      <c r="M928" s="24" t="n"/>
      <c r="N928" s="24" t="n"/>
      <c r="O928" s="34" t="n"/>
      <c r="P928" s="24" t="n"/>
      <c r="Q928" s="24" t="n"/>
      <c r="R928" s="24" t="n"/>
    </row>
    <row r="929" ht="15" customHeight="1" s="21">
      <c r="A929" s="34" t="n"/>
      <c r="B929" s="35" t="n"/>
      <c r="C929" s="34" t="n"/>
      <c r="D929" s="31" t="n"/>
      <c r="E929" s="24" t="n"/>
      <c r="F929" s="24" t="n"/>
      <c r="G929" s="24" t="n"/>
      <c r="H929" s="24" t="n"/>
      <c r="I929" s="24" t="n"/>
      <c r="J929" s="34" t="n"/>
      <c r="K929" s="24" t="n"/>
      <c r="L929" s="24" t="n"/>
      <c r="M929" s="24" t="n"/>
      <c r="N929" s="24" t="n"/>
      <c r="O929" s="34" t="n"/>
      <c r="P929" s="24" t="n"/>
      <c r="Q929" s="24" t="n"/>
      <c r="R929" s="24" t="n"/>
    </row>
    <row r="930" ht="15" customHeight="1" s="21">
      <c r="A930" s="34" t="n"/>
      <c r="B930" s="35" t="n"/>
      <c r="C930" s="34" t="n"/>
      <c r="D930" s="31" t="n"/>
      <c r="E930" s="24" t="n"/>
      <c r="F930" s="24" t="n"/>
      <c r="G930" s="24" t="n"/>
      <c r="H930" s="24" t="n"/>
      <c r="I930" s="24" t="n"/>
      <c r="J930" s="34" t="n"/>
      <c r="K930" s="24" t="n"/>
      <c r="L930" s="24" t="n"/>
      <c r="M930" s="24" t="n"/>
      <c r="N930" s="24" t="n"/>
      <c r="O930" s="34" t="n"/>
      <c r="P930" s="24" t="n"/>
      <c r="Q930" s="24" t="n"/>
      <c r="R930" s="24" t="n"/>
    </row>
    <row r="931" ht="15" customHeight="1" s="21">
      <c r="A931" s="34" t="n"/>
      <c r="B931" s="35" t="n"/>
      <c r="C931" s="34" t="n"/>
      <c r="D931" s="31" t="n"/>
      <c r="E931" s="24" t="n"/>
      <c r="F931" s="24" t="n"/>
      <c r="G931" s="24" t="n"/>
      <c r="H931" s="24" t="n"/>
      <c r="I931" s="24" t="n"/>
      <c r="J931" s="34" t="n"/>
      <c r="K931" s="24" t="n"/>
      <c r="L931" s="24" t="n"/>
      <c r="M931" s="24" t="n"/>
      <c r="N931" s="24" t="n"/>
      <c r="O931" s="34" t="n"/>
      <c r="P931" s="24" t="n"/>
      <c r="Q931" s="24" t="n"/>
      <c r="R931" s="24" t="n"/>
    </row>
    <row r="932" ht="15" customHeight="1" s="21">
      <c r="A932" s="34" t="n"/>
      <c r="B932" s="35" t="n"/>
      <c r="C932" s="34" t="n"/>
      <c r="D932" s="31" t="n"/>
      <c r="E932" s="24" t="n"/>
      <c r="F932" s="24" t="n"/>
      <c r="G932" s="24" t="n"/>
      <c r="H932" s="24" t="n"/>
      <c r="I932" s="24" t="n"/>
      <c r="J932" s="34" t="n"/>
      <c r="K932" s="24" t="n"/>
      <c r="L932" s="24" t="n"/>
      <c r="M932" s="24" t="n"/>
      <c r="N932" s="24" t="n"/>
      <c r="O932" s="34" t="n"/>
      <c r="P932" s="24" t="n"/>
      <c r="Q932" s="24" t="n"/>
      <c r="R932" s="24" t="n"/>
    </row>
    <row r="933" ht="15" customHeight="1" s="21">
      <c r="A933" s="34" t="n"/>
      <c r="B933" s="35" t="n"/>
      <c r="C933" s="34" t="n"/>
      <c r="D933" s="31" t="n"/>
      <c r="E933" s="24" t="n"/>
      <c r="F933" s="24" t="n"/>
      <c r="G933" s="24" t="n"/>
      <c r="H933" s="24" t="n"/>
      <c r="I933" s="24" t="n"/>
      <c r="J933" s="34" t="n"/>
      <c r="K933" s="24" t="n"/>
      <c r="L933" s="24" t="n"/>
      <c r="M933" s="24" t="n"/>
      <c r="N933" s="24" t="n"/>
      <c r="O933" s="34" t="n"/>
      <c r="P933" s="24" t="n"/>
      <c r="Q933" s="24" t="n"/>
      <c r="R933" s="24" t="n"/>
    </row>
    <row r="934" ht="15" customHeight="1" s="21">
      <c r="A934" s="34" t="n"/>
      <c r="B934" s="35" t="n"/>
      <c r="C934" s="34" t="n"/>
      <c r="D934" s="31" t="n"/>
      <c r="E934" s="24" t="n"/>
      <c r="F934" s="24" t="n"/>
      <c r="G934" s="24" t="n"/>
      <c r="H934" s="24" t="n"/>
      <c r="I934" s="24" t="n"/>
      <c r="J934" s="34" t="n"/>
      <c r="K934" s="24" t="n"/>
      <c r="L934" s="24" t="n"/>
      <c r="M934" s="24" t="n"/>
      <c r="N934" s="24" t="n"/>
      <c r="O934" s="34" t="n"/>
      <c r="P934" s="24" t="n"/>
      <c r="Q934" s="24" t="n"/>
      <c r="R934" s="24" t="n"/>
    </row>
    <row r="935" ht="15" customHeight="1" s="21">
      <c r="A935" s="34" t="n"/>
      <c r="B935" s="35" t="n"/>
      <c r="C935" s="34" t="n"/>
      <c r="D935" s="31" t="n"/>
      <c r="E935" s="24" t="n"/>
      <c r="F935" s="24" t="n"/>
      <c r="G935" s="24" t="n"/>
      <c r="H935" s="24" t="n"/>
      <c r="I935" s="24" t="n"/>
      <c r="J935" s="34" t="n"/>
      <c r="K935" s="24" t="n"/>
      <c r="L935" s="24" t="n"/>
      <c r="M935" s="24" t="n"/>
      <c r="N935" s="24" t="n"/>
      <c r="O935" s="34" t="n"/>
      <c r="P935" s="24" t="n"/>
      <c r="Q935" s="24" t="n"/>
      <c r="R935" s="24" t="n"/>
    </row>
    <row r="936" ht="15" customHeight="1" s="21">
      <c r="A936" s="34" t="n"/>
      <c r="B936" s="35" t="n"/>
      <c r="C936" s="34" t="n"/>
      <c r="D936" s="31" t="n"/>
      <c r="E936" s="24" t="n"/>
      <c r="F936" s="24" t="n"/>
      <c r="G936" s="24" t="n"/>
      <c r="H936" s="24" t="n"/>
      <c r="I936" s="24" t="n"/>
      <c r="J936" s="34" t="n"/>
      <c r="K936" s="24" t="n"/>
      <c r="L936" s="24" t="n"/>
      <c r="M936" s="24" t="n"/>
      <c r="N936" s="24" t="n"/>
      <c r="O936" s="34" t="n"/>
      <c r="P936" s="24" t="n"/>
      <c r="Q936" s="24" t="n"/>
      <c r="R936" s="24" t="n"/>
    </row>
    <row r="937" ht="15" customHeight="1" s="21">
      <c r="A937" s="34" t="n"/>
      <c r="B937" s="35" t="n"/>
      <c r="C937" s="34" t="n"/>
      <c r="D937" s="31" t="n"/>
      <c r="E937" s="24" t="n"/>
      <c r="F937" s="24" t="n"/>
      <c r="G937" s="24" t="n"/>
      <c r="H937" s="24" t="n"/>
      <c r="I937" s="24" t="n"/>
      <c r="J937" s="34" t="n"/>
      <c r="K937" s="24" t="n"/>
      <c r="L937" s="24" t="n"/>
      <c r="M937" s="24" t="n"/>
      <c r="N937" s="24" t="n"/>
      <c r="O937" s="34" t="n"/>
      <c r="P937" s="24" t="n"/>
      <c r="Q937" s="24" t="n"/>
      <c r="R937" s="24" t="n"/>
    </row>
    <row r="938" ht="15" customHeight="1" s="21">
      <c r="A938" s="34" t="n"/>
      <c r="B938" s="35" t="n"/>
      <c r="C938" s="34" t="n"/>
      <c r="D938" s="31" t="n"/>
      <c r="E938" s="24" t="n"/>
      <c r="F938" s="24" t="n"/>
      <c r="G938" s="24" t="n"/>
      <c r="H938" s="24" t="n"/>
      <c r="I938" s="24" t="n"/>
      <c r="J938" s="34" t="n"/>
      <c r="K938" s="24" t="n"/>
      <c r="L938" s="24" t="n"/>
      <c r="M938" s="24" t="n"/>
      <c r="N938" s="24" t="n"/>
      <c r="O938" s="34" t="n"/>
      <c r="P938" s="24" t="n"/>
      <c r="Q938" s="24" t="n"/>
      <c r="R938" s="24" t="n"/>
    </row>
    <row r="939" ht="15" customHeight="1" s="21">
      <c r="A939" s="34" t="n"/>
      <c r="B939" s="35" t="n"/>
      <c r="C939" s="34" t="n"/>
      <c r="D939" s="31" t="n"/>
      <c r="E939" s="24" t="n"/>
      <c r="F939" s="24" t="n"/>
      <c r="G939" s="24" t="n"/>
      <c r="H939" s="24" t="n"/>
      <c r="I939" s="24" t="n"/>
      <c r="J939" s="34" t="n"/>
      <c r="K939" s="24" t="n"/>
      <c r="L939" s="24" t="n"/>
      <c r="M939" s="24" t="n"/>
      <c r="N939" s="24" t="n"/>
      <c r="O939" s="34" t="n"/>
      <c r="P939" s="24" t="n"/>
      <c r="Q939" s="24" t="n"/>
      <c r="R939" s="24" t="n"/>
    </row>
    <row r="940" ht="15" customHeight="1" s="21">
      <c r="A940" s="34" t="n"/>
      <c r="B940" s="35" t="n"/>
      <c r="C940" s="34" t="n"/>
      <c r="D940" s="31" t="n"/>
      <c r="E940" s="24" t="n"/>
      <c r="F940" s="24" t="n"/>
      <c r="G940" s="24" t="n"/>
      <c r="H940" s="24" t="n"/>
      <c r="I940" s="24" t="n"/>
      <c r="J940" s="34" t="n"/>
      <c r="K940" s="24" t="n"/>
      <c r="L940" s="24" t="n"/>
      <c r="M940" s="24" t="n"/>
      <c r="N940" s="24" t="n"/>
      <c r="O940" s="34" t="n"/>
      <c r="P940" s="24" t="n"/>
      <c r="Q940" s="24" t="n"/>
      <c r="R940" s="24" t="n"/>
    </row>
    <row r="941" ht="15" customHeight="1" s="21">
      <c r="A941" s="34" t="n"/>
      <c r="B941" s="35" t="n"/>
      <c r="C941" s="34" t="n"/>
      <c r="D941" s="31" t="n"/>
      <c r="E941" s="24" t="n"/>
      <c r="F941" s="24" t="n"/>
      <c r="G941" s="24" t="n"/>
      <c r="H941" s="24" t="n"/>
      <c r="I941" s="24" t="n"/>
      <c r="J941" s="34" t="n"/>
      <c r="K941" s="24" t="n"/>
      <c r="L941" s="24" t="n"/>
      <c r="M941" s="24" t="n"/>
      <c r="N941" s="24" t="n"/>
      <c r="O941" s="34" t="n"/>
      <c r="P941" s="24" t="n"/>
      <c r="Q941" s="24" t="n"/>
      <c r="R941" s="24" t="n"/>
    </row>
    <row r="942" ht="15" customHeight="1" s="21">
      <c r="A942" s="34" t="n"/>
      <c r="B942" s="35" t="n"/>
      <c r="C942" s="34" t="n"/>
      <c r="D942" s="31" t="n"/>
      <c r="E942" s="24" t="n"/>
      <c r="F942" s="24" t="n"/>
      <c r="G942" s="24" t="n"/>
      <c r="H942" s="24" t="n"/>
      <c r="I942" s="24" t="n"/>
      <c r="J942" s="34" t="n"/>
      <c r="K942" s="24" t="n"/>
      <c r="L942" s="24" t="n"/>
      <c r="M942" s="24" t="n"/>
      <c r="N942" s="24" t="n"/>
      <c r="O942" s="34" t="n"/>
      <c r="P942" s="24" t="n"/>
      <c r="Q942" s="24" t="n"/>
      <c r="R942" s="24" t="n"/>
    </row>
    <row r="943" ht="15" customHeight="1" s="21">
      <c r="A943" s="34" t="n"/>
      <c r="B943" s="35" t="n"/>
      <c r="C943" s="34" t="n"/>
      <c r="D943" s="31" t="n"/>
      <c r="E943" s="24" t="n"/>
      <c r="F943" s="24" t="n"/>
      <c r="G943" s="24" t="n"/>
      <c r="H943" s="24" t="n"/>
      <c r="I943" s="24" t="n"/>
      <c r="J943" s="34" t="n"/>
      <c r="K943" s="24" t="n"/>
      <c r="L943" s="24" t="n"/>
      <c r="M943" s="24" t="n"/>
      <c r="N943" s="24" t="n"/>
      <c r="O943" s="34" t="n"/>
      <c r="P943" s="24" t="n"/>
      <c r="Q943" s="24" t="n"/>
      <c r="R943" s="24" t="n"/>
    </row>
    <row r="944" ht="15" customHeight="1" s="21">
      <c r="A944" s="34" t="n"/>
      <c r="B944" s="35" t="n"/>
      <c r="C944" s="34" t="n"/>
      <c r="D944" s="31" t="n"/>
      <c r="E944" s="24" t="n"/>
      <c r="F944" s="24" t="n"/>
      <c r="G944" s="24" t="n"/>
      <c r="H944" s="24" t="n"/>
      <c r="I944" s="24" t="n"/>
      <c r="J944" s="34" t="n"/>
      <c r="K944" s="24" t="n"/>
      <c r="L944" s="24" t="n"/>
      <c r="M944" s="24" t="n"/>
      <c r="N944" s="24" t="n"/>
      <c r="O944" s="34" t="n"/>
      <c r="P944" s="24" t="n"/>
      <c r="Q944" s="24" t="n"/>
      <c r="R944" s="24" t="n"/>
    </row>
    <row r="945" ht="15" customHeight="1" s="21">
      <c r="A945" s="34" t="n"/>
      <c r="B945" s="35" t="n"/>
      <c r="C945" s="34" t="n"/>
      <c r="D945" s="31" t="n"/>
      <c r="E945" s="24" t="n"/>
      <c r="F945" s="24" t="n"/>
      <c r="G945" s="24" t="n"/>
      <c r="H945" s="24" t="n"/>
      <c r="I945" s="24" t="n"/>
      <c r="J945" s="34" t="n"/>
      <c r="K945" s="24" t="n"/>
      <c r="L945" s="24" t="n"/>
      <c r="M945" s="24" t="n"/>
      <c r="N945" s="24" t="n"/>
      <c r="O945" s="34" t="n"/>
      <c r="P945" s="24" t="n"/>
      <c r="Q945" s="24" t="n"/>
      <c r="R945" s="24" t="n"/>
    </row>
    <row r="946" ht="15" customHeight="1" s="21">
      <c r="A946" s="34" t="n"/>
      <c r="B946" s="35" t="n"/>
      <c r="C946" s="34" t="n"/>
      <c r="D946" s="31" t="n"/>
      <c r="E946" s="24" t="n"/>
      <c r="F946" s="24" t="n"/>
      <c r="G946" s="24" t="n"/>
      <c r="H946" s="24" t="n"/>
      <c r="I946" s="24" t="n"/>
      <c r="J946" s="34" t="n"/>
      <c r="K946" s="24" t="n"/>
      <c r="L946" s="24" t="n"/>
      <c r="M946" s="24" t="n"/>
      <c r="N946" s="24" t="n"/>
      <c r="O946" s="34" t="n"/>
      <c r="P946" s="24" t="n"/>
      <c r="Q946" s="24" t="n"/>
      <c r="R946" s="24" t="n"/>
    </row>
    <row r="947" ht="15" customHeight="1" s="21">
      <c r="A947" s="34" t="n"/>
      <c r="B947" s="35" t="n"/>
      <c r="C947" s="34" t="n"/>
      <c r="D947" s="31" t="n"/>
      <c r="E947" s="24" t="n"/>
      <c r="F947" s="24" t="n"/>
      <c r="G947" s="24" t="n"/>
      <c r="H947" s="24" t="n"/>
      <c r="I947" s="24" t="n"/>
      <c r="J947" s="34" t="n"/>
      <c r="K947" s="24" t="n"/>
      <c r="L947" s="24" t="n"/>
      <c r="M947" s="24" t="n"/>
      <c r="N947" s="24" t="n"/>
      <c r="O947" s="34" t="n"/>
      <c r="P947" s="24" t="n"/>
      <c r="Q947" s="24" t="n"/>
      <c r="R947" s="24" t="n"/>
    </row>
    <row r="948" ht="15" customHeight="1" s="21">
      <c r="A948" s="34" t="n"/>
      <c r="B948" s="35" t="n"/>
      <c r="C948" s="34" t="n"/>
      <c r="D948" s="31" t="n"/>
      <c r="E948" s="24" t="n"/>
      <c r="F948" s="24" t="n"/>
      <c r="G948" s="24" t="n"/>
      <c r="H948" s="24" t="n"/>
      <c r="I948" s="24" t="n"/>
      <c r="J948" s="34" t="n"/>
      <c r="K948" s="24" t="n"/>
      <c r="L948" s="24" t="n"/>
      <c r="M948" s="24" t="n"/>
      <c r="N948" s="24" t="n"/>
      <c r="O948" s="34" t="n"/>
      <c r="P948" s="24" t="n"/>
      <c r="Q948" s="24" t="n"/>
      <c r="R948" s="24" t="n"/>
    </row>
    <row r="949" ht="15" customHeight="1" s="21">
      <c r="A949" s="34" t="n"/>
      <c r="B949" s="35" t="n"/>
      <c r="C949" s="34" t="n"/>
      <c r="D949" s="31" t="n"/>
      <c r="E949" s="24" t="n"/>
      <c r="F949" s="24" t="n"/>
      <c r="G949" s="24" t="n"/>
      <c r="H949" s="24" t="n"/>
      <c r="I949" s="24" t="n"/>
      <c r="J949" s="34" t="n"/>
      <c r="K949" s="24" t="n"/>
      <c r="L949" s="24" t="n"/>
      <c r="M949" s="24" t="n"/>
      <c r="N949" s="24" t="n"/>
      <c r="O949" s="34" t="n"/>
      <c r="P949" s="24" t="n"/>
      <c r="Q949" s="24" t="n"/>
      <c r="R949" s="24" t="n"/>
    </row>
    <row r="950" ht="15" customHeight="1" s="21">
      <c r="A950" s="34" t="n"/>
      <c r="B950" s="35" t="n"/>
      <c r="C950" s="34" t="n"/>
      <c r="D950" s="31" t="n"/>
      <c r="E950" s="24" t="n"/>
      <c r="F950" s="24" t="n"/>
      <c r="G950" s="24" t="n"/>
      <c r="H950" s="24" t="n"/>
      <c r="I950" s="24" t="n"/>
      <c r="J950" s="34" t="n"/>
      <c r="K950" s="24" t="n"/>
      <c r="L950" s="24" t="n"/>
      <c r="M950" s="24" t="n"/>
      <c r="N950" s="24" t="n"/>
      <c r="O950" s="34" t="n"/>
      <c r="P950" s="24" t="n"/>
      <c r="Q950" s="24" t="n"/>
      <c r="R950" s="24" t="n"/>
    </row>
    <row r="951" ht="15" customHeight="1" s="21">
      <c r="A951" s="34" t="n"/>
      <c r="B951" s="35" t="n"/>
      <c r="C951" s="34" t="n"/>
      <c r="D951" s="31" t="n"/>
      <c r="E951" s="24" t="n"/>
      <c r="F951" s="24" t="n"/>
      <c r="G951" s="24" t="n"/>
      <c r="H951" s="24" t="n"/>
      <c r="I951" s="24" t="n"/>
      <c r="J951" s="34" t="n"/>
      <c r="K951" s="24" t="n"/>
      <c r="L951" s="24" t="n"/>
      <c r="M951" s="24" t="n"/>
      <c r="N951" s="24" t="n"/>
      <c r="O951" s="34" t="n"/>
      <c r="P951" s="24" t="n"/>
      <c r="Q951" s="24" t="n"/>
      <c r="R951" s="24" t="n"/>
    </row>
    <row r="952" ht="15" customHeight="1" s="21">
      <c r="A952" s="34" t="n"/>
      <c r="B952" s="35" t="n"/>
      <c r="C952" s="34" t="n"/>
      <c r="D952" s="31" t="n"/>
      <c r="E952" s="24" t="n"/>
      <c r="F952" s="24" t="n"/>
      <c r="G952" s="24" t="n"/>
      <c r="H952" s="24" t="n"/>
      <c r="I952" s="24" t="n"/>
      <c r="J952" s="34" t="n"/>
      <c r="K952" s="24" t="n"/>
      <c r="L952" s="24" t="n"/>
      <c r="M952" s="24" t="n"/>
      <c r="N952" s="24" t="n"/>
      <c r="O952" s="34" t="n"/>
      <c r="P952" s="24" t="n"/>
      <c r="Q952" s="24" t="n"/>
      <c r="R952" s="24" t="n"/>
    </row>
    <row r="953" ht="15" customHeight="1" s="21">
      <c r="A953" s="34" t="n"/>
      <c r="B953" s="35" t="n"/>
      <c r="C953" s="34" t="n"/>
      <c r="D953" s="31" t="n"/>
      <c r="E953" s="24" t="n"/>
      <c r="F953" s="24" t="n"/>
      <c r="G953" s="24" t="n"/>
      <c r="H953" s="24" t="n"/>
      <c r="I953" s="24" t="n"/>
      <c r="J953" s="34" t="n"/>
      <c r="K953" s="24" t="n"/>
      <c r="L953" s="24" t="n"/>
      <c r="M953" s="24" t="n"/>
      <c r="N953" s="24" t="n"/>
      <c r="O953" s="34" t="n"/>
      <c r="P953" s="24" t="n"/>
      <c r="Q953" s="24" t="n"/>
      <c r="R953" s="24" t="n"/>
    </row>
    <row r="954" ht="15" customHeight="1" s="21">
      <c r="A954" s="34" t="n"/>
      <c r="B954" s="35" t="n"/>
      <c r="C954" s="34" t="n"/>
      <c r="D954" s="31" t="n"/>
      <c r="E954" s="24" t="n"/>
      <c r="F954" s="24" t="n"/>
      <c r="G954" s="24" t="n"/>
      <c r="H954" s="24" t="n"/>
      <c r="I954" s="24" t="n"/>
      <c r="J954" s="34" t="n"/>
      <c r="K954" s="24" t="n"/>
      <c r="L954" s="24" t="n"/>
      <c r="M954" s="24" t="n"/>
      <c r="N954" s="24" t="n"/>
      <c r="O954" s="34" t="n"/>
      <c r="P954" s="24" t="n"/>
      <c r="Q954" s="24" t="n"/>
      <c r="R954" s="24" t="n"/>
    </row>
    <row r="955" ht="15" customHeight="1" s="21">
      <c r="A955" s="34" t="n"/>
      <c r="B955" s="35" t="n"/>
      <c r="C955" s="34" t="n"/>
      <c r="D955" s="31" t="n"/>
      <c r="E955" s="24" t="n"/>
      <c r="F955" s="24" t="n"/>
      <c r="G955" s="24" t="n"/>
      <c r="H955" s="24" t="n"/>
      <c r="I955" s="24" t="n"/>
      <c r="J955" s="34" t="n"/>
      <c r="K955" s="24" t="n"/>
      <c r="L955" s="24" t="n"/>
      <c r="M955" s="24" t="n"/>
      <c r="N955" s="24" t="n"/>
      <c r="O955" s="34" t="n"/>
      <c r="P955" s="24" t="n"/>
      <c r="Q955" s="24" t="n"/>
      <c r="R955" s="24" t="n"/>
    </row>
    <row r="956" ht="15" customHeight="1" s="21">
      <c r="A956" s="34" t="n"/>
      <c r="B956" s="35" t="n"/>
      <c r="C956" s="34" t="n"/>
      <c r="D956" s="31" t="n"/>
      <c r="E956" s="24" t="n"/>
      <c r="F956" s="24" t="n"/>
      <c r="G956" s="24" t="n"/>
      <c r="H956" s="24" t="n"/>
      <c r="I956" s="24" t="n"/>
      <c r="J956" s="34" t="n"/>
      <c r="K956" s="24" t="n"/>
      <c r="L956" s="24" t="n"/>
      <c r="M956" s="24" t="n"/>
      <c r="N956" s="24" t="n"/>
      <c r="O956" s="34" t="n"/>
      <c r="P956" s="24" t="n"/>
      <c r="Q956" s="24" t="n"/>
      <c r="R956" s="24" t="n"/>
    </row>
    <row r="957" ht="15" customHeight="1" s="21">
      <c r="A957" s="34" t="n"/>
      <c r="B957" s="35" t="n"/>
      <c r="C957" s="34" t="n"/>
      <c r="D957" s="31" t="n"/>
      <c r="E957" s="24" t="n"/>
      <c r="F957" s="24" t="n"/>
      <c r="G957" s="24" t="n"/>
      <c r="H957" s="24" t="n"/>
      <c r="I957" s="24" t="n"/>
      <c r="J957" s="34" t="n"/>
      <c r="K957" s="24" t="n"/>
      <c r="L957" s="24" t="n"/>
      <c r="M957" s="24" t="n"/>
      <c r="N957" s="24" t="n"/>
      <c r="O957" s="34" t="n"/>
      <c r="P957" s="24" t="n"/>
      <c r="Q957" s="24" t="n"/>
      <c r="R957" s="24" t="n"/>
    </row>
    <row r="958" ht="15" customHeight="1" s="21">
      <c r="A958" s="34" t="n"/>
      <c r="B958" s="35" t="n"/>
      <c r="C958" s="34" t="n"/>
      <c r="D958" s="31" t="n"/>
      <c r="E958" s="24" t="n"/>
      <c r="F958" s="24" t="n"/>
      <c r="G958" s="24" t="n"/>
      <c r="H958" s="24" t="n"/>
      <c r="I958" s="24" t="n"/>
      <c r="J958" s="34" t="n"/>
      <c r="K958" s="24" t="n"/>
      <c r="L958" s="24" t="n"/>
      <c r="M958" s="24" t="n"/>
      <c r="N958" s="24" t="n"/>
      <c r="O958" s="34" t="n"/>
      <c r="P958" s="24" t="n"/>
      <c r="Q958" s="24" t="n"/>
      <c r="R958" s="24" t="n"/>
    </row>
    <row r="959" ht="15" customHeight="1" s="21">
      <c r="A959" s="34" t="n"/>
      <c r="B959" s="35" t="n"/>
      <c r="C959" s="34" t="n"/>
      <c r="D959" s="31" t="n"/>
      <c r="E959" s="24" t="n"/>
      <c r="F959" s="24" t="n"/>
      <c r="G959" s="24" t="n"/>
      <c r="H959" s="24" t="n"/>
      <c r="I959" s="24" t="n"/>
      <c r="J959" s="34" t="n"/>
      <c r="K959" s="24" t="n"/>
      <c r="L959" s="24" t="n"/>
      <c r="M959" s="24" t="n"/>
      <c r="N959" s="24" t="n"/>
      <c r="O959" s="34" t="n"/>
      <c r="P959" s="24" t="n"/>
      <c r="Q959" s="24" t="n"/>
      <c r="R959" s="24" t="n"/>
    </row>
    <row r="960" ht="15" customHeight="1" s="21">
      <c r="A960" s="34" t="n"/>
      <c r="B960" s="35" t="n"/>
      <c r="C960" s="34" t="n"/>
      <c r="D960" s="31" t="n"/>
      <c r="E960" s="24" t="n"/>
      <c r="F960" s="24" t="n"/>
      <c r="G960" s="24" t="n"/>
      <c r="H960" s="24" t="n"/>
      <c r="I960" s="24" t="n"/>
      <c r="J960" s="34" t="n"/>
      <c r="K960" s="24" t="n"/>
      <c r="L960" s="24" t="n"/>
      <c r="M960" s="24" t="n"/>
      <c r="N960" s="24" t="n"/>
      <c r="O960" s="34" t="n"/>
      <c r="P960" s="24" t="n"/>
      <c r="Q960" s="24" t="n"/>
      <c r="R960" s="24" t="n"/>
    </row>
    <row r="961" ht="15" customHeight="1" s="21">
      <c r="A961" s="34" t="n"/>
      <c r="B961" s="35" t="n"/>
      <c r="C961" s="34" t="n"/>
      <c r="D961" s="31" t="n"/>
      <c r="E961" s="24" t="n"/>
      <c r="F961" s="24" t="n"/>
      <c r="G961" s="24" t="n"/>
      <c r="H961" s="24" t="n"/>
      <c r="I961" s="24" t="n"/>
      <c r="J961" s="34" t="n"/>
      <c r="K961" s="24" t="n"/>
      <c r="L961" s="24" t="n"/>
      <c r="M961" s="24" t="n"/>
      <c r="N961" s="24" t="n"/>
      <c r="O961" s="34" t="n"/>
      <c r="P961" s="24" t="n"/>
      <c r="Q961" s="24" t="n"/>
      <c r="R961" s="24" t="n"/>
    </row>
    <row r="962" ht="15" customHeight="1" s="21">
      <c r="A962" s="34" t="n"/>
      <c r="B962" s="35" t="n"/>
      <c r="C962" s="34" t="n"/>
      <c r="D962" s="31" t="n"/>
      <c r="E962" s="24" t="n"/>
      <c r="F962" s="24" t="n"/>
      <c r="G962" s="24" t="n"/>
      <c r="H962" s="24" t="n"/>
      <c r="I962" s="24" t="n"/>
      <c r="J962" s="34" t="n"/>
      <c r="K962" s="24" t="n"/>
      <c r="L962" s="24" t="n"/>
      <c r="M962" s="24" t="n"/>
      <c r="N962" s="24" t="n"/>
      <c r="O962" s="34" t="n"/>
      <c r="P962" s="24" t="n"/>
      <c r="Q962" s="24" t="n"/>
      <c r="R962" s="24" t="n"/>
    </row>
    <row r="963" ht="15" customHeight="1" s="21">
      <c r="A963" s="34" t="n"/>
      <c r="B963" s="35" t="n"/>
      <c r="C963" s="34" t="n"/>
      <c r="D963" s="31" t="n"/>
      <c r="E963" s="24" t="n"/>
      <c r="F963" s="24" t="n"/>
      <c r="G963" s="24" t="n"/>
      <c r="H963" s="24" t="n"/>
      <c r="I963" s="24" t="n"/>
      <c r="J963" s="34" t="n"/>
      <c r="K963" s="24" t="n"/>
      <c r="L963" s="24" t="n"/>
      <c r="M963" s="24" t="n"/>
      <c r="N963" s="24" t="n"/>
      <c r="O963" s="34" t="n"/>
      <c r="P963" s="24" t="n"/>
      <c r="Q963" s="24" t="n"/>
      <c r="R963" s="24" t="n"/>
    </row>
    <row r="964" ht="15" customHeight="1" s="21">
      <c r="A964" s="34" t="n"/>
      <c r="B964" s="35" t="n"/>
      <c r="C964" s="34" t="n"/>
      <c r="D964" s="31" t="n"/>
      <c r="E964" s="24" t="n"/>
      <c r="F964" s="24" t="n"/>
      <c r="G964" s="24" t="n"/>
      <c r="H964" s="24" t="n"/>
      <c r="I964" s="24" t="n"/>
      <c r="J964" s="34" t="n"/>
      <c r="K964" s="24" t="n"/>
      <c r="L964" s="24" t="n"/>
      <c r="M964" s="24" t="n"/>
      <c r="N964" s="24" t="n"/>
      <c r="O964" s="34" t="n"/>
      <c r="P964" s="24" t="n"/>
      <c r="Q964" s="24" t="n"/>
      <c r="R964" s="24" t="n"/>
    </row>
    <row r="965" ht="15" customHeight="1" s="21">
      <c r="A965" s="34" t="n"/>
      <c r="B965" s="35" t="n"/>
      <c r="C965" s="34" t="n"/>
      <c r="D965" s="31" t="n"/>
      <c r="E965" s="24" t="n"/>
      <c r="F965" s="24" t="n"/>
      <c r="G965" s="24" t="n"/>
      <c r="H965" s="24" t="n"/>
      <c r="I965" s="24" t="n"/>
      <c r="J965" s="34" t="n"/>
      <c r="K965" s="24" t="n"/>
      <c r="L965" s="24" t="n"/>
      <c r="M965" s="24" t="n"/>
      <c r="N965" s="24" t="n"/>
      <c r="O965" s="34" t="n"/>
      <c r="P965" s="24" t="n"/>
      <c r="Q965" s="24" t="n"/>
      <c r="R965" s="24" t="n"/>
    </row>
    <row r="966" ht="15" customHeight="1" s="21">
      <c r="A966" s="34" t="n"/>
      <c r="B966" s="35" t="n"/>
      <c r="C966" s="34" t="n"/>
      <c r="D966" s="31" t="n"/>
      <c r="E966" s="24" t="n"/>
      <c r="F966" s="24" t="n"/>
      <c r="G966" s="24" t="n"/>
      <c r="H966" s="24" t="n"/>
      <c r="I966" s="24" t="n"/>
      <c r="J966" s="34" t="n"/>
      <c r="K966" s="24" t="n"/>
      <c r="L966" s="24" t="n"/>
      <c r="M966" s="24" t="n"/>
      <c r="N966" s="24" t="n"/>
      <c r="O966" s="34" t="n"/>
      <c r="P966" s="24" t="n"/>
      <c r="Q966" s="24" t="n"/>
      <c r="R966" s="24" t="n"/>
    </row>
    <row r="967" ht="15" customHeight="1" s="21">
      <c r="A967" s="34" t="n"/>
      <c r="B967" s="35" t="n"/>
      <c r="C967" s="34" t="n"/>
      <c r="D967" s="31" t="n"/>
      <c r="E967" s="24" t="n"/>
      <c r="F967" s="24" t="n"/>
      <c r="G967" s="24" t="n"/>
      <c r="H967" s="24" t="n"/>
      <c r="I967" s="24" t="n"/>
      <c r="J967" s="34" t="n"/>
      <c r="K967" s="24" t="n"/>
      <c r="L967" s="24" t="n"/>
      <c r="M967" s="24" t="n"/>
      <c r="N967" s="24" t="n"/>
      <c r="O967" s="34" t="n"/>
      <c r="P967" s="24" t="n"/>
      <c r="Q967" s="24" t="n"/>
      <c r="R967" s="24" t="n"/>
    </row>
    <row r="968" ht="15" customHeight="1" s="21">
      <c r="A968" s="34" t="n"/>
      <c r="B968" s="35" t="n"/>
      <c r="C968" s="34" t="n"/>
      <c r="D968" s="31" t="n"/>
      <c r="E968" s="24" t="n"/>
      <c r="F968" s="24" t="n"/>
      <c r="G968" s="24" t="n"/>
      <c r="H968" s="24" t="n"/>
      <c r="I968" s="24" t="n"/>
      <c r="J968" s="34" t="n"/>
      <c r="K968" s="24" t="n"/>
      <c r="L968" s="24" t="n"/>
      <c r="M968" s="24" t="n"/>
      <c r="N968" s="24" t="n"/>
      <c r="O968" s="34" t="n"/>
      <c r="P968" s="24" t="n"/>
      <c r="Q968" s="24" t="n"/>
      <c r="R968" s="24" t="n"/>
    </row>
    <row r="969" ht="15" customHeight="1" s="21">
      <c r="A969" s="34" t="n"/>
      <c r="B969" s="35" t="n"/>
      <c r="C969" s="34" t="n"/>
      <c r="D969" s="31" t="n"/>
      <c r="E969" s="24" t="n"/>
      <c r="F969" s="24" t="n"/>
      <c r="G969" s="24" t="n"/>
      <c r="H969" s="24" t="n"/>
      <c r="I969" s="24" t="n"/>
      <c r="J969" s="34" t="n"/>
      <c r="K969" s="24" t="n"/>
      <c r="L969" s="24" t="n"/>
      <c r="M969" s="24" t="n"/>
      <c r="N969" s="24" t="n"/>
      <c r="O969" s="34" t="n"/>
      <c r="P969" s="24" t="n"/>
      <c r="Q969" s="24" t="n"/>
      <c r="R969" s="24" t="n"/>
    </row>
    <row r="970" ht="15" customHeight="1" s="21">
      <c r="A970" s="34" t="n"/>
      <c r="B970" s="35" t="n"/>
      <c r="C970" s="34" t="n"/>
      <c r="D970" s="31" t="n"/>
      <c r="E970" s="24" t="n"/>
      <c r="F970" s="24" t="n"/>
      <c r="G970" s="24" t="n"/>
      <c r="H970" s="24" t="n"/>
      <c r="I970" s="24" t="n"/>
      <c r="J970" s="34" t="n"/>
      <c r="K970" s="24" t="n"/>
      <c r="L970" s="24" t="n"/>
      <c r="M970" s="24" t="n"/>
      <c r="N970" s="24" t="n"/>
      <c r="O970" s="34" t="n"/>
      <c r="P970" s="24" t="n"/>
      <c r="Q970" s="24" t="n"/>
      <c r="R970" s="24" t="n"/>
    </row>
    <row r="971" ht="15" customHeight="1" s="21">
      <c r="A971" s="34" t="n"/>
      <c r="B971" s="35" t="n"/>
      <c r="C971" s="34" t="n"/>
      <c r="D971" s="31" t="n"/>
      <c r="E971" s="24" t="n"/>
      <c r="F971" s="24" t="n"/>
      <c r="G971" s="24" t="n"/>
      <c r="H971" s="24" t="n"/>
      <c r="I971" s="24" t="n"/>
      <c r="J971" s="34" t="n"/>
      <c r="K971" s="24" t="n"/>
      <c r="L971" s="24" t="n"/>
      <c r="M971" s="24" t="n"/>
      <c r="N971" s="24" t="n"/>
      <c r="O971" s="34" t="n"/>
      <c r="P971" s="24" t="n"/>
      <c r="Q971" s="24" t="n"/>
      <c r="R971" s="24" t="n"/>
    </row>
    <row r="972" ht="15" customHeight="1" s="21">
      <c r="A972" s="34" t="n"/>
      <c r="B972" s="35" t="n"/>
      <c r="C972" s="34" t="n"/>
      <c r="D972" s="31" t="n"/>
      <c r="E972" s="24" t="n"/>
      <c r="F972" s="24" t="n"/>
      <c r="G972" s="24" t="n"/>
      <c r="H972" s="24" t="n"/>
      <c r="I972" s="24" t="n"/>
      <c r="J972" s="34" t="n"/>
      <c r="K972" s="24" t="n"/>
      <c r="L972" s="24" t="n"/>
      <c r="M972" s="24" t="n"/>
      <c r="N972" s="24" t="n"/>
      <c r="O972" s="34" t="n"/>
      <c r="P972" s="24" t="n"/>
      <c r="Q972" s="24" t="n"/>
      <c r="R972" s="24" t="n"/>
    </row>
    <row r="973" ht="15" customHeight="1" s="21">
      <c r="A973" s="34" t="n"/>
      <c r="B973" s="35" t="n"/>
      <c r="C973" s="34" t="n"/>
      <c r="D973" s="31" t="n"/>
      <c r="E973" s="24" t="n"/>
      <c r="F973" s="24" t="n"/>
      <c r="G973" s="24" t="n"/>
      <c r="H973" s="24" t="n"/>
      <c r="I973" s="24" t="n"/>
      <c r="J973" s="34" t="n"/>
      <c r="K973" s="24" t="n"/>
      <c r="L973" s="24" t="n"/>
      <c r="M973" s="24" t="n"/>
      <c r="N973" s="24" t="n"/>
      <c r="O973" s="34" t="n"/>
      <c r="P973" s="24" t="n"/>
      <c r="Q973" s="24" t="n"/>
      <c r="R973" s="24" t="n"/>
    </row>
    <row r="974" ht="15" customHeight="1" s="21">
      <c r="A974" s="34" t="n"/>
      <c r="B974" s="35" t="n"/>
      <c r="C974" s="34" t="n"/>
      <c r="D974" s="31" t="n"/>
      <c r="E974" s="24" t="n"/>
      <c r="F974" s="24" t="n"/>
      <c r="G974" s="24" t="n"/>
      <c r="H974" s="24" t="n"/>
      <c r="I974" s="24" t="n"/>
      <c r="J974" s="34" t="n"/>
      <c r="K974" s="24" t="n"/>
      <c r="L974" s="24" t="n"/>
      <c r="M974" s="24" t="n"/>
      <c r="N974" s="24" t="n"/>
      <c r="O974" s="34" t="n"/>
      <c r="P974" s="24" t="n"/>
      <c r="Q974" s="24" t="n"/>
      <c r="R974" s="24" t="n"/>
    </row>
    <row r="975" ht="15" customHeight="1" s="21">
      <c r="A975" s="34" t="n"/>
      <c r="B975" s="35" t="n"/>
      <c r="C975" s="34" t="n"/>
      <c r="D975" s="31" t="n"/>
      <c r="E975" s="24" t="n"/>
      <c r="F975" s="24" t="n"/>
      <c r="G975" s="24" t="n"/>
      <c r="H975" s="24" t="n"/>
      <c r="I975" s="24" t="n"/>
      <c r="J975" s="34" t="n"/>
      <c r="K975" s="24" t="n"/>
      <c r="L975" s="24" t="n"/>
      <c r="M975" s="24" t="n"/>
      <c r="N975" s="24" t="n"/>
      <c r="O975" s="34" t="n"/>
      <c r="P975" s="24" t="n"/>
      <c r="Q975" s="24" t="n"/>
      <c r="R975" s="24" t="n"/>
    </row>
    <row r="976" ht="15" customHeight="1" s="21">
      <c r="A976" s="34" t="n"/>
      <c r="B976" s="35" t="n"/>
      <c r="C976" s="34" t="n"/>
      <c r="D976" s="31" t="n"/>
      <c r="E976" s="24" t="n"/>
      <c r="F976" s="24" t="n"/>
      <c r="G976" s="24" t="n"/>
      <c r="H976" s="24" t="n"/>
      <c r="I976" s="24" t="n"/>
      <c r="J976" s="34" t="n"/>
      <c r="K976" s="24" t="n"/>
      <c r="L976" s="24" t="n"/>
      <c r="M976" s="24" t="n"/>
      <c r="N976" s="24" t="n"/>
      <c r="O976" s="34" t="n"/>
      <c r="P976" s="24" t="n"/>
      <c r="Q976" s="24" t="n"/>
      <c r="R976" s="24" t="n"/>
    </row>
    <row r="977" ht="15" customHeight="1" s="21">
      <c r="A977" s="34" t="n"/>
      <c r="B977" s="35" t="n"/>
      <c r="C977" s="34" t="n"/>
      <c r="D977" s="31" t="n"/>
      <c r="E977" s="24" t="n"/>
      <c r="F977" s="24" t="n"/>
      <c r="G977" s="24" t="n"/>
      <c r="H977" s="24" t="n"/>
      <c r="I977" s="24" t="n"/>
      <c r="J977" s="34" t="n"/>
      <c r="K977" s="24" t="n"/>
      <c r="L977" s="24" t="n"/>
      <c r="M977" s="24" t="n"/>
      <c r="N977" s="24" t="n"/>
      <c r="O977" s="34" t="n"/>
      <c r="P977" s="24" t="n"/>
      <c r="Q977" s="24" t="n"/>
      <c r="R977" s="24" t="n"/>
    </row>
    <row r="978" ht="15" customHeight="1" s="21">
      <c r="A978" s="34" t="n"/>
      <c r="B978" s="35" t="n"/>
      <c r="C978" s="34" t="n"/>
      <c r="D978" s="31" t="n"/>
      <c r="E978" s="24" t="n"/>
      <c r="F978" s="24" t="n"/>
      <c r="G978" s="24" t="n"/>
      <c r="H978" s="24" t="n"/>
      <c r="I978" s="24" t="n"/>
      <c r="J978" s="34" t="n"/>
      <c r="K978" s="24" t="n"/>
      <c r="L978" s="24" t="n"/>
      <c r="M978" s="24" t="n"/>
      <c r="N978" s="24" t="n"/>
      <c r="O978" s="34" t="n"/>
      <c r="P978" s="24" t="n"/>
      <c r="Q978" s="24" t="n"/>
      <c r="R978" s="24" t="n"/>
    </row>
    <row r="979" ht="15" customHeight="1" s="21">
      <c r="A979" s="34" t="n"/>
      <c r="B979" s="35" t="n"/>
      <c r="C979" s="34" t="n"/>
      <c r="D979" s="31" t="n"/>
      <c r="E979" s="24" t="n"/>
      <c r="F979" s="24" t="n"/>
      <c r="G979" s="24" t="n"/>
      <c r="H979" s="24" t="n"/>
      <c r="I979" s="24" t="n"/>
      <c r="J979" s="34" t="n"/>
      <c r="K979" s="24" t="n"/>
      <c r="L979" s="24" t="n"/>
      <c r="M979" s="24" t="n"/>
      <c r="N979" s="24" t="n"/>
      <c r="O979" s="34" t="n"/>
      <c r="P979" s="24" t="n"/>
      <c r="Q979" s="24" t="n"/>
      <c r="R979" s="24" t="n"/>
    </row>
    <row r="980" ht="15" customHeight="1" s="21">
      <c r="A980" s="34" t="n"/>
      <c r="B980" s="35" t="n"/>
      <c r="C980" s="34" t="n"/>
      <c r="D980" s="31" t="n"/>
      <c r="E980" s="24" t="n"/>
      <c r="F980" s="24" t="n"/>
      <c r="G980" s="24" t="n"/>
      <c r="H980" s="24" t="n"/>
      <c r="I980" s="24" t="n"/>
      <c r="J980" s="34" t="n"/>
      <c r="K980" s="24" t="n"/>
      <c r="L980" s="24" t="n"/>
      <c r="M980" s="24" t="n"/>
      <c r="N980" s="24" t="n"/>
      <c r="O980" s="34" t="n"/>
      <c r="P980" s="24" t="n"/>
      <c r="Q980" s="24" t="n"/>
      <c r="R980" s="24" t="n"/>
    </row>
    <row r="981" ht="15" customHeight="1" s="21">
      <c r="A981" s="34" t="n"/>
      <c r="B981" s="35" t="n"/>
      <c r="C981" s="34" t="n"/>
      <c r="D981" s="31" t="n"/>
      <c r="E981" s="24" t="n"/>
      <c r="F981" s="24" t="n"/>
      <c r="G981" s="24" t="n"/>
      <c r="H981" s="24" t="n"/>
      <c r="I981" s="24" t="n"/>
      <c r="J981" s="34" t="n"/>
      <c r="K981" s="24" t="n"/>
      <c r="L981" s="24" t="n"/>
      <c r="M981" s="24" t="n"/>
      <c r="N981" s="24" t="n"/>
      <c r="O981" s="34" t="n"/>
      <c r="P981" s="24" t="n"/>
      <c r="Q981" s="24" t="n"/>
      <c r="R981" s="24" t="n"/>
    </row>
    <row r="982" ht="15" customHeight="1" s="21">
      <c r="A982" s="34" t="n"/>
      <c r="B982" s="35" t="n"/>
      <c r="C982" s="34" t="n"/>
      <c r="D982" s="31" t="n"/>
      <c r="E982" s="24" t="n"/>
      <c r="F982" s="24" t="n"/>
      <c r="G982" s="24" t="n"/>
      <c r="H982" s="24" t="n"/>
      <c r="I982" s="24" t="n"/>
      <c r="J982" s="34" t="n"/>
      <c r="K982" s="24" t="n"/>
      <c r="L982" s="24" t="n"/>
      <c r="M982" s="24" t="n"/>
      <c r="N982" s="24" t="n"/>
      <c r="O982" s="34" t="n"/>
      <c r="P982" s="24" t="n"/>
      <c r="Q982" s="24" t="n"/>
      <c r="R982" s="24" t="n"/>
    </row>
    <row r="983" ht="15" customHeight="1" s="21">
      <c r="A983" s="34" t="n"/>
      <c r="B983" s="35" t="n"/>
      <c r="C983" s="34" t="n"/>
      <c r="D983" s="31" t="n"/>
      <c r="E983" s="24" t="n"/>
      <c r="F983" s="24" t="n"/>
      <c r="G983" s="24" t="n"/>
      <c r="H983" s="24" t="n"/>
      <c r="I983" s="24" t="n"/>
      <c r="J983" s="34" t="n"/>
      <c r="K983" s="24" t="n"/>
      <c r="L983" s="24" t="n"/>
      <c r="M983" s="24" t="n"/>
      <c r="N983" s="24" t="n"/>
      <c r="O983" s="34" t="n"/>
      <c r="P983" s="24" t="n"/>
      <c r="Q983" s="24" t="n"/>
      <c r="R983" s="24" t="n"/>
    </row>
    <row r="984" ht="15" customHeight="1" s="21">
      <c r="A984" s="34" t="n"/>
      <c r="B984" s="35" t="n"/>
      <c r="C984" s="34" t="n"/>
      <c r="D984" s="31" t="n"/>
      <c r="E984" s="24" t="n"/>
      <c r="F984" s="24" t="n"/>
      <c r="G984" s="24" t="n"/>
      <c r="H984" s="24" t="n"/>
      <c r="I984" s="24" t="n"/>
      <c r="J984" s="34" t="n"/>
      <c r="K984" s="24" t="n"/>
      <c r="L984" s="24" t="n"/>
      <c r="M984" s="24" t="n"/>
      <c r="N984" s="24" t="n"/>
      <c r="O984" s="34" t="n"/>
      <c r="P984" s="24" t="n"/>
      <c r="Q984" s="24" t="n"/>
      <c r="R984" s="24" t="n"/>
    </row>
    <row r="985" ht="15" customHeight="1" s="21">
      <c r="A985" s="34" t="n"/>
      <c r="B985" s="35" t="n"/>
      <c r="C985" s="34" t="n"/>
      <c r="D985" s="31" t="n"/>
      <c r="E985" s="24" t="n"/>
      <c r="F985" s="24" t="n"/>
      <c r="G985" s="24" t="n"/>
      <c r="H985" s="24" t="n"/>
      <c r="I985" s="24" t="n"/>
      <c r="J985" s="34" t="n"/>
      <c r="K985" s="24" t="n"/>
      <c r="L985" s="24" t="n"/>
      <c r="M985" s="24" t="n"/>
      <c r="N985" s="24" t="n"/>
      <c r="O985" s="34" t="n"/>
      <c r="P985" s="24" t="n"/>
      <c r="Q985" s="24" t="n"/>
      <c r="R985" s="24" t="n"/>
    </row>
    <row r="986" ht="15" customHeight="1" s="21">
      <c r="A986" s="34" t="n"/>
      <c r="B986" s="35" t="n"/>
      <c r="C986" s="34" t="n"/>
      <c r="D986" s="31" t="n"/>
      <c r="E986" s="24" t="n"/>
      <c r="F986" s="24" t="n"/>
      <c r="G986" s="24" t="n"/>
      <c r="H986" s="24" t="n"/>
      <c r="I986" s="24" t="n"/>
      <c r="J986" s="34" t="n"/>
      <c r="K986" s="24" t="n"/>
      <c r="L986" s="24" t="n"/>
      <c r="M986" s="24" t="n"/>
      <c r="N986" s="24" t="n"/>
      <c r="O986" s="34" t="n"/>
      <c r="P986" s="24" t="n"/>
      <c r="Q986" s="24" t="n"/>
      <c r="R986" s="24" t="n"/>
    </row>
    <row r="987" ht="15" customHeight="1" s="21">
      <c r="A987" s="34" t="n"/>
      <c r="B987" s="35" t="n"/>
      <c r="C987" s="34" t="n"/>
      <c r="D987" s="31" t="n"/>
      <c r="E987" s="24" t="n"/>
      <c r="F987" s="24" t="n"/>
      <c r="G987" s="24" t="n"/>
      <c r="H987" s="24" t="n"/>
      <c r="I987" s="24" t="n"/>
      <c r="J987" s="34" t="n"/>
      <c r="K987" s="24" t="n"/>
      <c r="L987" s="24" t="n"/>
      <c r="M987" s="24" t="n"/>
      <c r="N987" s="24" t="n"/>
      <c r="O987" s="34" t="n"/>
      <c r="P987" s="24" t="n"/>
      <c r="Q987" s="24" t="n"/>
      <c r="R987" s="24" t="n"/>
    </row>
    <row r="988" ht="15" customHeight="1" s="21">
      <c r="A988" s="34" t="n"/>
      <c r="B988" s="35" t="n"/>
      <c r="C988" s="34" t="n"/>
      <c r="D988" s="31" t="n"/>
      <c r="E988" s="24" t="n"/>
      <c r="F988" s="24" t="n"/>
      <c r="G988" s="24" t="n"/>
      <c r="H988" s="24" t="n"/>
      <c r="I988" s="24" t="n"/>
      <c r="J988" s="34" t="n"/>
      <c r="K988" s="24" t="n"/>
      <c r="L988" s="24" t="n"/>
      <c r="M988" s="24" t="n"/>
      <c r="N988" s="24" t="n"/>
      <c r="O988" s="34" t="n"/>
      <c r="P988" s="24" t="n"/>
      <c r="Q988" s="24" t="n"/>
      <c r="R988" s="24" t="n"/>
    </row>
    <row r="989" ht="15" customHeight="1" s="21">
      <c r="A989" s="34" t="n"/>
      <c r="B989" s="35" t="n"/>
      <c r="C989" s="34" t="n"/>
      <c r="D989" s="31" t="n"/>
      <c r="E989" s="24" t="n"/>
      <c r="F989" s="24" t="n"/>
      <c r="G989" s="24" t="n"/>
      <c r="H989" s="24" t="n"/>
      <c r="I989" s="24" t="n"/>
      <c r="J989" s="34" t="n"/>
      <c r="K989" s="24" t="n"/>
      <c r="L989" s="24" t="n"/>
      <c r="M989" s="24" t="n"/>
      <c r="N989" s="24" t="n"/>
      <c r="O989" s="34" t="n"/>
      <c r="P989" s="24" t="n"/>
      <c r="Q989" s="24" t="n"/>
      <c r="R989" s="24" t="n"/>
    </row>
    <row r="990" ht="15" customHeight="1" s="21">
      <c r="A990" s="34" t="n"/>
      <c r="B990" s="35" t="n"/>
      <c r="C990" s="34" t="n"/>
      <c r="D990" s="31" t="n"/>
      <c r="E990" s="24" t="n"/>
      <c r="F990" s="24" t="n"/>
      <c r="G990" s="24" t="n"/>
      <c r="H990" s="24" t="n"/>
      <c r="I990" s="24" t="n"/>
      <c r="J990" s="34" t="n"/>
      <c r="K990" s="24" t="n"/>
      <c r="L990" s="24" t="n"/>
      <c r="M990" s="24" t="n"/>
      <c r="N990" s="24" t="n"/>
      <c r="O990" s="34" t="n"/>
      <c r="P990" s="24" t="n"/>
      <c r="Q990" s="24" t="n"/>
      <c r="R990" s="24" t="n"/>
    </row>
    <row r="991" ht="15" customHeight="1" s="21">
      <c r="A991" s="34" t="n"/>
      <c r="B991" s="35" t="n"/>
      <c r="C991" s="34" t="n"/>
      <c r="D991" s="31" t="n"/>
      <c r="E991" s="24" t="n"/>
      <c r="F991" s="24" t="n"/>
      <c r="G991" s="24" t="n"/>
      <c r="H991" s="24" t="n"/>
      <c r="I991" s="24" t="n"/>
      <c r="J991" s="34" t="n"/>
      <c r="K991" s="24" t="n"/>
      <c r="L991" s="24" t="n"/>
      <c r="M991" s="24" t="n"/>
      <c r="N991" s="24" t="n"/>
      <c r="O991" s="34" t="n"/>
      <c r="P991" s="24" t="n"/>
      <c r="Q991" s="24" t="n"/>
      <c r="R991" s="24" t="n"/>
    </row>
    <row r="992" ht="15" customHeight="1" s="21">
      <c r="A992" s="34" t="n"/>
      <c r="B992" s="35" t="n"/>
      <c r="C992" s="34" t="n"/>
      <c r="D992" s="31" t="n"/>
      <c r="E992" s="24" t="n"/>
      <c r="F992" s="24" t="n"/>
      <c r="G992" s="24" t="n"/>
      <c r="H992" s="24" t="n"/>
      <c r="I992" s="24" t="n"/>
      <c r="J992" s="34" t="n"/>
      <c r="K992" s="24" t="n"/>
      <c r="L992" s="24" t="n"/>
      <c r="M992" s="24" t="n"/>
      <c r="N992" s="24" t="n"/>
      <c r="O992" s="34" t="n"/>
      <c r="P992" s="24" t="n"/>
      <c r="Q992" s="24" t="n"/>
      <c r="R992" s="24" t="n"/>
    </row>
    <row r="993" ht="15" customHeight="1" s="21">
      <c r="A993" s="34" t="n"/>
      <c r="B993" s="35" t="n"/>
      <c r="C993" s="34" t="n"/>
      <c r="D993" s="31" t="n"/>
      <c r="E993" s="24" t="n"/>
      <c r="F993" s="24" t="n"/>
      <c r="G993" s="24" t="n"/>
      <c r="H993" s="24" t="n"/>
      <c r="I993" s="24" t="n"/>
      <c r="J993" s="34" t="n"/>
      <c r="K993" s="24" t="n"/>
      <c r="L993" s="24" t="n"/>
      <c r="M993" s="24" t="n"/>
      <c r="N993" s="24" t="n"/>
      <c r="O993" s="34" t="n"/>
      <c r="P993" s="24" t="n"/>
      <c r="Q993" s="24" t="n"/>
      <c r="R993" s="24" t="n"/>
    </row>
    <row r="994" ht="15" customHeight="1" s="21">
      <c r="A994" s="34" t="n"/>
      <c r="B994" s="35" t="n"/>
      <c r="C994" s="34" t="n"/>
      <c r="D994" s="31" t="n"/>
      <c r="E994" s="24" t="n"/>
      <c r="F994" s="24" t="n"/>
      <c r="G994" s="24" t="n"/>
      <c r="H994" s="24" t="n"/>
      <c r="I994" s="24" t="n"/>
      <c r="J994" s="34" t="n"/>
      <c r="K994" s="24" t="n"/>
      <c r="L994" s="24" t="n"/>
      <c r="M994" s="24" t="n"/>
      <c r="N994" s="24" t="n"/>
      <c r="O994" s="34" t="n"/>
      <c r="P994" s="24" t="n"/>
      <c r="Q994" s="24" t="n"/>
      <c r="R994" s="24" t="n"/>
    </row>
    <row r="995" ht="15" customHeight="1" s="21">
      <c r="A995" s="34" t="n"/>
      <c r="B995" s="35" t="n"/>
      <c r="C995" s="34" t="n"/>
      <c r="D995" s="31" t="n"/>
      <c r="E995" s="24" t="n"/>
      <c r="F995" s="24" t="n"/>
      <c r="G995" s="24" t="n"/>
      <c r="H995" s="24" t="n"/>
      <c r="I995" s="24" t="n"/>
      <c r="J995" s="34" t="n"/>
      <c r="K995" s="24" t="n"/>
      <c r="L995" s="24" t="n"/>
      <c r="M995" s="24" t="n"/>
      <c r="N995" s="24" t="n"/>
      <c r="O995" s="34" t="n"/>
      <c r="P995" s="24" t="n"/>
      <c r="Q995" s="24" t="n"/>
      <c r="R995" s="24" t="n"/>
    </row>
    <row r="996" ht="15" customHeight="1" s="21">
      <c r="A996" s="34" t="n"/>
      <c r="B996" s="35" t="n"/>
      <c r="C996" s="34" t="n"/>
      <c r="D996" s="31" t="n"/>
      <c r="E996" s="24" t="n"/>
      <c r="F996" s="24" t="n"/>
      <c r="G996" s="24" t="n"/>
      <c r="H996" s="24" t="n"/>
      <c r="I996" s="24" t="n"/>
      <c r="J996" s="34" t="n"/>
      <c r="K996" s="24" t="n"/>
      <c r="L996" s="24" t="n"/>
      <c r="M996" s="24" t="n"/>
      <c r="N996" s="24" t="n"/>
      <c r="O996" s="34" t="n"/>
      <c r="P996" s="24" t="n"/>
      <c r="Q996" s="24" t="n"/>
      <c r="R996" s="24" t="n"/>
    </row>
    <row r="997" ht="15" customHeight="1" s="21">
      <c r="A997" s="34" t="n"/>
      <c r="B997" s="35" t="n"/>
      <c r="C997" s="34" t="n"/>
      <c r="D997" s="31" t="n"/>
      <c r="E997" s="24" t="n"/>
      <c r="F997" s="24" t="n"/>
      <c r="G997" s="24" t="n"/>
      <c r="H997" s="24" t="n"/>
      <c r="I997" s="24" t="n"/>
      <c r="J997" s="34" t="n"/>
      <c r="K997" s="24" t="n"/>
      <c r="L997" s="24" t="n"/>
      <c r="M997" s="24" t="n"/>
      <c r="N997" s="24" t="n"/>
      <c r="O997" s="34" t="n"/>
      <c r="P997" s="24" t="n"/>
      <c r="Q997" s="24" t="n"/>
      <c r="R997" s="24" t="n"/>
    </row>
    <row r="998" ht="15" customHeight="1" s="21">
      <c r="A998" s="34" t="n"/>
      <c r="B998" s="35" t="n"/>
      <c r="C998" s="34" t="n"/>
      <c r="D998" s="31" t="n"/>
      <c r="E998" s="24" t="n"/>
      <c r="F998" s="24" t="n"/>
      <c r="G998" s="24" t="n"/>
      <c r="H998" s="24" t="n"/>
      <c r="I998" s="24" t="n"/>
      <c r="J998" s="34" t="n"/>
      <c r="K998" s="24" t="n"/>
      <c r="L998" s="24" t="n"/>
      <c r="M998" s="24" t="n"/>
      <c r="N998" s="24" t="n"/>
      <c r="O998" s="34" t="n"/>
      <c r="P998" s="24" t="n"/>
      <c r="Q998" s="24" t="n"/>
      <c r="R998" s="24" t="n"/>
    </row>
    <row r="999" ht="15" customHeight="1" s="21">
      <c r="A999" s="34" t="n"/>
      <c r="B999" s="35" t="n"/>
      <c r="C999" s="34" t="n"/>
      <c r="D999" s="31" t="n"/>
      <c r="E999" s="24" t="n"/>
      <c r="F999" s="24" t="n"/>
      <c r="G999" s="24" t="n"/>
      <c r="H999" s="24" t="n"/>
      <c r="I999" s="24" t="n"/>
      <c r="J999" s="34" t="n"/>
      <c r="K999" s="24" t="n"/>
      <c r="L999" s="24" t="n"/>
      <c r="M999" s="24" t="n"/>
      <c r="N999" s="24" t="n"/>
      <c r="O999" s="34" t="n"/>
      <c r="P999" s="24" t="n"/>
      <c r="Q999" s="24" t="n"/>
      <c r="R999" s="24" t="n"/>
    </row>
    <row r="1000" ht="15" customHeight="1" s="21">
      <c r="A1000" s="34" t="n"/>
      <c r="B1000" s="35" t="n"/>
      <c r="C1000" s="34" t="n"/>
      <c r="D1000" s="31" t="n"/>
      <c r="E1000" s="24" t="n"/>
      <c r="F1000" s="24" t="n"/>
      <c r="G1000" s="24" t="n"/>
      <c r="H1000" s="24" t="n"/>
      <c r="I1000" s="24" t="n"/>
      <c r="J1000" s="34" t="n"/>
      <c r="K1000" s="24" t="n"/>
      <c r="L1000" s="24" t="n"/>
      <c r="M1000" s="24" t="n"/>
      <c r="N1000" s="24" t="n"/>
      <c r="O1000" s="34" t="n"/>
      <c r="P1000" s="24" t="n"/>
      <c r="Q1000" s="24" t="n"/>
      <c r="R1000" s="24" t="n"/>
    </row>
  </sheetData>
  <autoFilter ref="A1:R1000"/>
  <conditionalFormatting sqref="E2:E1000">
    <cfRule type="expression" rank="0" priority="2" equalAverage="0" aboveAverage="0" dxfId="23" text="" percent="0" bottom="0">
      <formula>AND($E2&lt;&gt;"",$E2&lt;&gt;"Matched",$E2&lt;&gt;"Picked by hand")</formula>
    </cfRule>
  </conditionalFormatting>
  <dataValidations count="1">
    <dataValidation sqref="D2:D1000" showDropDown="0" showInputMessage="0" showErrorMessage="0" allowBlank="1" type="list" errorStyle="stop" operator="between">
      <formula1>'Campus Register'!$B$2:$B$600</formula1>
      <formula2>0</formula2>
    </dataValidation>
  </dataValidations>
  <printOptions horizontalCentered="0" verticalCentered="0" headings="0" gridLines="0" gridLinesSet="1"/>
  <pageMargins left="0.75" right="0.75" top="1" bottom="1" header="0.511811023622047" footer="0.511811023622047"/>
  <pageSetup orientation="landscape" paperSize="1" scale="100" fitToHeight="0" fitToWidth="1" pageOrder="downThenOver" blackAndWhite="0" draft="0" horizontalDpi="300" verticalDpi="300" copies="1"/>
  <legacyDrawing xmlns:r="http://schemas.openxmlformats.org/officeDocument/2006/relationships" r:id="anysvml"/>
</worksheet>
</file>

<file path=xl/worksheets/sheet5.xml><?xml version="1.0" encoding="utf-8"?>
<worksheet xmlns="http://schemas.openxmlformats.org/spreadsheetml/2006/main">
  <sheetPr filterMode="0">
    <outlinePr summaryBelow="1" summaryRight="1"/>
    <pageSetUpPr fitToPage="1"/>
  </sheetPr>
  <dimension ref="A1:H800"/>
  <sheetViews>
    <sheetView showFormulas="0" showGridLines="0"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8" customWidth="1" style="20" min="1" max="1"/>
    <col width="30" customWidth="1" style="20" min="2" max="2"/>
    <col width="26" customWidth="1" style="20" min="3" max="4"/>
    <col width="54" customWidth="1" style="20" min="5" max="5"/>
    <col width="44" customWidth="1" style="20" min="6" max="6"/>
    <col width="11" customWidth="1" style="20" min="7" max="7"/>
    <col width="64" customWidth="1" style="20" min="8" max="8"/>
  </cols>
  <sheetData>
    <row r="1" ht="30" customHeight="1" s="21">
      <c r="A1" s="28" t="inlineStr">
        <is>
          <t>Received</t>
        </is>
      </c>
      <c r="B1" s="28" t="inlineStr">
        <is>
          <t>Submitted By</t>
        </is>
      </c>
      <c r="C1" s="28" t="inlineStr">
        <is>
          <t>Campus</t>
        </is>
      </c>
      <c r="D1" s="28" t="inlineStr">
        <is>
          <t>Document Type</t>
        </is>
      </c>
      <c r="E1" s="28" t="inlineStr">
        <is>
          <t>File Name</t>
        </is>
      </c>
      <c r="F1" s="28" t="inlineStr">
        <is>
          <t>File Link</t>
        </is>
      </c>
      <c r="G1" s="28" t="inlineStr">
        <is>
          <t>School Year</t>
        </is>
      </c>
      <c r="H1" s="28" t="inlineStr">
        <is>
          <t>Notes</t>
        </is>
      </c>
    </row>
    <row r="2" ht="15" customHeight="1" s="21">
      <c r="A2" s="35" t="n"/>
      <c r="B2" s="24" t="n"/>
      <c r="C2" s="24" t="n"/>
      <c r="D2" s="24" t="n"/>
      <c r="E2" s="24" t="n"/>
      <c r="F2" s="24" t="n"/>
      <c r="G2" s="34" t="n"/>
      <c r="H2" s="24" t="n"/>
    </row>
    <row r="3" ht="15" customHeight="1" s="21">
      <c r="A3" s="35" t="n"/>
      <c r="B3" s="24" t="n"/>
      <c r="C3" s="24" t="n"/>
      <c r="D3" s="24" t="n"/>
      <c r="E3" s="24" t="n"/>
      <c r="F3" s="24" t="n"/>
      <c r="G3" s="34" t="n"/>
      <c r="H3" s="24" t="n"/>
    </row>
    <row r="4" ht="15" customHeight="1" s="21">
      <c r="A4" s="35" t="n"/>
      <c r="B4" s="24" t="n"/>
      <c r="C4" s="24" t="n"/>
      <c r="D4" s="24" t="n"/>
      <c r="E4" s="24" t="n"/>
      <c r="F4" s="24" t="n"/>
      <c r="G4" s="34" t="n"/>
      <c r="H4" s="24" t="n"/>
    </row>
    <row r="5" ht="15" customHeight="1" s="21">
      <c r="A5" s="35" t="n"/>
      <c r="B5" s="24" t="n"/>
      <c r="C5" s="24" t="n"/>
      <c r="D5" s="24" t="n"/>
      <c r="E5" s="24" t="n"/>
      <c r="F5" s="24" t="n"/>
      <c r="G5" s="34" t="n"/>
      <c r="H5" s="24" t="n"/>
    </row>
    <row r="6" ht="15" customHeight="1" s="21">
      <c r="A6" s="35" t="n"/>
      <c r="B6" s="24" t="n"/>
      <c r="C6" s="24" t="n"/>
      <c r="D6" s="24" t="n"/>
      <c r="E6" s="24" t="n"/>
      <c r="F6" s="24" t="n"/>
      <c r="G6" s="34" t="n"/>
      <c r="H6" s="24" t="n"/>
    </row>
    <row r="7" ht="15" customHeight="1" s="21">
      <c r="A7" s="35" t="n"/>
      <c r="B7" s="24" t="n"/>
      <c r="C7" s="24" t="n"/>
      <c r="D7" s="24" t="n"/>
      <c r="E7" s="24" t="n"/>
      <c r="F7" s="24" t="n"/>
      <c r="G7" s="34" t="n"/>
      <c r="H7" s="24" t="n"/>
    </row>
    <row r="8" ht="15" customHeight="1" s="21">
      <c r="A8" s="35" t="n"/>
      <c r="B8" s="24" t="n"/>
      <c r="C8" s="24" t="n"/>
      <c r="D8" s="24" t="n"/>
      <c r="E8" s="24" t="n"/>
      <c r="F8" s="24" t="n"/>
      <c r="G8" s="34" t="n"/>
      <c r="H8" s="24" t="n"/>
    </row>
    <row r="9" ht="15" customHeight="1" s="21">
      <c r="A9" s="35" t="n"/>
      <c r="B9" s="24" t="n"/>
      <c r="C9" s="24" t="n"/>
      <c r="D9" s="24" t="n"/>
      <c r="E9" s="24" t="n"/>
      <c r="F9" s="24" t="n"/>
      <c r="G9" s="34" t="n"/>
      <c r="H9" s="24" t="n"/>
    </row>
    <row r="10" ht="15" customHeight="1" s="21">
      <c r="A10" s="35" t="n"/>
      <c r="B10" s="24" t="n"/>
      <c r="C10" s="24" t="n"/>
      <c r="D10" s="24" t="n"/>
      <c r="E10" s="24" t="n"/>
      <c r="F10" s="24" t="n"/>
      <c r="G10" s="34" t="n"/>
      <c r="H10" s="24" t="n"/>
    </row>
    <row r="11" ht="15" customHeight="1" s="21">
      <c r="A11" s="35" t="n"/>
      <c r="B11" s="24" t="n"/>
      <c r="C11" s="24" t="n"/>
      <c r="D11" s="24" t="n"/>
      <c r="E11" s="24" t="n"/>
      <c r="F11" s="24" t="n"/>
      <c r="G11" s="34" t="n"/>
      <c r="H11" s="24" t="n"/>
    </row>
    <row r="12" ht="15" customHeight="1" s="21">
      <c r="A12" s="35" t="n"/>
      <c r="B12" s="24" t="n"/>
      <c r="C12" s="24" t="n"/>
      <c r="D12" s="24" t="n"/>
      <c r="E12" s="24" t="n"/>
      <c r="F12" s="24" t="n"/>
      <c r="G12" s="34" t="n"/>
      <c r="H12" s="24" t="n"/>
    </row>
    <row r="13" ht="15" customHeight="1" s="21">
      <c r="A13" s="35" t="n"/>
      <c r="B13" s="24" t="n"/>
      <c r="C13" s="24" t="n"/>
      <c r="D13" s="24" t="n"/>
      <c r="E13" s="24" t="n"/>
      <c r="F13" s="24" t="n"/>
      <c r="G13" s="34" t="n"/>
      <c r="H13" s="24" t="n"/>
    </row>
    <row r="14" ht="15" customHeight="1" s="21">
      <c r="A14" s="35" t="n"/>
      <c r="B14" s="24" t="n"/>
      <c r="C14" s="24" t="n"/>
      <c r="D14" s="24" t="n"/>
      <c r="E14" s="24" t="n"/>
      <c r="F14" s="24" t="n"/>
      <c r="G14" s="34" t="n"/>
      <c r="H14" s="24" t="n"/>
    </row>
    <row r="15" ht="15" customHeight="1" s="21">
      <c r="A15" s="35" t="n"/>
      <c r="B15" s="24" t="n"/>
      <c r="C15" s="24" t="n"/>
      <c r="D15" s="24" t="n"/>
      <c r="E15" s="24" t="n"/>
      <c r="F15" s="24" t="n"/>
      <c r="G15" s="34" t="n"/>
      <c r="H15" s="24" t="n"/>
    </row>
    <row r="16" ht="15" customHeight="1" s="21">
      <c r="A16" s="35" t="n"/>
      <c r="B16" s="24" t="n"/>
      <c r="C16" s="24" t="n"/>
      <c r="D16" s="24" t="n"/>
      <c r="E16" s="24" t="n"/>
      <c r="F16" s="24" t="n"/>
      <c r="G16" s="34" t="n"/>
      <c r="H16" s="24" t="n"/>
    </row>
    <row r="17" ht="15" customHeight="1" s="21">
      <c r="A17" s="35" t="n"/>
      <c r="B17" s="24" t="n"/>
      <c r="C17" s="24" t="n"/>
      <c r="D17" s="24" t="n"/>
      <c r="E17" s="24" t="n"/>
      <c r="F17" s="24" t="n"/>
      <c r="G17" s="34" t="n"/>
      <c r="H17" s="24" t="n"/>
    </row>
    <row r="18" ht="15" customHeight="1" s="21">
      <c r="A18" s="35" t="n"/>
      <c r="B18" s="24" t="n"/>
      <c r="C18" s="24" t="n"/>
      <c r="D18" s="24" t="n"/>
      <c r="E18" s="24" t="n"/>
      <c r="F18" s="24" t="n"/>
      <c r="G18" s="34" t="n"/>
      <c r="H18" s="24" t="n"/>
    </row>
    <row r="19" ht="15" customHeight="1" s="21">
      <c r="A19" s="35" t="n"/>
      <c r="B19" s="24" t="n"/>
      <c r="C19" s="24" t="n"/>
      <c r="D19" s="24" t="n"/>
      <c r="E19" s="24" t="n"/>
      <c r="F19" s="24" t="n"/>
      <c r="G19" s="34" t="n"/>
      <c r="H19" s="24" t="n"/>
    </row>
    <row r="20" ht="15" customHeight="1" s="21">
      <c r="A20" s="35" t="n"/>
      <c r="B20" s="24" t="n"/>
      <c r="C20" s="24" t="n"/>
      <c r="D20" s="24" t="n"/>
      <c r="E20" s="24" t="n"/>
      <c r="F20" s="24" t="n"/>
      <c r="G20" s="34" t="n"/>
      <c r="H20" s="24" t="n"/>
    </row>
    <row r="21" ht="15" customHeight="1" s="21">
      <c r="A21" s="35" t="n"/>
      <c r="B21" s="24" t="n"/>
      <c r="C21" s="24" t="n"/>
      <c r="D21" s="24" t="n"/>
      <c r="E21" s="24" t="n"/>
      <c r="F21" s="24" t="n"/>
      <c r="G21" s="34" t="n"/>
      <c r="H21" s="24" t="n"/>
    </row>
    <row r="22" ht="15" customHeight="1" s="21">
      <c r="A22" s="35" t="n"/>
      <c r="B22" s="24" t="n"/>
      <c r="C22" s="24" t="n"/>
      <c r="D22" s="24" t="n"/>
      <c r="E22" s="24" t="n"/>
      <c r="F22" s="24" t="n"/>
      <c r="G22" s="34" t="n"/>
      <c r="H22" s="24" t="n"/>
    </row>
    <row r="23" ht="15" customHeight="1" s="21">
      <c r="A23" s="35" t="n"/>
      <c r="B23" s="24" t="n"/>
      <c r="C23" s="24" t="n"/>
      <c r="D23" s="24" t="n"/>
      <c r="E23" s="24" t="n"/>
      <c r="F23" s="24" t="n"/>
      <c r="G23" s="34" t="n"/>
      <c r="H23" s="24" t="n"/>
    </row>
    <row r="24" ht="15" customHeight="1" s="21">
      <c r="A24" s="35" t="n"/>
      <c r="B24" s="24" t="n"/>
      <c r="C24" s="24" t="n"/>
      <c r="D24" s="24" t="n"/>
      <c r="E24" s="24" t="n"/>
      <c r="F24" s="24" t="n"/>
      <c r="G24" s="34" t="n"/>
      <c r="H24" s="24" t="n"/>
    </row>
    <row r="25" ht="15" customHeight="1" s="21">
      <c r="A25" s="35" t="n"/>
      <c r="B25" s="24" t="n"/>
      <c r="C25" s="24" t="n"/>
      <c r="D25" s="24" t="n"/>
      <c r="E25" s="24" t="n"/>
      <c r="F25" s="24" t="n"/>
      <c r="G25" s="34" t="n"/>
      <c r="H25" s="24" t="n"/>
    </row>
    <row r="26" ht="15" customHeight="1" s="21">
      <c r="A26" s="35" t="n"/>
      <c r="B26" s="24" t="n"/>
      <c r="C26" s="24" t="n"/>
      <c r="D26" s="24" t="n"/>
      <c r="E26" s="24" t="n"/>
      <c r="F26" s="24" t="n"/>
      <c r="G26" s="34" t="n"/>
      <c r="H26" s="24" t="n"/>
    </row>
    <row r="27" ht="15" customHeight="1" s="21">
      <c r="A27" s="35" t="n"/>
      <c r="B27" s="24" t="n"/>
      <c r="C27" s="24" t="n"/>
      <c r="D27" s="24" t="n"/>
      <c r="E27" s="24" t="n"/>
      <c r="F27" s="24" t="n"/>
      <c r="G27" s="34" t="n"/>
      <c r="H27" s="24" t="n"/>
    </row>
    <row r="28" ht="15" customHeight="1" s="21">
      <c r="A28" s="35" t="n"/>
      <c r="B28" s="24" t="n"/>
      <c r="C28" s="24" t="n"/>
      <c r="D28" s="24" t="n"/>
      <c r="E28" s="24" t="n"/>
      <c r="F28" s="24" t="n"/>
      <c r="G28" s="34" t="n"/>
      <c r="H28" s="24" t="n"/>
    </row>
    <row r="29" ht="15" customHeight="1" s="21">
      <c r="A29" s="35" t="n"/>
      <c r="B29" s="24" t="n"/>
      <c r="C29" s="24" t="n"/>
      <c r="D29" s="24" t="n"/>
      <c r="E29" s="24" t="n"/>
      <c r="F29" s="24" t="n"/>
      <c r="G29" s="34" t="n"/>
      <c r="H29" s="24" t="n"/>
    </row>
    <row r="30" ht="15" customHeight="1" s="21">
      <c r="A30" s="35" t="n"/>
      <c r="B30" s="24" t="n"/>
      <c r="C30" s="24" t="n"/>
      <c r="D30" s="24" t="n"/>
      <c r="E30" s="24" t="n"/>
      <c r="F30" s="24" t="n"/>
      <c r="G30" s="34" t="n"/>
      <c r="H30" s="24" t="n"/>
    </row>
    <row r="31" ht="15" customHeight="1" s="21">
      <c r="A31" s="35" t="n"/>
      <c r="B31" s="24" t="n"/>
      <c r="C31" s="24" t="n"/>
      <c r="D31" s="24" t="n"/>
      <c r="E31" s="24" t="n"/>
      <c r="F31" s="24" t="n"/>
      <c r="G31" s="34" t="n"/>
      <c r="H31" s="24" t="n"/>
    </row>
    <row r="32" ht="15" customHeight="1" s="21">
      <c r="A32" s="35" t="n"/>
      <c r="B32" s="24" t="n"/>
      <c r="C32" s="24" t="n"/>
      <c r="D32" s="24" t="n"/>
      <c r="E32" s="24" t="n"/>
      <c r="F32" s="24" t="n"/>
      <c r="G32" s="34" t="n"/>
      <c r="H32" s="24" t="n"/>
    </row>
    <row r="33" ht="15" customHeight="1" s="21">
      <c r="A33" s="35" t="n"/>
      <c r="B33" s="24" t="n"/>
      <c r="C33" s="24" t="n"/>
      <c r="D33" s="24" t="n"/>
      <c r="E33" s="24" t="n"/>
      <c r="F33" s="24" t="n"/>
      <c r="G33" s="34" t="n"/>
      <c r="H33" s="24" t="n"/>
    </row>
    <row r="34" ht="15" customHeight="1" s="21">
      <c r="A34" s="35" t="n"/>
      <c r="B34" s="24" t="n"/>
      <c r="C34" s="24" t="n"/>
      <c r="D34" s="24" t="n"/>
      <c r="E34" s="24" t="n"/>
      <c r="F34" s="24" t="n"/>
      <c r="G34" s="34" t="n"/>
      <c r="H34" s="24" t="n"/>
    </row>
    <row r="35" ht="15" customHeight="1" s="21">
      <c r="A35" s="35" t="n"/>
      <c r="B35" s="24" t="n"/>
      <c r="C35" s="24" t="n"/>
      <c r="D35" s="24" t="n"/>
      <c r="E35" s="24" t="n"/>
      <c r="F35" s="24" t="n"/>
      <c r="G35" s="34" t="n"/>
      <c r="H35" s="24" t="n"/>
    </row>
    <row r="36" ht="15" customHeight="1" s="21">
      <c r="A36" s="35" t="n"/>
      <c r="B36" s="24" t="n"/>
      <c r="C36" s="24" t="n"/>
      <c r="D36" s="24" t="n"/>
      <c r="E36" s="24" t="n"/>
      <c r="F36" s="24" t="n"/>
      <c r="G36" s="34" t="n"/>
      <c r="H36" s="24" t="n"/>
    </row>
    <row r="37" ht="15" customHeight="1" s="21">
      <c r="A37" s="35" t="n"/>
      <c r="B37" s="24" t="n"/>
      <c r="C37" s="24" t="n"/>
      <c r="D37" s="24" t="n"/>
      <c r="E37" s="24" t="n"/>
      <c r="F37" s="24" t="n"/>
      <c r="G37" s="34" t="n"/>
      <c r="H37" s="24" t="n"/>
    </row>
    <row r="38" ht="15" customHeight="1" s="21">
      <c r="A38" s="35" t="n"/>
      <c r="B38" s="24" t="n"/>
      <c r="C38" s="24" t="n"/>
      <c r="D38" s="24" t="n"/>
      <c r="E38" s="24" t="n"/>
      <c r="F38" s="24" t="n"/>
      <c r="G38" s="34" t="n"/>
      <c r="H38" s="24" t="n"/>
    </row>
    <row r="39" ht="15" customHeight="1" s="21">
      <c r="A39" s="35" t="n"/>
      <c r="B39" s="24" t="n"/>
      <c r="C39" s="24" t="n"/>
      <c r="D39" s="24" t="n"/>
      <c r="E39" s="24" t="n"/>
      <c r="F39" s="24" t="n"/>
      <c r="G39" s="34" t="n"/>
      <c r="H39" s="24" t="n"/>
    </row>
    <row r="40" ht="15" customHeight="1" s="21">
      <c r="A40" s="35" t="n"/>
      <c r="B40" s="24" t="n"/>
      <c r="C40" s="24" t="n"/>
      <c r="D40" s="24" t="n"/>
      <c r="E40" s="24" t="n"/>
      <c r="F40" s="24" t="n"/>
      <c r="G40" s="34" t="n"/>
      <c r="H40" s="24" t="n"/>
    </row>
    <row r="41" ht="15" customHeight="1" s="21">
      <c r="A41" s="35" t="n"/>
      <c r="B41" s="24" t="n"/>
      <c r="C41" s="24" t="n"/>
      <c r="D41" s="24" t="n"/>
      <c r="E41" s="24" t="n"/>
      <c r="F41" s="24" t="n"/>
      <c r="G41" s="34" t="n"/>
      <c r="H41" s="24" t="n"/>
    </row>
    <row r="42" ht="15" customHeight="1" s="21">
      <c r="A42" s="35" t="n"/>
      <c r="B42" s="24" t="n"/>
      <c r="C42" s="24" t="n"/>
      <c r="D42" s="24" t="n"/>
      <c r="E42" s="24" t="n"/>
      <c r="F42" s="24" t="n"/>
      <c r="G42" s="34" t="n"/>
      <c r="H42" s="24" t="n"/>
    </row>
    <row r="43" ht="15" customHeight="1" s="21">
      <c r="A43" s="35" t="n"/>
      <c r="B43" s="24" t="n"/>
      <c r="C43" s="24" t="n"/>
      <c r="D43" s="24" t="n"/>
      <c r="E43" s="24" t="n"/>
      <c r="F43" s="24" t="n"/>
      <c r="G43" s="34" t="n"/>
      <c r="H43" s="24" t="n"/>
    </row>
    <row r="44" ht="15" customHeight="1" s="21">
      <c r="A44" s="35" t="n"/>
      <c r="B44" s="24" t="n"/>
      <c r="C44" s="24" t="n"/>
      <c r="D44" s="24" t="n"/>
      <c r="E44" s="24" t="n"/>
      <c r="F44" s="24" t="n"/>
      <c r="G44" s="34" t="n"/>
      <c r="H44" s="24" t="n"/>
    </row>
    <row r="45" ht="15" customHeight="1" s="21">
      <c r="A45" s="35" t="n"/>
      <c r="B45" s="24" t="n"/>
      <c r="C45" s="24" t="n"/>
      <c r="D45" s="24" t="n"/>
      <c r="E45" s="24" t="n"/>
      <c r="F45" s="24" t="n"/>
      <c r="G45" s="34" t="n"/>
      <c r="H45" s="24" t="n"/>
    </row>
    <row r="46" ht="15" customHeight="1" s="21">
      <c r="A46" s="35" t="n"/>
      <c r="B46" s="24" t="n"/>
      <c r="C46" s="24" t="n"/>
      <c r="D46" s="24" t="n"/>
      <c r="E46" s="24" t="n"/>
      <c r="F46" s="24" t="n"/>
      <c r="G46" s="34" t="n"/>
      <c r="H46" s="24" t="n"/>
    </row>
    <row r="47" ht="15" customHeight="1" s="21">
      <c r="A47" s="35" t="n"/>
      <c r="B47" s="24" t="n"/>
      <c r="C47" s="24" t="n"/>
      <c r="D47" s="24" t="n"/>
      <c r="E47" s="24" t="n"/>
      <c r="F47" s="24" t="n"/>
      <c r="G47" s="34" t="n"/>
      <c r="H47" s="24" t="n"/>
    </row>
    <row r="48" ht="15" customHeight="1" s="21">
      <c r="A48" s="35" t="n"/>
      <c r="B48" s="24" t="n"/>
      <c r="C48" s="24" t="n"/>
      <c r="D48" s="24" t="n"/>
      <c r="E48" s="24" t="n"/>
      <c r="F48" s="24" t="n"/>
      <c r="G48" s="34" t="n"/>
      <c r="H48" s="24" t="n"/>
    </row>
    <row r="49" ht="15" customHeight="1" s="21">
      <c r="A49" s="35" t="n"/>
      <c r="B49" s="24" t="n"/>
      <c r="C49" s="24" t="n"/>
      <c r="D49" s="24" t="n"/>
      <c r="E49" s="24" t="n"/>
      <c r="F49" s="24" t="n"/>
      <c r="G49" s="34" t="n"/>
      <c r="H49" s="24" t="n"/>
    </row>
    <row r="50" ht="15" customHeight="1" s="21">
      <c r="A50" s="35" t="n"/>
      <c r="B50" s="24" t="n"/>
      <c r="C50" s="24" t="n"/>
      <c r="D50" s="24" t="n"/>
      <c r="E50" s="24" t="n"/>
      <c r="F50" s="24" t="n"/>
      <c r="G50" s="34" t="n"/>
      <c r="H50" s="24" t="n"/>
    </row>
    <row r="51" ht="15" customHeight="1" s="21">
      <c r="A51" s="35" t="n"/>
      <c r="B51" s="24" t="n"/>
      <c r="C51" s="24" t="n"/>
      <c r="D51" s="24" t="n"/>
      <c r="E51" s="24" t="n"/>
      <c r="F51" s="24" t="n"/>
      <c r="G51" s="34" t="n"/>
      <c r="H51" s="24" t="n"/>
    </row>
    <row r="52" ht="15" customHeight="1" s="21">
      <c r="A52" s="35" t="n"/>
      <c r="B52" s="24" t="n"/>
      <c r="C52" s="24" t="n"/>
      <c r="D52" s="24" t="n"/>
      <c r="E52" s="24" t="n"/>
      <c r="F52" s="24" t="n"/>
      <c r="G52" s="34" t="n"/>
      <c r="H52" s="24" t="n"/>
    </row>
    <row r="53" ht="15" customHeight="1" s="21">
      <c r="A53" s="35" t="n"/>
      <c r="B53" s="24" t="n"/>
      <c r="C53" s="24" t="n"/>
      <c r="D53" s="24" t="n"/>
      <c r="E53" s="24" t="n"/>
      <c r="F53" s="24" t="n"/>
      <c r="G53" s="34" t="n"/>
      <c r="H53" s="24" t="n"/>
    </row>
    <row r="54" ht="15" customHeight="1" s="21">
      <c r="A54" s="35" t="n"/>
      <c r="B54" s="24" t="n"/>
      <c r="C54" s="24" t="n"/>
      <c r="D54" s="24" t="n"/>
      <c r="E54" s="24" t="n"/>
      <c r="F54" s="24" t="n"/>
      <c r="G54" s="34" t="n"/>
      <c r="H54" s="24" t="n"/>
    </row>
    <row r="55" ht="15" customHeight="1" s="21">
      <c r="A55" s="35" t="n"/>
      <c r="B55" s="24" t="n"/>
      <c r="C55" s="24" t="n"/>
      <c r="D55" s="24" t="n"/>
      <c r="E55" s="24" t="n"/>
      <c r="F55" s="24" t="n"/>
      <c r="G55" s="34" t="n"/>
      <c r="H55" s="24" t="n"/>
    </row>
    <row r="56" ht="15" customHeight="1" s="21">
      <c r="A56" s="35" t="n"/>
      <c r="B56" s="24" t="n"/>
      <c r="C56" s="24" t="n"/>
      <c r="D56" s="24" t="n"/>
      <c r="E56" s="24" t="n"/>
      <c r="F56" s="24" t="n"/>
      <c r="G56" s="34" t="n"/>
      <c r="H56" s="24" t="n"/>
    </row>
    <row r="57" ht="15" customHeight="1" s="21">
      <c r="A57" s="35" t="n"/>
      <c r="B57" s="24" t="n"/>
      <c r="C57" s="24" t="n"/>
      <c r="D57" s="24" t="n"/>
      <c r="E57" s="24" t="n"/>
      <c r="F57" s="24" t="n"/>
      <c r="G57" s="34" t="n"/>
      <c r="H57" s="24" t="n"/>
    </row>
    <row r="58" ht="15" customHeight="1" s="21">
      <c r="A58" s="35" t="n"/>
      <c r="B58" s="24" t="n"/>
      <c r="C58" s="24" t="n"/>
      <c r="D58" s="24" t="n"/>
      <c r="E58" s="24" t="n"/>
      <c r="F58" s="24" t="n"/>
      <c r="G58" s="34" t="n"/>
      <c r="H58" s="24" t="n"/>
    </row>
    <row r="59" ht="15" customHeight="1" s="21">
      <c r="A59" s="35" t="n"/>
      <c r="B59" s="24" t="n"/>
      <c r="C59" s="24" t="n"/>
      <c r="D59" s="24" t="n"/>
      <c r="E59" s="24" t="n"/>
      <c r="F59" s="24" t="n"/>
      <c r="G59" s="34" t="n"/>
      <c r="H59" s="24" t="n"/>
    </row>
    <row r="60" ht="15" customHeight="1" s="21">
      <c r="A60" s="35" t="n"/>
      <c r="B60" s="24" t="n"/>
      <c r="C60" s="24" t="n"/>
      <c r="D60" s="24" t="n"/>
      <c r="E60" s="24" t="n"/>
      <c r="F60" s="24" t="n"/>
      <c r="G60" s="34" t="n"/>
      <c r="H60" s="24" t="n"/>
    </row>
    <row r="61" ht="15" customHeight="1" s="21">
      <c r="A61" s="35" t="n"/>
      <c r="B61" s="24" t="n"/>
      <c r="C61" s="24" t="n"/>
      <c r="D61" s="24" t="n"/>
      <c r="E61" s="24" t="n"/>
      <c r="F61" s="24" t="n"/>
      <c r="G61" s="34" t="n"/>
      <c r="H61" s="24" t="n"/>
    </row>
    <row r="62" ht="15" customHeight="1" s="21">
      <c r="A62" s="35" t="n"/>
      <c r="B62" s="24" t="n"/>
      <c r="C62" s="24" t="n"/>
      <c r="D62" s="24" t="n"/>
      <c r="E62" s="24" t="n"/>
      <c r="F62" s="24" t="n"/>
      <c r="G62" s="34" t="n"/>
      <c r="H62" s="24" t="n"/>
    </row>
    <row r="63" ht="15" customHeight="1" s="21">
      <c r="A63" s="35" t="n"/>
      <c r="B63" s="24" t="n"/>
      <c r="C63" s="24" t="n"/>
      <c r="D63" s="24" t="n"/>
      <c r="E63" s="24" t="n"/>
      <c r="F63" s="24" t="n"/>
      <c r="G63" s="34" t="n"/>
      <c r="H63" s="24" t="n"/>
    </row>
    <row r="64" ht="15" customHeight="1" s="21">
      <c r="A64" s="35" t="n"/>
      <c r="B64" s="24" t="n"/>
      <c r="C64" s="24" t="n"/>
      <c r="D64" s="24" t="n"/>
      <c r="E64" s="24" t="n"/>
      <c r="F64" s="24" t="n"/>
      <c r="G64" s="34" t="n"/>
      <c r="H64" s="24" t="n"/>
    </row>
    <row r="65" ht="15" customHeight="1" s="21">
      <c r="A65" s="35" t="n"/>
      <c r="B65" s="24" t="n"/>
      <c r="C65" s="24" t="n"/>
      <c r="D65" s="24" t="n"/>
      <c r="E65" s="24" t="n"/>
      <c r="F65" s="24" t="n"/>
      <c r="G65" s="34" t="n"/>
      <c r="H65" s="24" t="n"/>
    </row>
    <row r="66" ht="15" customHeight="1" s="21">
      <c r="A66" s="35" t="n"/>
      <c r="B66" s="24" t="n"/>
      <c r="C66" s="24" t="n"/>
      <c r="D66" s="24" t="n"/>
      <c r="E66" s="24" t="n"/>
      <c r="F66" s="24" t="n"/>
      <c r="G66" s="34" t="n"/>
      <c r="H66" s="24" t="n"/>
    </row>
    <row r="67" ht="15" customHeight="1" s="21">
      <c r="A67" s="35" t="n"/>
      <c r="B67" s="24" t="n"/>
      <c r="C67" s="24" t="n"/>
      <c r="D67" s="24" t="n"/>
      <c r="E67" s="24" t="n"/>
      <c r="F67" s="24" t="n"/>
      <c r="G67" s="34" t="n"/>
      <c r="H67" s="24" t="n"/>
    </row>
    <row r="68" ht="15" customHeight="1" s="21">
      <c r="A68" s="35" t="n"/>
      <c r="B68" s="24" t="n"/>
      <c r="C68" s="24" t="n"/>
      <c r="D68" s="24" t="n"/>
      <c r="E68" s="24" t="n"/>
      <c r="F68" s="24" t="n"/>
      <c r="G68" s="34" t="n"/>
      <c r="H68" s="24" t="n"/>
    </row>
    <row r="69" ht="15" customHeight="1" s="21">
      <c r="A69" s="35" t="n"/>
      <c r="B69" s="24" t="n"/>
      <c r="C69" s="24" t="n"/>
      <c r="D69" s="24" t="n"/>
      <c r="E69" s="24" t="n"/>
      <c r="F69" s="24" t="n"/>
      <c r="G69" s="34" t="n"/>
      <c r="H69" s="24" t="n"/>
    </row>
    <row r="70" ht="15" customHeight="1" s="21">
      <c r="A70" s="35" t="n"/>
      <c r="B70" s="24" t="n"/>
      <c r="C70" s="24" t="n"/>
      <c r="D70" s="24" t="n"/>
      <c r="E70" s="24" t="n"/>
      <c r="F70" s="24" t="n"/>
      <c r="G70" s="34" t="n"/>
      <c r="H70" s="24" t="n"/>
    </row>
    <row r="71" ht="15" customHeight="1" s="21">
      <c r="A71" s="35" t="n"/>
      <c r="B71" s="24" t="n"/>
      <c r="C71" s="24" t="n"/>
      <c r="D71" s="24" t="n"/>
      <c r="E71" s="24" t="n"/>
      <c r="F71" s="24" t="n"/>
      <c r="G71" s="34" t="n"/>
      <c r="H71" s="24" t="n"/>
    </row>
    <row r="72" ht="15" customHeight="1" s="21">
      <c r="A72" s="35" t="n"/>
      <c r="B72" s="24" t="n"/>
      <c r="C72" s="24" t="n"/>
      <c r="D72" s="24" t="n"/>
      <c r="E72" s="24" t="n"/>
      <c r="F72" s="24" t="n"/>
      <c r="G72" s="34" t="n"/>
      <c r="H72" s="24" t="n"/>
    </row>
    <row r="73" ht="15" customHeight="1" s="21">
      <c r="A73" s="35" t="n"/>
      <c r="B73" s="24" t="n"/>
      <c r="C73" s="24" t="n"/>
      <c r="D73" s="24" t="n"/>
      <c r="E73" s="24" t="n"/>
      <c r="F73" s="24" t="n"/>
      <c r="G73" s="34" t="n"/>
      <c r="H73" s="24" t="n"/>
    </row>
    <row r="74" ht="15" customHeight="1" s="21">
      <c r="A74" s="35" t="n"/>
      <c r="B74" s="24" t="n"/>
      <c r="C74" s="24" t="n"/>
      <c r="D74" s="24" t="n"/>
      <c r="E74" s="24" t="n"/>
      <c r="F74" s="24" t="n"/>
      <c r="G74" s="34" t="n"/>
      <c r="H74" s="24" t="n"/>
    </row>
    <row r="75" ht="15" customHeight="1" s="21">
      <c r="A75" s="35" t="n"/>
      <c r="B75" s="24" t="n"/>
      <c r="C75" s="24" t="n"/>
      <c r="D75" s="24" t="n"/>
      <c r="E75" s="24" t="n"/>
      <c r="F75" s="24" t="n"/>
      <c r="G75" s="34" t="n"/>
      <c r="H75" s="24" t="n"/>
    </row>
    <row r="76" ht="15" customHeight="1" s="21">
      <c r="A76" s="35" t="n"/>
      <c r="B76" s="24" t="n"/>
      <c r="C76" s="24" t="n"/>
      <c r="D76" s="24" t="n"/>
      <c r="E76" s="24" t="n"/>
      <c r="F76" s="24" t="n"/>
      <c r="G76" s="34" t="n"/>
      <c r="H76" s="24" t="n"/>
    </row>
    <row r="77" ht="15" customHeight="1" s="21">
      <c r="A77" s="35" t="n"/>
      <c r="B77" s="24" t="n"/>
      <c r="C77" s="24" t="n"/>
      <c r="D77" s="24" t="n"/>
      <c r="E77" s="24" t="n"/>
      <c r="F77" s="24" t="n"/>
      <c r="G77" s="34" t="n"/>
      <c r="H77" s="24" t="n"/>
    </row>
    <row r="78" ht="15" customHeight="1" s="21">
      <c r="A78" s="35" t="n"/>
      <c r="B78" s="24" t="n"/>
      <c r="C78" s="24" t="n"/>
      <c r="D78" s="24" t="n"/>
      <c r="E78" s="24" t="n"/>
      <c r="F78" s="24" t="n"/>
      <c r="G78" s="34" t="n"/>
      <c r="H78" s="24" t="n"/>
    </row>
    <row r="79" ht="15" customHeight="1" s="21">
      <c r="A79" s="35" t="n"/>
      <c r="B79" s="24" t="n"/>
      <c r="C79" s="24" t="n"/>
      <c r="D79" s="24" t="n"/>
      <c r="E79" s="24" t="n"/>
      <c r="F79" s="24" t="n"/>
      <c r="G79" s="34" t="n"/>
      <c r="H79" s="24" t="n"/>
    </row>
    <row r="80" ht="15" customHeight="1" s="21">
      <c r="A80" s="35" t="n"/>
      <c r="B80" s="24" t="n"/>
      <c r="C80" s="24" t="n"/>
      <c r="D80" s="24" t="n"/>
      <c r="E80" s="24" t="n"/>
      <c r="F80" s="24" t="n"/>
      <c r="G80" s="34" t="n"/>
      <c r="H80" s="24" t="n"/>
    </row>
    <row r="81" ht="15" customHeight="1" s="21">
      <c r="A81" s="35" t="n"/>
      <c r="B81" s="24" t="n"/>
      <c r="C81" s="24" t="n"/>
      <c r="D81" s="24" t="n"/>
      <c r="E81" s="24" t="n"/>
      <c r="F81" s="24" t="n"/>
      <c r="G81" s="34" t="n"/>
      <c r="H81" s="24" t="n"/>
    </row>
    <row r="82" ht="15" customHeight="1" s="21">
      <c r="A82" s="35" t="n"/>
      <c r="B82" s="24" t="n"/>
      <c r="C82" s="24" t="n"/>
      <c r="D82" s="24" t="n"/>
      <c r="E82" s="24" t="n"/>
      <c r="F82" s="24" t="n"/>
      <c r="G82" s="34" t="n"/>
      <c r="H82" s="24" t="n"/>
    </row>
    <row r="83" ht="15" customHeight="1" s="21">
      <c r="A83" s="35" t="n"/>
      <c r="B83" s="24" t="n"/>
      <c r="C83" s="24" t="n"/>
      <c r="D83" s="24" t="n"/>
      <c r="E83" s="24" t="n"/>
      <c r="F83" s="24" t="n"/>
      <c r="G83" s="34" t="n"/>
      <c r="H83" s="24" t="n"/>
    </row>
    <row r="84" ht="15" customHeight="1" s="21">
      <c r="A84" s="35" t="n"/>
      <c r="B84" s="24" t="n"/>
      <c r="C84" s="24" t="n"/>
      <c r="D84" s="24" t="n"/>
      <c r="E84" s="24" t="n"/>
      <c r="F84" s="24" t="n"/>
      <c r="G84" s="34" t="n"/>
      <c r="H84" s="24" t="n"/>
    </row>
    <row r="85" ht="15" customHeight="1" s="21">
      <c r="A85" s="35" t="n"/>
      <c r="B85" s="24" t="n"/>
      <c r="C85" s="24" t="n"/>
      <c r="D85" s="24" t="n"/>
      <c r="E85" s="24" t="n"/>
      <c r="F85" s="24" t="n"/>
      <c r="G85" s="34" t="n"/>
      <c r="H85" s="24" t="n"/>
    </row>
    <row r="86" ht="15" customHeight="1" s="21">
      <c r="A86" s="35" t="n"/>
      <c r="B86" s="24" t="n"/>
      <c r="C86" s="24" t="n"/>
      <c r="D86" s="24" t="n"/>
      <c r="E86" s="24" t="n"/>
      <c r="F86" s="24" t="n"/>
      <c r="G86" s="34" t="n"/>
      <c r="H86" s="24" t="n"/>
    </row>
    <row r="87" ht="15" customHeight="1" s="21">
      <c r="A87" s="35" t="n"/>
      <c r="B87" s="24" t="n"/>
      <c r="C87" s="24" t="n"/>
      <c r="D87" s="24" t="n"/>
      <c r="E87" s="24" t="n"/>
      <c r="F87" s="24" t="n"/>
      <c r="G87" s="34" t="n"/>
      <c r="H87" s="24" t="n"/>
    </row>
    <row r="88" ht="15" customHeight="1" s="21">
      <c r="A88" s="35" t="n"/>
      <c r="B88" s="24" t="n"/>
      <c r="C88" s="24" t="n"/>
      <c r="D88" s="24" t="n"/>
      <c r="E88" s="24" t="n"/>
      <c r="F88" s="24" t="n"/>
      <c r="G88" s="34" t="n"/>
      <c r="H88" s="24" t="n"/>
    </row>
    <row r="89" ht="15" customHeight="1" s="21">
      <c r="A89" s="35" t="n"/>
      <c r="B89" s="24" t="n"/>
      <c r="C89" s="24" t="n"/>
      <c r="D89" s="24" t="n"/>
      <c r="E89" s="24" t="n"/>
      <c r="F89" s="24" t="n"/>
      <c r="G89" s="34" t="n"/>
      <c r="H89" s="24" t="n"/>
    </row>
    <row r="90" ht="15" customHeight="1" s="21">
      <c r="A90" s="35" t="n"/>
      <c r="B90" s="24" t="n"/>
      <c r="C90" s="24" t="n"/>
      <c r="D90" s="24" t="n"/>
      <c r="E90" s="24" t="n"/>
      <c r="F90" s="24" t="n"/>
      <c r="G90" s="34" t="n"/>
      <c r="H90" s="24" t="n"/>
    </row>
    <row r="91" ht="15" customHeight="1" s="21">
      <c r="A91" s="35" t="n"/>
      <c r="B91" s="24" t="n"/>
      <c r="C91" s="24" t="n"/>
      <c r="D91" s="24" t="n"/>
      <c r="E91" s="24" t="n"/>
      <c r="F91" s="24" t="n"/>
      <c r="G91" s="34" t="n"/>
      <c r="H91" s="24" t="n"/>
    </row>
    <row r="92" ht="15" customHeight="1" s="21">
      <c r="A92" s="35" t="n"/>
      <c r="B92" s="24" t="n"/>
      <c r="C92" s="24" t="n"/>
      <c r="D92" s="24" t="n"/>
      <c r="E92" s="24" t="n"/>
      <c r="F92" s="24" t="n"/>
      <c r="G92" s="34" t="n"/>
      <c r="H92" s="24" t="n"/>
    </row>
    <row r="93" ht="15" customHeight="1" s="21">
      <c r="A93" s="35" t="n"/>
      <c r="B93" s="24" t="n"/>
      <c r="C93" s="24" t="n"/>
      <c r="D93" s="24" t="n"/>
      <c r="E93" s="24" t="n"/>
      <c r="F93" s="24" t="n"/>
      <c r="G93" s="34" t="n"/>
      <c r="H93" s="24" t="n"/>
    </row>
    <row r="94" ht="15" customHeight="1" s="21">
      <c r="A94" s="35" t="n"/>
      <c r="B94" s="24" t="n"/>
      <c r="C94" s="24" t="n"/>
      <c r="D94" s="24" t="n"/>
      <c r="E94" s="24" t="n"/>
      <c r="F94" s="24" t="n"/>
      <c r="G94" s="34" t="n"/>
      <c r="H94" s="24" t="n"/>
    </row>
    <row r="95" ht="15" customHeight="1" s="21">
      <c r="A95" s="35" t="n"/>
      <c r="B95" s="24" t="n"/>
      <c r="C95" s="24" t="n"/>
      <c r="D95" s="24" t="n"/>
      <c r="E95" s="24" t="n"/>
      <c r="F95" s="24" t="n"/>
      <c r="G95" s="34" t="n"/>
      <c r="H95" s="24" t="n"/>
    </row>
    <row r="96" ht="15" customHeight="1" s="21">
      <c r="A96" s="35" t="n"/>
      <c r="B96" s="24" t="n"/>
      <c r="C96" s="24" t="n"/>
      <c r="D96" s="24" t="n"/>
      <c r="E96" s="24" t="n"/>
      <c r="F96" s="24" t="n"/>
      <c r="G96" s="34" t="n"/>
      <c r="H96" s="24" t="n"/>
    </row>
    <row r="97" ht="15" customHeight="1" s="21">
      <c r="A97" s="35" t="n"/>
      <c r="B97" s="24" t="n"/>
      <c r="C97" s="24" t="n"/>
      <c r="D97" s="24" t="n"/>
      <c r="E97" s="24" t="n"/>
      <c r="F97" s="24" t="n"/>
      <c r="G97" s="34" t="n"/>
      <c r="H97" s="24" t="n"/>
    </row>
    <row r="98" ht="15" customHeight="1" s="21">
      <c r="A98" s="35" t="n"/>
      <c r="B98" s="24" t="n"/>
      <c r="C98" s="24" t="n"/>
      <c r="D98" s="24" t="n"/>
      <c r="E98" s="24" t="n"/>
      <c r="F98" s="24" t="n"/>
      <c r="G98" s="34" t="n"/>
      <c r="H98" s="24" t="n"/>
    </row>
    <row r="99" ht="15" customHeight="1" s="21">
      <c r="A99" s="35" t="n"/>
      <c r="B99" s="24" t="n"/>
      <c r="C99" s="24" t="n"/>
      <c r="D99" s="24" t="n"/>
      <c r="E99" s="24" t="n"/>
      <c r="F99" s="24" t="n"/>
      <c r="G99" s="34" t="n"/>
      <c r="H99" s="24" t="n"/>
    </row>
    <row r="100" ht="15" customHeight="1" s="21">
      <c r="A100" s="35" t="n"/>
      <c r="B100" s="24" t="n"/>
      <c r="C100" s="24" t="n"/>
      <c r="D100" s="24" t="n"/>
      <c r="E100" s="24" t="n"/>
      <c r="F100" s="24" t="n"/>
      <c r="G100" s="34" t="n"/>
      <c r="H100" s="24" t="n"/>
    </row>
    <row r="101" ht="15" customHeight="1" s="21">
      <c r="A101" s="35" t="n"/>
      <c r="B101" s="24" t="n"/>
      <c r="C101" s="24" t="n"/>
      <c r="D101" s="24" t="n"/>
      <c r="E101" s="24" t="n"/>
      <c r="F101" s="24" t="n"/>
      <c r="G101" s="34" t="n"/>
      <c r="H101" s="24" t="n"/>
    </row>
    <row r="102" ht="15" customHeight="1" s="21">
      <c r="A102" s="35" t="n"/>
      <c r="B102" s="24" t="n"/>
      <c r="C102" s="24" t="n"/>
      <c r="D102" s="24" t="n"/>
      <c r="E102" s="24" t="n"/>
      <c r="F102" s="24" t="n"/>
      <c r="G102" s="34" t="n"/>
      <c r="H102" s="24" t="n"/>
    </row>
    <row r="103" ht="15" customHeight="1" s="21">
      <c r="A103" s="35" t="n"/>
      <c r="B103" s="24" t="n"/>
      <c r="C103" s="24" t="n"/>
      <c r="D103" s="24" t="n"/>
      <c r="E103" s="24" t="n"/>
      <c r="F103" s="24" t="n"/>
      <c r="G103" s="34" t="n"/>
      <c r="H103" s="24" t="n"/>
    </row>
    <row r="104" ht="15" customHeight="1" s="21">
      <c r="A104" s="35" t="n"/>
      <c r="B104" s="24" t="n"/>
      <c r="C104" s="24" t="n"/>
      <c r="D104" s="24" t="n"/>
      <c r="E104" s="24" t="n"/>
      <c r="F104" s="24" t="n"/>
      <c r="G104" s="34" t="n"/>
      <c r="H104" s="24" t="n"/>
    </row>
    <row r="105" ht="15" customHeight="1" s="21">
      <c r="A105" s="35" t="n"/>
      <c r="B105" s="24" t="n"/>
      <c r="C105" s="24" t="n"/>
      <c r="D105" s="24" t="n"/>
      <c r="E105" s="24" t="n"/>
      <c r="F105" s="24" t="n"/>
      <c r="G105" s="34" t="n"/>
      <c r="H105" s="24" t="n"/>
    </row>
    <row r="106" ht="15" customHeight="1" s="21">
      <c r="A106" s="35" t="n"/>
      <c r="B106" s="24" t="n"/>
      <c r="C106" s="24" t="n"/>
      <c r="D106" s="24" t="n"/>
      <c r="E106" s="24" t="n"/>
      <c r="F106" s="24" t="n"/>
      <c r="G106" s="34" t="n"/>
      <c r="H106" s="24" t="n"/>
    </row>
    <row r="107" ht="15" customHeight="1" s="21">
      <c r="A107" s="35" t="n"/>
      <c r="B107" s="24" t="n"/>
      <c r="C107" s="24" t="n"/>
      <c r="D107" s="24" t="n"/>
      <c r="E107" s="24" t="n"/>
      <c r="F107" s="24" t="n"/>
      <c r="G107" s="34" t="n"/>
      <c r="H107" s="24" t="n"/>
    </row>
    <row r="108" ht="15" customHeight="1" s="21">
      <c r="A108" s="35" t="n"/>
      <c r="B108" s="24" t="n"/>
      <c r="C108" s="24" t="n"/>
      <c r="D108" s="24" t="n"/>
      <c r="E108" s="24" t="n"/>
      <c r="F108" s="24" t="n"/>
      <c r="G108" s="34" t="n"/>
      <c r="H108" s="24" t="n"/>
    </row>
    <row r="109" ht="15" customHeight="1" s="21">
      <c r="A109" s="35" t="n"/>
      <c r="B109" s="24" t="n"/>
      <c r="C109" s="24" t="n"/>
      <c r="D109" s="24" t="n"/>
      <c r="E109" s="24" t="n"/>
      <c r="F109" s="24" t="n"/>
      <c r="G109" s="34" t="n"/>
      <c r="H109" s="24" t="n"/>
    </row>
    <row r="110" ht="15" customHeight="1" s="21">
      <c r="A110" s="35" t="n"/>
      <c r="B110" s="24" t="n"/>
      <c r="C110" s="24" t="n"/>
      <c r="D110" s="24" t="n"/>
      <c r="E110" s="24" t="n"/>
      <c r="F110" s="24" t="n"/>
      <c r="G110" s="34" t="n"/>
      <c r="H110" s="24" t="n"/>
    </row>
    <row r="111" ht="15" customHeight="1" s="21">
      <c r="A111" s="35" t="n"/>
      <c r="B111" s="24" t="n"/>
      <c r="C111" s="24" t="n"/>
      <c r="D111" s="24" t="n"/>
      <c r="E111" s="24" t="n"/>
      <c r="F111" s="24" t="n"/>
      <c r="G111" s="34" t="n"/>
      <c r="H111" s="24" t="n"/>
    </row>
    <row r="112" ht="15" customHeight="1" s="21">
      <c r="A112" s="35" t="n"/>
      <c r="B112" s="24" t="n"/>
      <c r="C112" s="24" t="n"/>
      <c r="D112" s="24" t="n"/>
      <c r="E112" s="24" t="n"/>
      <c r="F112" s="24" t="n"/>
      <c r="G112" s="34" t="n"/>
      <c r="H112" s="24" t="n"/>
    </row>
    <row r="113" ht="15" customHeight="1" s="21">
      <c r="A113" s="35" t="n"/>
      <c r="B113" s="24" t="n"/>
      <c r="C113" s="24" t="n"/>
      <c r="D113" s="24" t="n"/>
      <c r="E113" s="24" t="n"/>
      <c r="F113" s="24" t="n"/>
      <c r="G113" s="34" t="n"/>
      <c r="H113" s="24" t="n"/>
    </row>
    <row r="114" ht="15" customHeight="1" s="21">
      <c r="A114" s="35" t="n"/>
      <c r="B114" s="24" t="n"/>
      <c r="C114" s="24" t="n"/>
      <c r="D114" s="24" t="n"/>
      <c r="E114" s="24" t="n"/>
      <c r="F114" s="24" t="n"/>
      <c r="G114" s="34" t="n"/>
      <c r="H114" s="24" t="n"/>
    </row>
    <row r="115" ht="15" customHeight="1" s="21">
      <c r="A115" s="35" t="n"/>
      <c r="B115" s="24" t="n"/>
      <c r="C115" s="24" t="n"/>
      <c r="D115" s="24" t="n"/>
      <c r="E115" s="24" t="n"/>
      <c r="F115" s="24" t="n"/>
      <c r="G115" s="34" t="n"/>
      <c r="H115" s="24" t="n"/>
    </row>
    <row r="116" ht="15" customHeight="1" s="21">
      <c r="A116" s="35" t="n"/>
      <c r="B116" s="24" t="n"/>
      <c r="C116" s="24" t="n"/>
      <c r="D116" s="24" t="n"/>
      <c r="E116" s="24" t="n"/>
      <c r="F116" s="24" t="n"/>
      <c r="G116" s="34" t="n"/>
      <c r="H116" s="24" t="n"/>
    </row>
    <row r="117" ht="15" customHeight="1" s="21">
      <c r="A117" s="35" t="n"/>
      <c r="B117" s="24" t="n"/>
      <c r="C117" s="24" t="n"/>
      <c r="D117" s="24" t="n"/>
      <c r="E117" s="24" t="n"/>
      <c r="F117" s="24" t="n"/>
      <c r="G117" s="34" t="n"/>
      <c r="H117" s="24" t="n"/>
    </row>
    <row r="118" ht="15" customHeight="1" s="21">
      <c r="A118" s="35" t="n"/>
      <c r="B118" s="24" t="n"/>
      <c r="C118" s="24" t="n"/>
      <c r="D118" s="24" t="n"/>
      <c r="E118" s="24" t="n"/>
      <c r="F118" s="24" t="n"/>
      <c r="G118" s="34" t="n"/>
      <c r="H118" s="24" t="n"/>
    </row>
    <row r="119" ht="15" customHeight="1" s="21">
      <c r="A119" s="35" t="n"/>
      <c r="B119" s="24" t="n"/>
      <c r="C119" s="24" t="n"/>
      <c r="D119" s="24" t="n"/>
      <c r="E119" s="24" t="n"/>
      <c r="F119" s="24" t="n"/>
      <c r="G119" s="34" t="n"/>
      <c r="H119" s="24" t="n"/>
    </row>
    <row r="120" ht="15" customHeight="1" s="21">
      <c r="A120" s="35" t="n"/>
      <c r="B120" s="24" t="n"/>
      <c r="C120" s="24" t="n"/>
      <c r="D120" s="24" t="n"/>
      <c r="E120" s="24" t="n"/>
      <c r="F120" s="24" t="n"/>
      <c r="G120" s="34" t="n"/>
      <c r="H120" s="24" t="n"/>
    </row>
    <row r="121" ht="15" customHeight="1" s="21">
      <c r="A121" s="35" t="n"/>
      <c r="B121" s="24" t="n"/>
      <c r="C121" s="24" t="n"/>
      <c r="D121" s="24" t="n"/>
      <c r="E121" s="24" t="n"/>
      <c r="F121" s="24" t="n"/>
      <c r="G121" s="34" t="n"/>
      <c r="H121" s="24" t="n"/>
    </row>
    <row r="122" ht="15" customHeight="1" s="21">
      <c r="A122" s="35" t="n"/>
      <c r="B122" s="24" t="n"/>
      <c r="C122" s="24" t="n"/>
      <c r="D122" s="24" t="n"/>
      <c r="E122" s="24" t="n"/>
      <c r="F122" s="24" t="n"/>
      <c r="G122" s="34" t="n"/>
      <c r="H122" s="24" t="n"/>
    </row>
    <row r="123" ht="15" customHeight="1" s="21">
      <c r="A123" s="35" t="n"/>
      <c r="B123" s="24" t="n"/>
      <c r="C123" s="24" t="n"/>
      <c r="D123" s="24" t="n"/>
      <c r="E123" s="24" t="n"/>
      <c r="F123" s="24" t="n"/>
      <c r="G123" s="34" t="n"/>
      <c r="H123" s="24" t="n"/>
    </row>
    <row r="124" ht="15" customHeight="1" s="21">
      <c r="A124" s="35" t="n"/>
      <c r="B124" s="24" t="n"/>
      <c r="C124" s="24" t="n"/>
      <c r="D124" s="24" t="n"/>
      <c r="E124" s="24" t="n"/>
      <c r="F124" s="24" t="n"/>
      <c r="G124" s="34" t="n"/>
      <c r="H124" s="24" t="n"/>
    </row>
    <row r="125" ht="15" customHeight="1" s="21">
      <c r="A125" s="35" t="n"/>
      <c r="B125" s="24" t="n"/>
      <c r="C125" s="24" t="n"/>
      <c r="D125" s="24" t="n"/>
      <c r="E125" s="24" t="n"/>
      <c r="F125" s="24" t="n"/>
      <c r="G125" s="34" t="n"/>
      <c r="H125" s="24" t="n"/>
    </row>
    <row r="126" ht="15" customHeight="1" s="21">
      <c r="A126" s="35" t="n"/>
      <c r="B126" s="24" t="n"/>
      <c r="C126" s="24" t="n"/>
      <c r="D126" s="24" t="n"/>
      <c r="E126" s="24" t="n"/>
      <c r="F126" s="24" t="n"/>
      <c r="G126" s="34" t="n"/>
      <c r="H126" s="24" t="n"/>
    </row>
    <row r="127" ht="15" customHeight="1" s="21">
      <c r="A127" s="35" t="n"/>
      <c r="B127" s="24" t="n"/>
      <c r="C127" s="24" t="n"/>
      <c r="D127" s="24" t="n"/>
      <c r="E127" s="24" t="n"/>
      <c r="F127" s="24" t="n"/>
      <c r="G127" s="34" t="n"/>
      <c r="H127" s="24" t="n"/>
    </row>
    <row r="128" ht="15" customHeight="1" s="21">
      <c r="A128" s="35" t="n"/>
      <c r="B128" s="24" t="n"/>
      <c r="C128" s="24" t="n"/>
      <c r="D128" s="24" t="n"/>
      <c r="E128" s="24" t="n"/>
      <c r="F128" s="24" t="n"/>
      <c r="G128" s="34" t="n"/>
      <c r="H128" s="24" t="n"/>
    </row>
    <row r="129" ht="15" customHeight="1" s="21">
      <c r="A129" s="35" t="n"/>
      <c r="B129" s="24" t="n"/>
      <c r="C129" s="24" t="n"/>
      <c r="D129" s="24" t="n"/>
      <c r="E129" s="24" t="n"/>
      <c r="F129" s="24" t="n"/>
      <c r="G129" s="34" t="n"/>
      <c r="H129" s="24" t="n"/>
    </row>
    <row r="130" ht="15" customHeight="1" s="21">
      <c r="A130" s="35" t="n"/>
      <c r="B130" s="24" t="n"/>
      <c r="C130" s="24" t="n"/>
      <c r="D130" s="24" t="n"/>
      <c r="E130" s="24" t="n"/>
      <c r="F130" s="24" t="n"/>
      <c r="G130" s="34" t="n"/>
      <c r="H130" s="24" t="n"/>
    </row>
    <row r="131" ht="15" customHeight="1" s="21">
      <c r="A131" s="35" t="n"/>
      <c r="B131" s="24" t="n"/>
      <c r="C131" s="24" t="n"/>
      <c r="D131" s="24" t="n"/>
      <c r="E131" s="24" t="n"/>
      <c r="F131" s="24" t="n"/>
      <c r="G131" s="34" t="n"/>
      <c r="H131" s="24" t="n"/>
    </row>
    <row r="132" ht="15" customHeight="1" s="21">
      <c r="A132" s="35" t="n"/>
      <c r="B132" s="24" t="n"/>
      <c r="C132" s="24" t="n"/>
      <c r="D132" s="24" t="n"/>
      <c r="E132" s="24" t="n"/>
      <c r="F132" s="24" t="n"/>
      <c r="G132" s="34" t="n"/>
      <c r="H132" s="24" t="n"/>
    </row>
    <row r="133" ht="15" customHeight="1" s="21">
      <c r="A133" s="35" t="n"/>
      <c r="B133" s="24" t="n"/>
      <c r="C133" s="24" t="n"/>
      <c r="D133" s="24" t="n"/>
      <c r="E133" s="24" t="n"/>
      <c r="F133" s="24" t="n"/>
      <c r="G133" s="34" t="n"/>
      <c r="H133" s="24" t="n"/>
    </row>
    <row r="134" ht="15" customHeight="1" s="21">
      <c r="A134" s="35" t="n"/>
      <c r="B134" s="24" t="n"/>
      <c r="C134" s="24" t="n"/>
      <c r="D134" s="24" t="n"/>
      <c r="E134" s="24" t="n"/>
      <c r="F134" s="24" t="n"/>
      <c r="G134" s="34" t="n"/>
      <c r="H134" s="24" t="n"/>
    </row>
    <row r="135" ht="15" customHeight="1" s="21">
      <c r="A135" s="35" t="n"/>
      <c r="B135" s="24" t="n"/>
      <c r="C135" s="24" t="n"/>
      <c r="D135" s="24" t="n"/>
      <c r="E135" s="24" t="n"/>
      <c r="F135" s="24" t="n"/>
      <c r="G135" s="34" t="n"/>
      <c r="H135" s="24" t="n"/>
    </row>
    <row r="136" ht="15" customHeight="1" s="21">
      <c r="A136" s="35" t="n"/>
      <c r="B136" s="24" t="n"/>
      <c r="C136" s="24" t="n"/>
      <c r="D136" s="24" t="n"/>
      <c r="E136" s="24" t="n"/>
      <c r="F136" s="24" t="n"/>
      <c r="G136" s="34" t="n"/>
      <c r="H136" s="24" t="n"/>
    </row>
    <row r="137" ht="15" customHeight="1" s="21">
      <c r="A137" s="35" t="n"/>
      <c r="B137" s="24" t="n"/>
      <c r="C137" s="24" t="n"/>
      <c r="D137" s="24" t="n"/>
      <c r="E137" s="24" t="n"/>
      <c r="F137" s="24" t="n"/>
      <c r="G137" s="34" t="n"/>
      <c r="H137" s="24" t="n"/>
    </row>
    <row r="138" ht="15" customHeight="1" s="21">
      <c r="A138" s="35" t="n"/>
      <c r="B138" s="24" t="n"/>
      <c r="C138" s="24" t="n"/>
      <c r="D138" s="24" t="n"/>
      <c r="E138" s="24" t="n"/>
      <c r="F138" s="24" t="n"/>
      <c r="G138" s="34" t="n"/>
      <c r="H138" s="24" t="n"/>
    </row>
    <row r="139" ht="15" customHeight="1" s="21">
      <c r="A139" s="35" t="n"/>
      <c r="B139" s="24" t="n"/>
      <c r="C139" s="24" t="n"/>
      <c r="D139" s="24" t="n"/>
      <c r="E139" s="24" t="n"/>
      <c r="F139" s="24" t="n"/>
      <c r="G139" s="34" t="n"/>
      <c r="H139" s="24" t="n"/>
    </row>
    <row r="140" ht="15" customHeight="1" s="21">
      <c r="A140" s="35" t="n"/>
      <c r="B140" s="24" t="n"/>
      <c r="C140" s="24" t="n"/>
      <c r="D140" s="24" t="n"/>
      <c r="E140" s="24" t="n"/>
      <c r="F140" s="24" t="n"/>
      <c r="G140" s="34" t="n"/>
      <c r="H140" s="24" t="n"/>
    </row>
    <row r="141" ht="15" customHeight="1" s="21">
      <c r="A141" s="35" t="n"/>
      <c r="B141" s="24" t="n"/>
      <c r="C141" s="24" t="n"/>
      <c r="D141" s="24" t="n"/>
      <c r="E141" s="24" t="n"/>
      <c r="F141" s="24" t="n"/>
      <c r="G141" s="34" t="n"/>
      <c r="H141" s="24" t="n"/>
    </row>
    <row r="142" ht="15" customHeight="1" s="21">
      <c r="A142" s="35" t="n"/>
      <c r="B142" s="24" t="n"/>
      <c r="C142" s="24" t="n"/>
      <c r="D142" s="24" t="n"/>
      <c r="E142" s="24" t="n"/>
      <c r="F142" s="24" t="n"/>
      <c r="G142" s="34" t="n"/>
      <c r="H142" s="24" t="n"/>
    </row>
    <row r="143" ht="15" customHeight="1" s="21">
      <c r="A143" s="35" t="n"/>
      <c r="B143" s="24" t="n"/>
      <c r="C143" s="24" t="n"/>
      <c r="D143" s="24" t="n"/>
      <c r="E143" s="24" t="n"/>
      <c r="F143" s="24" t="n"/>
      <c r="G143" s="34" t="n"/>
      <c r="H143" s="24" t="n"/>
    </row>
    <row r="144" ht="15" customHeight="1" s="21">
      <c r="A144" s="35" t="n"/>
      <c r="B144" s="24" t="n"/>
      <c r="C144" s="24" t="n"/>
      <c r="D144" s="24" t="n"/>
      <c r="E144" s="24" t="n"/>
      <c r="F144" s="24" t="n"/>
      <c r="G144" s="34" t="n"/>
      <c r="H144" s="24" t="n"/>
    </row>
    <row r="145" ht="15" customHeight="1" s="21">
      <c r="A145" s="35" t="n"/>
      <c r="B145" s="24" t="n"/>
      <c r="C145" s="24" t="n"/>
      <c r="D145" s="24" t="n"/>
      <c r="E145" s="24" t="n"/>
      <c r="F145" s="24" t="n"/>
      <c r="G145" s="34" t="n"/>
      <c r="H145" s="24" t="n"/>
    </row>
    <row r="146" ht="15" customHeight="1" s="21">
      <c r="A146" s="35" t="n"/>
      <c r="B146" s="24" t="n"/>
      <c r="C146" s="24" t="n"/>
      <c r="D146" s="24" t="n"/>
      <c r="E146" s="24" t="n"/>
      <c r="F146" s="24" t="n"/>
      <c r="G146" s="34" t="n"/>
      <c r="H146" s="24" t="n"/>
    </row>
    <row r="147" ht="15" customHeight="1" s="21">
      <c r="A147" s="35" t="n"/>
      <c r="B147" s="24" t="n"/>
      <c r="C147" s="24" t="n"/>
      <c r="D147" s="24" t="n"/>
      <c r="E147" s="24" t="n"/>
      <c r="F147" s="24" t="n"/>
      <c r="G147" s="34" t="n"/>
      <c r="H147" s="24" t="n"/>
    </row>
    <row r="148" ht="15" customHeight="1" s="21">
      <c r="A148" s="35" t="n"/>
      <c r="B148" s="24" t="n"/>
      <c r="C148" s="24" t="n"/>
      <c r="D148" s="24" t="n"/>
      <c r="E148" s="24" t="n"/>
      <c r="F148" s="24" t="n"/>
      <c r="G148" s="34" t="n"/>
      <c r="H148" s="24" t="n"/>
    </row>
    <row r="149" ht="15" customHeight="1" s="21">
      <c r="A149" s="35" t="n"/>
      <c r="B149" s="24" t="n"/>
      <c r="C149" s="24" t="n"/>
      <c r="D149" s="24" t="n"/>
      <c r="E149" s="24" t="n"/>
      <c r="F149" s="24" t="n"/>
      <c r="G149" s="34" t="n"/>
      <c r="H149" s="24" t="n"/>
    </row>
    <row r="150" ht="15" customHeight="1" s="21">
      <c r="A150" s="35" t="n"/>
      <c r="B150" s="24" t="n"/>
      <c r="C150" s="24" t="n"/>
      <c r="D150" s="24" t="n"/>
      <c r="E150" s="24" t="n"/>
      <c r="F150" s="24" t="n"/>
      <c r="G150" s="34" t="n"/>
      <c r="H150" s="24" t="n"/>
    </row>
    <row r="151" ht="15" customHeight="1" s="21">
      <c r="A151" s="35" t="n"/>
      <c r="B151" s="24" t="n"/>
      <c r="C151" s="24" t="n"/>
      <c r="D151" s="24" t="n"/>
      <c r="E151" s="24" t="n"/>
      <c r="F151" s="24" t="n"/>
      <c r="G151" s="34" t="n"/>
      <c r="H151" s="24" t="n"/>
    </row>
    <row r="152" ht="15" customHeight="1" s="21">
      <c r="A152" s="35" t="n"/>
      <c r="B152" s="24" t="n"/>
      <c r="C152" s="24" t="n"/>
      <c r="D152" s="24" t="n"/>
      <c r="E152" s="24" t="n"/>
      <c r="F152" s="24" t="n"/>
      <c r="G152" s="34" t="n"/>
      <c r="H152" s="24" t="n"/>
    </row>
    <row r="153" ht="15" customHeight="1" s="21">
      <c r="A153" s="35" t="n"/>
      <c r="B153" s="24" t="n"/>
      <c r="C153" s="24" t="n"/>
      <c r="D153" s="24" t="n"/>
      <c r="E153" s="24" t="n"/>
      <c r="F153" s="24" t="n"/>
      <c r="G153" s="34" t="n"/>
      <c r="H153" s="24" t="n"/>
    </row>
    <row r="154" ht="15" customHeight="1" s="21">
      <c r="A154" s="35" t="n"/>
      <c r="B154" s="24" t="n"/>
      <c r="C154" s="24" t="n"/>
      <c r="D154" s="24" t="n"/>
      <c r="E154" s="24" t="n"/>
      <c r="F154" s="24" t="n"/>
      <c r="G154" s="34" t="n"/>
      <c r="H154" s="24" t="n"/>
    </row>
    <row r="155" ht="15" customHeight="1" s="21">
      <c r="A155" s="35" t="n"/>
      <c r="B155" s="24" t="n"/>
      <c r="C155" s="24" t="n"/>
      <c r="D155" s="24" t="n"/>
      <c r="E155" s="24" t="n"/>
      <c r="F155" s="24" t="n"/>
      <c r="G155" s="34" t="n"/>
      <c r="H155" s="24" t="n"/>
    </row>
    <row r="156" ht="15" customHeight="1" s="21">
      <c r="A156" s="35" t="n"/>
      <c r="B156" s="24" t="n"/>
      <c r="C156" s="24" t="n"/>
      <c r="D156" s="24" t="n"/>
      <c r="E156" s="24" t="n"/>
      <c r="F156" s="24" t="n"/>
      <c r="G156" s="34" t="n"/>
      <c r="H156" s="24" t="n"/>
    </row>
    <row r="157" ht="15" customHeight="1" s="21">
      <c r="A157" s="35" t="n"/>
      <c r="B157" s="24" t="n"/>
      <c r="C157" s="24" t="n"/>
      <c r="D157" s="24" t="n"/>
      <c r="E157" s="24" t="n"/>
      <c r="F157" s="24" t="n"/>
      <c r="G157" s="34" t="n"/>
      <c r="H157" s="24" t="n"/>
    </row>
    <row r="158" ht="15" customHeight="1" s="21">
      <c r="A158" s="35" t="n"/>
      <c r="B158" s="24" t="n"/>
      <c r="C158" s="24" t="n"/>
      <c r="D158" s="24" t="n"/>
      <c r="E158" s="24" t="n"/>
      <c r="F158" s="24" t="n"/>
      <c r="G158" s="34" t="n"/>
      <c r="H158" s="24" t="n"/>
    </row>
    <row r="159" ht="15" customHeight="1" s="21">
      <c r="A159" s="35" t="n"/>
      <c r="B159" s="24" t="n"/>
      <c r="C159" s="24" t="n"/>
      <c r="D159" s="24" t="n"/>
      <c r="E159" s="24" t="n"/>
      <c r="F159" s="24" t="n"/>
      <c r="G159" s="34" t="n"/>
      <c r="H159" s="24" t="n"/>
    </row>
    <row r="160" ht="15" customHeight="1" s="21">
      <c r="A160" s="35" t="n"/>
      <c r="B160" s="24" t="n"/>
      <c r="C160" s="24" t="n"/>
      <c r="D160" s="24" t="n"/>
      <c r="E160" s="24" t="n"/>
      <c r="F160" s="24" t="n"/>
      <c r="G160" s="34" t="n"/>
      <c r="H160" s="24" t="n"/>
    </row>
    <row r="161" ht="15" customHeight="1" s="21">
      <c r="A161" s="35" t="n"/>
      <c r="B161" s="24" t="n"/>
      <c r="C161" s="24" t="n"/>
      <c r="D161" s="24" t="n"/>
      <c r="E161" s="24" t="n"/>
      <c r="F161" s="24" t="n"/>
      <c r="G161" s="34" t="n"/>
      <c r="H161" s="24" t="n"/>
    </row>
    <row r="162" ht="15" customHeight="1" s="21">
      <c r="A162" s="35" t="n"/>
      <c r="B162" s="24" t="n"/>
      <c r="C162" s="24" t="n"/>
      <c r="D162" s="24" t="n"/>
      <c r="E162" s="24" t="n"/>
      <c r="F162" s="24" t="n"/>
      <c r="G162" s="34" t="n"/>
      <c r="H162" s="24" t="n"/>
    </row>
    <row r="163" ht="15" customHeight="1" s="21">
      <c r="A163" s="35" t="n"/>
      <c r="B163" s="24" t="n"/>
      <c r="C163" s="24" t="n"/>
      <c r="D163" s="24" t="n"/>
      <c r="E163" s="24" t="n"/>
      <c r="F163" s="24" t="n"/>
      <c r="G163" s="34" t="n"/>
      <c r="H163" s="24" t="n"/>
    </row>
    <row r="164" ht="15" customHeight="1" s="21">
      <c r="A164" s="35" t="n"/>
      <c r="B164" s="24" t="n"/>
      <c r="C164" s="24" t="n"/>
      <c r="D164" s="24" t="n"/>
      <c r="E164" s="24" t="n"/>
      <c r="F164" s="24" t="n"/>
      <c r="G164" s="34" t="n"/>
      <c r="H164" s="24" t="n"/>
    </row>
    <row r="165" ht="15" customHeight="1" s="21">
      <c r="A165" s="35" t="n"/>
      <c r="B165" s="24" t="n"/>
      <c r="C165" s="24" t="n"/>
      <c r="D165" s="24" t="n"/>
      <c r="E165" s="24" t="n"/>
      <c r="F165" s="24" t="n"/>
      <c r="G165" s="34" t="n"/>
      <c r="H165" s="24" t="n"/>
    </row>
    <row r="166" ht="15" customHeight="1" s="21">
      <c r="A166" s="35" t="n"/>
      <c r="B166" s="24" t="n"/>
      <c r="C166" s="24" t="n"/>
      <c r="D166" s="24" t="n"/>
      <c r="E166" s="24" t="n"/>
      <c r="F166" s="24" t="n"/>
      <c r="G166" s="34" t="n"/>
      <c r="H166" s="24" t="n"/>
    </row>
    <row r="167" ht="15" customHeight="1" s="21">
      <c r="A167" s="35" t="n"/>
      <c r="B167" s="24" t="n"/>
      <c r="C167" s="24" t="n"/>
      <c r="D167" s="24" t="n"/>
      <c r="E167" s="24" t="n"/>
      <c r="F167" s="24" t="n"/>
      <c r="G167" s="34" t="n"/>
      <c r="H167" s="24" t="n"/>
    </row>
    <row r="168" ht="15" customHeight="1" s="21">
      <c r="A168" s="35" t="n"/>
      <c r="B168" s="24" t="n"/>
      <c r="C168" s="24" t="n"/>
      <c r="D168" s="24" t="n"/>
      <c r="E168" s="24" t="n"/>
      <c r="F168" s="24" t="n"/>
      <c r="G168" s="34" t="n"/>
      <c r="H168" s="24" t="n"/>
    </row>
    <row r="169" ht="15" customHeight="1" s="21">
      <c r="A169" s="35" t="n"/>
      <c r="B169" s="24" t="n"/>
      <c r="C169" s="24" t="n"/>
      <c r="D169" s="24" t="n"/>
      <c r="E169" s="24" t="n"/>
      <c r="F169" s="24" t="n"/>
      <c r="G169" s="34" t="n"/>
      <c r="H169" s="24" t="n"/>
    </row>
    <row r="170" ht="15" customHeight="1" s="21">
      <c r="A170" s="35" t="n"/>
      <c r="B170" s="24" t="n"/>
      <c r="C170" s="24" t="n"/>
      <c r="D170" s="24" t="n"/>
      <c r="E170" s="24" t="n"/>
      <c r="F170" s="24" t="n"/>
      <c r="G170" s="34" t="n"/>
      <c r="H170" s="24" t="n"/>
    </row>
    <row r="171" ht="15" customHeight="1" s="21">
      <c r="A171" s="35" t="n"/>
      <c r="B171" s="24" t="n"/>
      <c r="C171" s="24" t="n"/>
      <c r="D171" s="24" t="n"/>
      <c r="E171" s="24" t="n"/>
      <c r="F171" s="24" t="n"/>
      <c r="G171" s="34" t="n"/>
      <c r="H171" s="24" t="n"/>
    </row>
    <row r="172" ht="15" customHeight="1" s="21">
      <c r="A172" s="35" t="n"/>
      <c r="B172" s="24" t="n"/>
      <c r="C172" s="24" t="n"/>
      <c r="D172" s="24" t="n"/>
      <c r="E172" s="24" t="n"/>
      <c r="F172" s="24" t="n"/>
      <c r="G172" s="34" t="n"/>
      <c r="H172" s="24" t="n"/>
    </row>
    <row r="173" ht="15" customHeight="1" s="21">
      <c r="A173" s="35" t="n"/>
      <c r="B173" s="24" t="n"/>
      <c r="C173" s="24" t="n"/>
      <c r="D173" s="24" t="n"/>
      <c r="E173" s="24" t="n"/>
      <c r="F173" s="24" t="n"/>
      <c r="G173" s="34" t="n"/>
      <c r="H173" s="24" t="n"/>
    </row>
    <row r="174" ht="15" customHeight="1" s="21">
      <c r="A174" s="35" t="n"/>
      <c r="B174" s="24" t="n"/>
      <c r="C174" s="24" t="n"/>
      <c r="D174" s="24" t="n"/>
      <c r="E174" s="24" t="n"/>
      <c r="F174" s="24" t="n"/>
      <c r="G174" s="34" t="n"/>
      <c r="H174" s="24" t="n"/>
    </row>
    <row r="175" ht="15" customHeight="1" s="21">
      <c r="A175" s="35" t="n"/>
      <c r="B175" s="24" t="n"/>
      <c r="C175" s="24" t="n"/>
      <c r="D175" s="24" t="n"/>
      <c r="E175" s="24" t="n"/>
      <c r="F175" s="24" t="n"/>
      <c r="G175" s="34" t="n"/>
      <c r="H175" s="24" t="n"/>
    </row>
    <row r="176" ht="15" customHeight="1" s="21">
      <c r="A176" s="35" t="n"/>
      <c r="B176" s="24" t="n"/>
      <c r="C176" s="24" t="n"/>
      <c r="D176" s="24" t="n"/>
      <c r="E176" s="24" t="n"/>
      <c r="F176" s="24" t="n"/>
      <c r="G176" s="34" t="n"/>
      <c r="H176" s="24" t="n"/>
    </row>
    <row r="177" ht="15" customHeight="1" s="21">
      <c r="A177" s="35" t="n"/>
      <c r="B177" s="24" t="n"/>
      <c r="C177" s="24" t="n"/>
      <c r="D177" s="24" t="n"/>
      <c r="E177" s="24" t="n"/>
      <c r="F177" s="24" t="n"/>
      <c r="G177" s="34" t="n"/>
      <c r="H177" s="24" t="n"/>
    </row>
    <row r="178" ht="15" customHeight="1" s="21">
      <c r="A178" s="35" t="n"/>
      <c r="B178" s="24" t="n"/>
      <c r="C178" s="24" t="n"/>
      <c r="D178" s="24" t="n"/>
      <c r="E178" s="24" t="n"/>
      <c r="F178" s="24" t="n"/>
      <c r="G178" s="34" t="n"/>
      <c r="H178" s="24" t="n"/>
    </row>
    <row r="179" ht="15" customHeight="1" s="21">
      <c r="A179" s="35" t="n"/>
      <c r="B179" s="24" t="n"/>
      <c r="C179" s="24" t="n"/>
      <c r="D179" s="24" t="n"/>
      <c r="E179" s="24" t="n"/>
      <c r="F179" s="24" t="n"/>
      <c r="G179" s="34" t="n"/>
      <c r="H179" s="24" t="n"/>
    </row>
    <row r="180" ht="15" customHeight="1" s="21">
      <c r="A180" s="35" t="n"/>
      <c r="B180" s="24" t="n"/>
      <c r="C180" s="24" t="n"/>
      <c r="D180" s="24" t="n"/>
      <c r="E180" s="24" t="n"/>
      <c r="F180" s="24" t="n"/>
      <c r="G180" s="34" t="n"/>
      <c r="H180" s="24" t="n"/>
    </row>
    <row r="181" ht="15" customHeight="1" s="21">
      <c r="A181" s="35" t="n"/>
      <c r="B181" s="24" t="n"/>
      <c r="C181" s="24" t="n"/>
      <c r="D181" s="24" t="n"/>
      <c r="E181" s="24" t="n"/>
      <c r="F181" s="24" t="n"/>
      <c r="G181" s="34" t="n"/>
      <c r="H181" s="24" t="n"/>
    </row>
    <row r="182" ht="15" customHeight="1" s="21">
      <c r="A182" s="35" t="n"/>
      <c r="B182" s="24" t="n"/>
      <c r="C182" s="24" t="n"/>
      <c r="D182" s="24" t="n"/>
      <c r="E182" s="24" t="n"/>
      <c r="F182" s="24" t="n"/>
      <c r="G182" s="34" t="n"/>
      <c r="H182" s="24" t="n"/>
    </row>
    <row r="183" ht="15" customHeight="1" s="21">
      <c r="A183" s="35" t="n"/>
      <c r="B183" s="24" t="n"/>
      <c r="C183" s="24" t="n"/>
      <c r="D183" s="24" t="n"/>
      <c r="E183" s="24" t="n"/>
      <c r="F183" s="24" t="n"/>
      <c r="G183" s="34" t="n"/>
      <c r="H183" s="24" t="n"/>
    </row>
    <row r="184" ht="15" customHeight="1" s="21">
      <c r="A184" s="35" t="n"/>
      <c r="B184" s="24" t="n"/>
      <c r="C184" s="24" t="n"/>
      <c r="D184" s="24" t="n"/>
      <c r="E184" s="24" t="n"/>
      <c r="F184" s="24" t="n"/>
      <c r="G184" s="34" t="n"/>
      <c r="H184" s="24" t="n"/>
    </row>
    <row r="185" ht="15" customHeight="1" s="21">
      <c r="A185" s="35" t="n"/>
      <c r="B185" s="24" t="n"/>
      <c r="C185" s="24" t="n"/>
      <c r="D185" s="24" t="n"/>
      <c r="E185" s="24" t="n"/>
      <c r="F185" s="24" t="n"/>
      <c r="G185" s="34" t="n"/>
      <c r="H185" s="24" t="n"/>
    </row>
    <row r="186" ht="15" customHeight="1" s="21">
      <c r="A186" s="35" t="n"/>
      <c r="B186" s="24" t="n"/>
      <c r="C186" s="24" t="n"/>
      <c r="D186" s="24" t="n"/>
      <c r="E186" s="24" t="n"/>
      <c r="F186" s="24" t="n"/>
      <c r="G186" s="34" t="n"/>
      <c r="H186" s="24" t="n"/>
    </row>
    <row r="187" ht="15" customHeight="1" s="21">
      <c r="A187" s="35" t="n"/>
      <c r="B187" s="24" t="n"/>
      <c r="C187" s="24" t="n"/>
      <c r="D187" s="24" t="n"/>
      <c r="E187" s="24" t="n"/>
      <c r="F187" s="24" t="n"/>
      <c r="G187" s="34" t="n"/>
      <c r="H187" s="24" t="n"/>
    </row>
    <row r="188" ht="15" customHeight="1" s="21">
      <c r="A188" s="35" t="n"/>
      <c r="B188" s="24" t="n"/>
      <c r="C188" s="24" t="n"/>
      <c r="D188" s="24" t="n"/>
      <c r="E188" s="24" t="n"/>
      <c r="F188" s="24" t="n"/>
      <c r="G188" s="34" t="n"/>
      <c r="H188" s="24" t="n"/>
    </row>
    <row r="189" ht="15" customHeight="1" s="21">
      <c r="A189" s="35" t="n"/>
      <c r="B189" s="24" t="n"/>
      <c r="C189" s="24" t="n"/>
      <c r="D189" s="24" t="n"/>
      <c r="E189" s="24" t="n"/>
      <c r="F189" s="24" t="n"/>
      <c r="G189" s="34" t="n"/>
      <c r="H189" s="24" t="n"/>
    </row>
    <row r="190" ht="15" customHeight="1" s="21">
      <c r="A190" s="35" t="n"/>
      <c r="B190" s="24" t="n"/>
      <c r="C190" s="24" t="n"/>
      <c r="D190" s="24" t="n"/>
      <c r="E190" s="24" t="n"/>
      <c r="F190" s="24" t="n"/>
      <c r="G190" s="34" t="n"/>
      <c r="H190" s="24" t="n"/>
    </row>
    <row r="191" ht="15" customHeight="1" s="21">
      <c r="A191" s="35" t="n"/>
      <c r="B191" s="24" t="n"/>
      <c r="C191" s="24" t="n"/>
      <c r="D191" s="24" t="n"/>
      <c r="E191" s="24" t="n"/>
      <c r="F191" s="24" t="n"/>
      <c r="G191" s="34" t="n"/>
      <c r="H191" s="24" t="n"/>
    </row>
    <row r="192" ht="15" customHeight="1" s="21">
      <c r="A192" s="35" t="n"/>
      <c r="B192" s="24" t="n"/>
      <c r="C192" s="24" t="n"/>
      <c r="D192" s="24" t="n"/>
      <c r="E192" s="24" t="n"/>
      <c r="F192" s="24" t="n"/>
      <c r="G192" s="34" t="n"/>
      <c r="H192" s="24" t="n"/>
    </row>
    <row r="193" ht="15" customHeight="1" s="21">
      <c r="A193" s="35" t="n"/>
      <c r="B193" s="24" t="n"/>
      <c r="C193" s="24" t="n"/>
      <c r="D193" s="24" t="n"/>
      <c r="E193" s="24" t="n"/>
      <c r="F193" s="24" t="n"/>
      <c r="G193" s="34" t="n"/>
      <c r="H193" s="24" t="n"/>
    </row>
    <row r="194" ht="15" customHeight="1" s="21">
      <c r="A194" s="35" t="n"/>
      <c r="B194" s="24" t="n"/>
      <c r="C194" s="24" t="n"/>
      <c r="D194" s="24" t="n"/>
      <c r="E194" s="24" t="n"/>
      <c r="F194" s="24" t="n"/>
      <c r="G194" s="34" t="n"/>
      <c r="H194" s="24" t="n"/>
    </row>
    <row r="195" ht="15" customHeight="1" s="21">
      <c r="A195" s="35" t="n"/>
      <c r="B195" s="24" t="n"/>
      <c r="C195" s="24" t="n"/>
      <c r="D195" s="24" t="n"/>
      <c r="E195" s="24" t="n"/>
      <c r="F195" s="24" t="n"/>
      <c r="G195" s="34" t="n"/>
      <c r="H195" s="24" t="n"/>
    </row>
    <row r="196" ht="15" customHeight="1" s="21">
      <c r="A196" s="35" t="n"/>
      <c r="B196" s="24" t="n"/>
      <c r="C196" s="24" t="n"/>
      <c r="D196" s="24" t="n"/>
      <c r="E196" s="24" t="n"/>
      <c r="F196" s="24" t="n"/>
      <c r="G196" s="34" t="n"/>
      <c r="H196" s="24" t="n"/>
    </row>
    <row r="197" ht="15" customHeight="1" s="21">
      <c r="A197" s="35" t="n"/>
      <c r="B197" s="24" t="n"/>
      <c r="C197" s="24" t="n"/>
      <c r="D197" s="24" t="n"/>
      <c r="E197" s="24" t="n"/>
      <c r="F197" s="24" t="n"/>
      <c r="G197" s="34" t="n"/>
      <c r="H197" s="24" t="n"/>
    </row>
    <row r="198" ht="15" customHeight="1" s="21">
      <c r="A198" s="35" t="n"/>
      <c r="B198" s="24" t="n"/>
      <c r="C198" s="24" t="n"/>
      <c r="D198" s="24" t="n"/>
      <c r="E198" s="24" t="n"/>
      <c r="F198" s="24" t="n"/>
      <c r="G198" s="34" t="n"/>
      <c r="H198" s="24" t="n"/>
    </row>
    <row r="199" ht="15" customHeight="1" s="21">
      <c r="A199" s="35" t="n"/>
      <c r="B199" s="24" t="n"/>
      <c r="C199" s="24" t="n"/>
      <c r="D199" s="24" t="n"/>
      <c r="E199" s="24" t="n"/>
      <c r="F199" s="24" t="n"/>
      <c r="G199" s="34" t="n"/>
      <c r="H199" s="24" t="n"/>
    </row>
    <row r="200" ht="15" customHeight="1" s="21">
      <c r="A200" s="35" t="n"/>
      <c r="B200" s="24" t="n"/>
      <c r="C200" s="24" t="n"/>
      <c r="D200" s="24" t="n"/>
      <c r="E200" s="24" t="n"/>
      <c r="F200" s="24" t="n"/>
      <c r="G200" s="34" t="n"/>
      <c r="H200" s="24" t="n"/>
    </row>
    <row r="201" ht="15" customHeight="1" s="21">
      <c r="A201" s="35" t="n"/>
      <c r="B201" s="24" t="n"/>
      <c r="C201" s="24" t="n"/>
      <c r="D201" s="24" t="n"/>
      <c r="E201" s="24" t="n"/>
      <c r="F201" s="24" t="n"/>
      <c r="G201" s="34" t="n"/>
      <c r="H201" s="24" t="n"/>
    </row>
    <row r="202" ht="15" customHeight="1" s="21">
      <c r="A202" s="35" t="n"/>
      <c r="B202" s="24" t="n"/>
      <c r="C202" s="24" t="n"/>
      <c r="D202" s="24" t="n"/>
      <c r="E202" s="24" t="n"/>
      <c r="F202" s="24" t="n"/>
      <c r="G202" s="34" t="n"/>
      <c r="H202" s="24" t="n"/>
    </row>
    <row r="203" ht="15" customHeight="1" s="21">
      <c r="A203" s="35" t="n"/>
      <c r="B203" s="24" t="n"/>
      <c r="C203" s="24" t="n"/>
      <c r="D203" s="24" t="n"/>
      <c r="E203" s="24" t="n"/>
      <c r="F203" s="24" t="n"/>
      <c r="G203" s="34" t="n"/>
      <c r="H203" s="24" t="n"/>
    </row>
    <row r="204" ht="15" customHeight="1" s="21">
      <c r="A204" s="35" t="n"/>
      <c r="B204" s="24" t="n"/>
      <c r="C204" s="24" t="n"/>
      <c r="D204" s="24" t="n"/>
      <c r="E204" s="24" t="n"/>
      <c r="F204" s="24" t="n"/>
      <c r="G204" s="34" t="n"/>
      <c r="H204" s="24" t="n"/>
    </row>
    <row r="205" ht="15" customHeight="1" s="21">
      <c r="A205" s="35" t="n"/>
      <c r="B205" s="24" t="n"/>
      <c r="C205" s="24" t="n"/>
      <c r="D205" s="24" t="n"/>
      <c r="E205" s="24" t="n"/>
      <c r="F205" s="24" t="n"/>
      <c r="G205" s="34" t="n"/>
      <c r="H205" s="24" t="n"/>
    </row>
    <row r="206" ht="15" customHeight="1" s="21">
      <c r="A206" s="35" t="n"/>
      <c r="B206" s="24" t="n"/>
      <c r="C206" s="24" t="n"/>
      <c r="D206" s="24" t="n"/>
      <c r="E206" s="24" t="n"/>
      <c r="F206" s="24" t="n"/>
      <c r="G206" s="34" t="n"/>
      <c r="H206" s="24" t="n"/>
    </row>
    <row r="207" ht="15" customHeight="1" s="21">
      <c r="A207" s="35" t="n"/>
      <c r="B207" s="24" t="n"/>
      <c r="C207" s="24" t="n"/>
      <c r="D207" s="24" t="n"/>
      <c r="E207" s="24" t="n"/>
      <c r="F207" s="24" t="n"/>
      <c r="G207" s="34" t="n"/>
      <c r="H207" s="24" t="n"/>
    </row>
    <row r="208" ht="15" customHeight="1" s="21">
      <c r="A208" s="35" t="n"/>
      <c r="B208" s="24" t="n"/>
      <c r="C208" s="24" t="n"/>
      <c r="D208" s="24" t="n"/>
      <c r="E208" s="24" t="n"/>
      <c r="F208" s="24" t="n"/>
      <c r="G208" s="34" t="n"/>
      <c r="H208" s="24" t="n"/>
    </row>
    <row r="209" ht="15" customHeight="1" s="21">
      <c r="A209" s="35" t="n"/>
      <c r="B209" s="24" t="n"/>
      <c r="C209" s="24" t="n"/>
      <c r="D209" s="24" t="n"/>
      <c r="E209" s="24" t="n"/>
      <c r="F209" s="24" t="n"/>
      <c r="G209" s="34" t="n"/>
      <c r="H209" s="24" t="n"/>
    </row>
    <row r="210" ht="15" customHeight="1" s="21">
      <c r="A210" s="35" t="n"/>
      <c r="B210" s="24" t="n"/>
      <c r="C210" s="24" t="n"/>
      <c r="D210" s="24" t="n"/>
      <c r="E210" s="24" t="n"/>
      <c r="F210" s="24" t="n"/>
      <c r="G210" s="34" t="n"/>
      <c r="H210" s="24" t="n"/>
    </row>
    <row r="211" ht="15" customHeight="1" s="21">
      <c r="A211" s="35" t="n"/>
      <c r="B211" s="24" t="n"/>
      <c r="C211" s="24" t="n"/>
      <c r="D211" s="24" t="n"/>
      <c r="E211" s="24" t="n"/>
      <c r="F211" s="24" t="n"/>
      <c r="G211" s="34" t="n"/>
      <c r="H211" s="24" t="n"/>
    </row>
    <row r="212" ht="15" customHeight="1" s="21">
      <c r="A212" s="35" t="n"/>
      <c r="B212" s="24" t="n"/>
      <c r="C212" s="24" t="n"/>
      <c r="D212" s="24" t="n"/>
      <c r="E212" s="24" t="n"/>
      <c r="F212" s="24" t="n"/>
      <c r="G212" s="34" t="n"/>
      <c r="H212" s="24" t="n"/>
    </row>
    <row r="213" ht="15" customHeight="1" s="21">
      <c r="A213" s="35" t="n"/>
      <c r="B213" s="24" t="n"/>
      <c r="C213" s="24" t="n"/>
      <c r="D213" s="24" t="n"/>
      <c r="E213" s="24" t="n"/>
      <c r="F213" s="24" t="n"/>
      <c r="G213" s="34" t="n"/>
      <c r="H213" s="24" t="n"/>
    </row>
    <row r="214" ht="15" customHeight="1" s="21">
      <c r="A214" s="35" t="n"/>
      <c r="B214" s="24" t="n"/>
      <c r="C214" s="24" t="n"/>
      <c r="D214" s="24" t="n"/>
      <c r="E214" s="24" t="n"/>
      <c r="F214" s="24" t="n"/>
      <c r="G214" s="34" t="n"/>
      <c r="H214" s="24" t="n"/>
    </row>
    <row r="215" ht="15" customHeight="1" s="21">
      <c r="A215" s="35" t="n"/>
      <c r="B215" s="24" t="n"/>
      <c r="C215" s="24" t="n"/>
      <c r="D215" s="24" t="n"/>
      <c r="E215" s="24" t="n"/>
      <c r="F215" s="24" t="n"/>
      <c r="G215" s="34" t="n"/>
      <c r="H215" s="24" t="n"/>
    </row>
    <row r="216" ht="15" customHeight="1" s="21">
      <c r="A216" s="35" t="n"/>
      <c r="B216" s="24" t="n"/>
      <c r="C216" s="24" t="n"/>
      <c r="D216" s="24" t="n"/>
      <c r="E216" s="24" t="n"/>
      <c r="F216" s="24" t="n"/>
      <c r="G216" s="34" t="n"/>
      <c r="H216" s="24" t="n"/>
    </row>
    <row r="217" ht="15" customHeight="1" s="21">
      <c r="A217" s="35" t="n"/>
      <c r="B217" s="24" t="n"/>
      <c r="C217" s="24" t="n"/>
      <c r="D217" s="24" t="n"/>
      <c r="E217" s="24" t="n"/>
      <c r="F217" s="24" t="n"/>
      <c r="G217" s="34" t="n"/>
      <c r="H217" s="24" t="n"/>
    </row>
    <row r="218" ht="15" customHeight="1" s="21">
      <c r="A218" s="35" t="n"/>
      <c r="B218" s="24" t="n"/>
      <c r="C218" s="24" t="n"/>
      <c r="D218" s="24" t="n"/>
      <c r="E218" s="24" t="n"/>
      <c r="F218" s="24" t="n"/>
      <c r="G218" s="34" t="n"/>
      <c r="H218" s="24" t="n"/>
    </row>
    <row r="219" ht="15" customHeight="1" s="21">
      <c r="A219" s="35" t="n"/>
      <c r="B219" s="24" t="n"/>
      <c r="C219" s="24" t="n"/>
      <c r="D219" s="24" t="n"/>
      <c r="E219" s="24" t="n"/>
      <c r="F219" s="24" t="n"/>
      <c r="G219" s="34" t="n"/>
      <c r="H219" s="24" t="n"/>
    </row>
    <row r="220" ht="15" customHeight="1" s="21">
      <c r="A220" s="35" t="n"/>
      <c r="B220" s="24" t="n"/>
      <c r="C220" s="24" t="n"/>
      <c r="D220" s="24" t="n"/>
      <c r="E220" s="24" t="n"/>
      <c r="F220" s="24" t="n"/>
      <c r="G220" s="34" t="n"/>
      <c r="H220" s="24" t="n"/>
    </row>
    <row r="221" ht="15" customHeight="1" s="21">
      <c r="A221" s="35" t="n"/>
      <c r="B221" s="24" t="n"/>
      <c r="C221" s="24" t="n"/>
      <c r="D221" s="24" t="n"/>
      <c r="E221" s="24" t="n"/>
      <c r="F221" s="24" t="n"/>
      <c r="G221" s="34" t="n"/>
      <c r="H221" s="24" t="n"/>
    </row>
    <row r="222" ht="15" customHeight="1" s="21">
      <c r="A222" s="35" t="n"/>
      <c r="B222" s="24" t="n"/>
      <c r="C222" s="24" t="n"/>
      <c r="D222" s="24" t="n"/>
      <c r="E222" s="24" t="n"/>
      <c r="F222" s="24" t="n"/>
      <c r="G222" s="34" t="n"/>
      <c r="H222" s="24" t="n"/>
    </row>
    <row r="223" ht="15" customHeight="1" s="21">
      <c r="A223" s="35" t="n"/>
      <c r="B223" s="24" t="n"/>
      <c r="C223" s="24" t="n"/>
      <c r="D223" s="24" t="n"/>
      <c r="E223" s="24" t="n"/>
      <c r="F223" s="24" t="n"/>
      <c r="G223" s="34" t="n"/>
      <c r="H223" s="24" t="n"/>
    </row>
    <row r="224" ht="15" customHeight="1" s="21">
      <c r="A224" s="35" t="n"/>
      <c r="B224" s="24" t="n"/>
      <c r="C224" s="24" t="n"/>
      <c r="D224" s="24" t="n"/>
      <c r="E224" s="24" t="n"/>
      <c r="F224" s="24" t="n"/>
      <c r="G224" s="34" t="n"/>
      <c r="H224" s="24" t="n"/>
    </row>
    <row r="225" ht="15" customHeight="1" s="21">
      <c r="A225" s="35" t="n"/>
      <c r="B225" s="24" t="n"/>
      <c r="C225" s="24" t="n"/>
      <c r="D225" s="24" t="n"/>
      <c r="E225" s="24" t="n"/>
      <c r="F225" s="24" t="n"/>
      <c r="G225" s="34" t="n"/>
      <c r="H225" s="24" t="n"/>
    </row>
    <row r="226" ht="15" customHeight="1" s="21">
      <c r="A226" s="35" t="n"/>
      <c r="B226" s="24" t="n"/>
      <c r="C226" s="24" t="n"/>
      <c r="D226" s="24" t="n"/>
      <c r="E226" s="24" t="n"/>
      <c r="F226" s="24" t="n"/>
      <c r="G226" s="34" t="n"/>
      <c r="H226" s="24" t="n"/>
    </row>
    <row r="227" ht="15" customHeight="1" s="21">
      <c r="A227" s="35" t="n"/>
      <c r="B227" s="24" t="n"/>
      <c r="C227" s="24" t="n"/>
      <c r="D227" s="24" t="n"/>
      <c r="E227" s="24" t="n"/>
      <c r="F227" s="24" t="n"/>
      <c r="G227" s="34" t="n"/>
      <c r="H227" s="24" t="n"/>
    </row>
    <row r="228" ht="15" customHeight="1" s="21">
      <c r="A228" s="35" t="n"/>
      <c r="B228" s="24" t="n"/>
      <c r="C228" s="24" t="n"/>
      <c r="D228" s="24" t="n"/>
      <c r="E228" s="24" t="n"/>
      <c r="F228" s="24" t="n"/>
      <c r="G228" s="34" t="n"/>
      <c r="H228" s="24" t="n"/>
    </row>
    <row r="229" ht="15" customHeight="1" s="21">
      <c r="A229" s="35" t="n"/>
      <c r="B229" s="24" t="n"/>
      <c r="C229" s="24" t="n"/>
      <c r="D229" s="24" t="n"/>
      <c r="E229" s="24" t="n"/>
      <c r="F229" s="24" t="n"/>
      <c r="G229" s="34" t="n"/>
      <c r="H229" s="24" t="n"/>
    </row>
    <row r="230" ht="15" customHeight="1" s="21">
      <c r="A230" s="35" t="n"/>
      <c r="B230" s="24" t="n"/>
      <c r="C230" s="24" t="n"/>
      <c r="D230" s="24" t="n"/>
      <c r="E230" s="24" t="n"/>
      <c r="F230" s="24" t="n"/>
      <c r="G230" s="34" t="n"/>
      <c r="H230" s="24" t="n"/>
    </row>
    <row r="231" ht="15" customHeight="1" s="21">
      <c r="A231" s="35" t="n"/>
      <c r="B231" s="24" t="n"/>
      <c r="C231" s="24" t="n"/>
      <c r="D231" s="24" t="n"/>
      <c r="E231" s="24" t="n"/>
      <c r="F231" s="24" t="n"/>
      <c r="G231" s="34" t="n"/>
      <c r="H231" s="24" t="n"/>
    </row>
    <row r="232" ht="15" customHeight="1" s="21">
      <c r="A232" s="35" t="n"/>
      <c r="B232" s="24" t="n"/>
      <c r="C232" s="24" t="n"/>
      <c r="D232" s="24" t="n"/>
      <c r="E232" s="24" t="n"/>
      <c r="F232" s="24" t="n"/>
      <c r="G232" s="34" t="n"/>
      <c r="H232" s="24" t="n"/>
    </row>
    <row r="233" ht="15" customHeight="1" s="21">
      <c r="A233" s="35" t="n"/>
      <c r="B233" s="24" t="n"/>
      <c r="C233" s="24" t="n"/>
      <c r="D233" s="24" t="n"/>
      <c r="E233" s="24" t="n"/>
      <c r="F233" s="24" t="n"/>
      <c r="G233" s="34" t="n"/>
      <c r="H233" s="24" t="n"/>
    </row>
    <row r="234" ht="15" customHeight="1" s="21">
      <c r="A234" s="35" t="n"/>
      <c r="B234" s="24" t="n"/>
      <c r="C234" s="24" t="n"/>
      <c r="D234" s="24" t="n"/>
      <c r="E234" s="24" t="n"/>
      <c r="F234" s="24" t="n"/>
      <c r="G234" s="34" t="n"/>
      <c r="H234" s="24" t="n"/>
    </row>
    <row r="235" ht="15" customHeight="1" s="21">
      <c r="A235" s="35" t="n"/>
      <c r="B235" s="24" t="n"/>
      <c r="C235" s="24" t="n"/>
      <c r="D235" s="24" t="n"/>
      <c r="E235" s="24" t="n"/>
      <c r="F235" s="24" t="n"/>
      <c r="G235" s="34" t="n"/>
      <c r="H235" s="24" t="n"/>
    </row>
    <row r="236" ht="15" customHeight="1" s="21">
      <c r="A236" s="35" t="n"/>
      <c r="B236" s="24" t="n"/>
      <c r="C236" s="24" t="n"/>
      <c r="D236" s="24" t="n"/>
      <c r="E236" s="24" t="n"/>
      <c r="F236" s="24" t="n"/>
      <c r="G236" s="34" t="n"/>
      <c r="H236" s="24" t="n"/>
    </row>
    <row r="237" ht="15" customHeight="1" s="21">
      <c r="A237" s="35" t="n"/>
      <c r="B237" s="24" t="n"/>
      <c r="C237" s="24" t="n"/>
      <c r="D237" s="24" t="n"/>
      <c r="E237" s="24" t="n"/>
      <c r="F237" s="24" t="n"/>
      <c r="G237" s="34" t="n"/>
      <c r="H237" s="24" t="n"/>
    </row>
    <row r="238" ht="15" customHeight="1" s="21">
      <c r="A238" s="35" t="n"/>
      <c r="B238" s="24" t="n"/>
      <c r="C238" s="24" t="n"/>
      <c r="D238" s="24" t="n"/>
      <c r="E238" s="24" t="n"/>
      <c r="F238" s="24" t="n"/>
      <c r="G238" s="34" t="n"/>
      <c r="H238" s="24" t="n"/>
    </row>
    <row r="239" ht="15" customHeight="1" s="21">
      <c r="A239" s="35" t="n"/>
      <c r="B239" s="24" t="n"/>
      <c r="C239" s="24" t="n"/>
      <c r="D239" s="24" t="n"/>
      <c r="E239" s="24" t="n"/>
      <c r="F239" s="24" t="n"/>
      <c r="G239" s="34" t="n"/>
      <c r="H239" s="24" t="n"/>
    </row>
    <row r="240" ht="15" customHeight="1" s="21">
      <c r="A240" s="35" t="n"/>
      <c r="B240" s="24" t="n"/>
      <c r="C240" s="24" t="n"/>
      <c r="D240" s="24" t="n"/>
      <c r="E240" s="24" t="n"/>
      <c r="F240" s="24" t="n"/>
      <c r="G240" s="34" t="n"/>
      <c r="H240" s="24" t="n"/>
    </row>
    <row r="241" ht="15" customHeight="1" s="21">
      <c r="A241" s="35" t="n"/>
      <c r="B241" s="24" t="n"/>
      <c r="C241" s="24" t="n"/>
      <c r="D241" s="24" t="n"/>
      <c r="E241" s="24" t="n"/>
      <c r="F241" s="24" t="n"/>
      <c r="G241" s="34" t="n"/>
      <c r="H241" s="24" t="n"/>
    </row>
    <row r="242" ht="15" customHeight="1" s="21">
      <c r="A242" s="35" t="n"/>
      <c r="B242" s="24" t="n"/>
      <c r="C242" s="24" t="n"/>
      <c r="D242" s="24" t="n"/>
      <c r="E242" s="24" t="n"/>
      <c r="F242" s="24" t="n"/>
      <c r="G242" s="34" t="n"/>
      <c r="H242" s="24" t="n"/>
    </row>
    <row r="243" ht="15" customHeight="1" s="21">
      <c r="A243" s="35" t="n"/>
      <c r="B243" s="24" t="n"/>
      <c r="C243" s="24" t="n"/>
      <c r="D243" s="24" t="n"/>
      <c r="E243" s="24" t="n"/>
      <c r="F243" s="24" t="n"/>
      <c r="G243" s="34" t="n"/>
      <c r="H243" s="24" t="n"/>
    </row>
    <row r="244" ht="15" customHeight="1" s="21">
      <c r="A244" s="35" t="n"/>
      <c r="B244" s="24" t="n"/>
      <c r="C244" s="24" t="n"/>
      <c r="D244" s="24" t="n"/>
      <c r="E244" s="24" t="n"/>
      <c r="F244" s="24" t="n"/>
      <c r="G244" s="34" t="n"/>
      <c r="H244" s="24" t="n"/>
    </row>
    <row r="245" ht="15" customHeight="1" s="21">
      <c r="A245" s="35" t="n"/>
      <c r="B245" s="24" t="n"/>
      <c r="C245" s="24" t="n"/>
      <c r="D245" s="24" t="n"/>
      <c r="E245" s="24" t="n"/>
      <c r="F245" s="24" t="n"/>
      <c r="G245" s="34" t="n"/>
      <c r="H245" s="24" t="n"/>
    </row>
    <row r="246" ht="15" customHeight="1" s="21">
      <c r="A246" s="35" t="n"/>
      <c r="B246" s="24" t="n"/>
      <c r="C246" s="24" t="n"/>
      <c r="D246" s="24" t="n"/>
      <c r="E246" s="24" t="n"/>
      <c r="F246" s="24" t="n"/>
      <c r="G246" s="34" t="n"/>
      <c r="H246" s="24" t="n"/>
    </row>
    <row r="247" ht="15" customHeight="1" s="21">
      <c r="A247" s="35" t="n"/>
      <c r="B247" s="24" t="n"/>
      <c r="C247" s="24" t="n"/>
      <c r="D247" s="24" t="n"/>
      <c r="E247" s="24" t="n"/>
      <c r="F247" s="24" t="n"/>
      <c r="G247" s="34" t="n"/>
      <c r="H247" s="24" t="n"/>
    </row>
    <row r="248" ht="15" customHeight="1" s="21">
      <c r="A248" s="35" t="n"/>
      <c r="B248" s="24" t="n"/>
      <c r="C248" s="24" t="n"/>
      <c r="D248" s="24" t="n"/>
      <c r="E248" s="24" t="n"/>
      <c r="F248" s="24" t="n"/>
      <c r="G248" s="34" t="n"/>
      <c r="H248" s="24" t="n"/>
    </row>
    <row r="249" ht="15" customHeight="1" s="21">
      <c r="A249" s="35" t="n"/>
      <c r="B249" s="24" t="n"/>
      <c r="C249" s="24" t="n"/>
      <c r="D249" s="24" t="n"/>
      <c r="E249" s="24" t="n"/>
      <c r="F249" s="24" t="n"/>
      <c r="G249" s="34" t="n"/>
      <c r="H249" s="24" t="n"/>
    </row>
    <row r="250" ht="15" customHeight="1" s="21">
      <c r="A250" s="35" t="n"/>
      <c r="B250" s="24" t="n"/>
      <c r="C250" s="24" t="n"/>
      <c r="D250" s="24" t="n"/>
      <c r="E250" s="24" t="n"/>
      <c r="F250" s="24" t="n"/>
      <c r="G250" s="34" t="n"/>
      <c r="H250" s="24" t="n"/>
    </row>
    <row r="251" ht="15" customHeight="1" s="21">
      <c r="A251" s="35" t="n"/>
      <c r="B251" s="24" t="n"/>
      <c r="C251" s="24" t="n"/>
      <c r="D251" s="24" t="n"/>
      <c r="E251" s="24" t="n"/>
      <c r="F251" s="24" t="n"/>
      <c r="G251" s="34" t="n"/>
      <c r="H251" s="24" t="n"/>
    </row>
    <row r="252" ht="15" customHeight="1" s="21">
      <c r="A252" s="35" t="n"/>
      <c r="B252" s="24" t="n"/>
      <c r="C252" s="24" t="n"/>
      <c r="D252" s="24" t="n"/>
      <c r="E252" s="24" t="n"/>
      <c r="F252" s="24" t="n"/>
      <c r="G252" s="34" t="n"/>
      <c r="H252" s="24" t="n"/>
    </row>
    <row r="253" ht="15" customHeight="1" s="21">
      <c r="A253" s="35" t="n"/>
      <c r="B253" s="24" t="n"/>
      <c r="C253" s="24" t="n"/>
      <c r="D253" s="24" t="n"/>
      <c r="E253" s="24" t="n"/>
      <c r="F253" s="24" t="n"/>
      <c r="G253" s="34" t="n"/>
      <c r="H253" s="24" t="n"/>
    </row>
    <row r="254" ht="15" customHeight="1" s="21">
      <c r="A254" s="35" t="n"/>
      <c r="B254" s="24" t="n"/>
      <c r="C254" s="24" t="n"/>
      <c r="D254" s="24" t="n"/>
      <c r="E254" s="24" t="n"/>
      <c r="F254" s="24" t="n"/>
      <c r="G254" s="34" t="n"/>
      <c r="H254" s="24" t="n"/>
    </row>
    <row r="255" ht="15" customHeight="1" s="21">
      <c r="A255" s="35" t="n"/>
      <c r="B255" s="24" t="n"/>
      <c r="C255" s="24" t="n"/>
      <c r="D255" s="24" t="n"/>
      <c r="E255" s="24" t="n"/>
      <c r="F255" s="24" t="n"/>
      <c r="G255" s="34" t="n"/>
      <c r="H255" s="24" t="n"/>
    </row>
    <row r="256" ht="15" customHeight="1" s="21">
      <c r="A256" s="35" t="n"/>
      <c r="B256" s="24" t="n"/>
      <c r="C256" s="24" t="n"/>
      <c r="D256" s="24" t="n"/>
      <c r="E256" s="24" t="n"/>
      <c r="F256" s="24" t="n"/>
      <c r="G256" s="34" t="n"/>
      <c r="H256" s="24" t="n"/>
    </row>
    <row r="257" ht="15" customHeight="1" s="21">
      <c r="A257" s="35" t="n"/>
      <c r="B257" s="24" t="n"/>
      <c r="C257" s="24" t="n"/>
      <c r="D257" s="24" t="n"/>
      <c r="E257" s="24" t="n"/>
      <c r="F257" s="24" t="n"/>
      <c r="G257" s="34" t="n"/>
      <c r="H257" s="24" t="n"/>
    </row>
    <row r="258" ht="15" customHeight="1" s="21">
      <c r="A258" s="35" t="n"/>
      <c r="B258" s="24" t="n"/>
      <c r="C258" s="24" t="n"/>
      <c r="D258" s="24" t="n"/>
      <c r="E258" s="24" t="n"/>
      <c r="F258" s="24" t="n"/>
      <c r="G258" s="34" t="n"/>
      <c r="H258" s="24" t="n"/>
    </row>
    <row r="259" ht="15" customHeight="1" s="21">
      <c r="A259" s="35" t="n"/>
      <c r="B259" s="24" t="n"/>
      <c r="C259" s="24" t="n"/>
      <c r="D259" s="24" t="n"/>
      <c r="E259" s="24" t="n"/>
      <c r="F259" s="24" t="n"/>
      <c r="G259" s="34" t="n"/>
      <c r="H259" s="24" t="n"/>
    </row>
    <row r="260" ht="15" customHeight="1" s="21">
      <c r="A260" s="35" t="n"/>
      <c r="B260" s="24" t="n"/>
      <c r="C260" s="24" t="n"/>
      <c r="D260" s="24" t="n"/>
      <c r="E260" s="24" t="n"/>
      <c r="F260" s="24" t="n"/>
      <c r="G260" s="34" t="n"/>
      <c r="H260" s="24" t="n"/>
    </row>
    <row r="261" ht="15" customHeight="1" s="21">
      <c r="A261" s="35" t="n"/>
      <c r="B261" s="24" t="n"/>
      <c r="C261" s="24" t="n"/>
      <c r="D261" s="24" t="n"/>
      <c r="E261" s="24" t="n"/>
      <c r="F261" s="24" t="n"/>
      <c r="G261" s="34" t="n"/>
      <c r="H261" s="24" t="n"/>
    </row>
    <row r="262" ht="15" customHeight="1" s="21">
      <c r="A262" s="35" t="n"/>
      <c r="B262" s="24" t="n"/>
      <c r="C262" s="24" t="n"/>
      <c r="D262" s="24" t="n"/>
      <c r="E262" s="24" t="n"/>
      <c r="F262" s="24" t="n"/>
      <c r="G262" s="34" t="n"/>
      <c r="H262" s="24" t="n"/>
    </row>
    <row r="263" ht="15" customHeight="1" s="21">
      <c r="A263" s="35" t="n"/>
      <c r="B263" s="24" t="n"/>
      <c r="C263" s="24" t="n"/>
      <c r="D263" s="24" t="n"/>
      <c r="E263" s="24" t="n"/>
      <c r="F263" s="24" t="n"/>
      <c r="G263" s="34" t="n"/>
      <c r="H263" s="24" t="n"/>
    </row>
    <row r="264" ht="15" customHeight="1" s="21">
      <c r="A264" s="35" t="n"/>
      <c r="B264" s="24" t="n"/>
      <c r="C264" s="24" t="n"/>
      <c r="D264" s="24" t="n"/>
      <c r="E264" s="24" t="n"/>
      <c r="F264" s="24" t="n"/>
      <c r="G264" s="34" t="n"/>
      <c r="H264" s="24" t="n"/>
    </row>
    <row r="265" ht="15" customHeight="1" s="21">
      <c r="A265" s="35" t="n"/>
      <c r="B265" s="24" t="n"/>
      <c r="C265" s="24" t="n"/>
      <c r="D265" s="24" t="n"/>
      <c r="E265" s="24" t="n"/>
      <c r="F265" s="24" t="n"/>
      <c r="G265" s="34" t="n"/>
      <c r="H265" s="24" t="n"/>
    </row>
    <row r="266" ht="15" customHeight="1" s="21">
      <c r="A266" s="35" t="n"/>
      <c r="B266" s="24" t="n"/>
      <c r="C266" s="24" t="n"/>
      <c r="D266" s="24" t="n"/>
      <c r="E266" s="24" t="n"/>
      <c r="F266" s="24" t="n"/>
      <c r="G266" s="34" t="n"/>
      <c r="H266" s="24" t="n"/>
    </row>
    <row r="267" ht="15" customHeight="1" s="21">
      <c r="A267" s="35" t="n"/>
      <c r="B267" s="24" t="n"/>
      <c r="C267" s="24" t="n"/>
      <c r="D267" s="24" t="n"/>
      <c r="E267" s="24" t="n"/>
      <c r="F267" s="24" t="n"/>
      <c r="G267" s="34" t="n"/>
      <c r="H267" s="24" t="n"/>
    </row>
    <row r="268" ht="15" customHeight="1" s="21">
      <c r="A268" s="35" t="n"/>
      <c r="B268" s="24" t="n"/>
      <c r="C268" s="24" t="n"/>
      <c r="D268" s="24" t="n"/>
      <c r="E268" s="24" t="n"/>
      <c r="F268" s="24" t="n"/>
      <c r="G268" s="34" t="n"/>
      <c r="H268" s="24" t="n"/>
    </row>
    <row r="269" ht="15" customHeight="1" s="21">
      <c r="A269" s="35" t="n"/>
      <c r="B269" s="24" t="n"/>
      <c r="C269" s="24" t="n"/>
      <c r="D269" s="24" t="n"/>
      <c r="E269" s="24" t="n"/>
      <c r="F269" s="24" t="n"/>
      <c r="G269" s="34" t="n"/>
      <c r="H269" s="24" t="n"/>
    </row>
    <row r="270" ht="15" customHeight="1" s="21">
      <c r="A270" s="35" t="n"/>
      <c r="B270" s="24" t="n"/>
      <c r="C270" s="24" t="n"/>
      <c r="D270" s="24" t="n"/>
      <c r="E270" s="24" t="n"/>
      <c r="F270" s="24" t="n"/>
      <c r="G270" s="34" t="n"/>
      <c r="H270" s="24" t="n"/>
    </row>
    <row r="271" ht="15" customHeight="1" s="21">
      <c r="A271" s="35" t="n"/>
      <c r="B271" s="24" t="n"/>
      <c r="C271" s="24" t="n"/>
      <c r="D271" s="24" t="n"/>
      <c r="E271" s="24" t="n"/>
      <c r="F271" s="24" t="n"/>
      <c r="G271" s="34" t="n"/>
      <c r="H271" s="24" t="n"/>
    </row>
    <row r="272" ht="15" customHeight="1" s="21">
      <c r="A272" s="35" t="n"/>
      <c r="B272" s="24" t="n"/>
      <c r="C272" s="24" t="n"/>
      <c r="D272" s="24" t="n"/>
      <c r="E272" s="24" t="n"/>
      <c r="F272" s="24" t="n"/>
      <c r="G272" s="34" t="n"/>
      <c r="H272" s="24" t="n"/>
    </row>
    <row r="273" ht="15" customHeight="1" s="21">
      <c r="A273" s="35" t="n"/>
      <c r="B273" s="24" t="n"/>
      <c r="C273" s="24" t="n"/>
      <c r="D273" s="24" t="n"/>
      <c r="E273" s="24" t="n"/>
      <c r="F273" s="24" t="n"/>
      <c r="G273" s="34" t="n"/>
      <c r="H273" s="24" t="n"/>
    </row>
    <row r="274" ht="15" customHeight="1" s="21">
      <c r="A274" s="35" t="n"/>
      <c r="B274" s="24" t="n"/>
      <c r="C274" s="24" t="n"/>
      <c r="D274" s="24" t="n"/>
      <c r="E274" s="24" t="n"/>
      <c r="F274" s="24" t="n"/>
      <c r="G274" s="34" t="n"/>
      <c r="H274" s="24" t="n"/>
    </row>
    <row r="275" ht="15" customHeight="1" s="21">
      <c r="A275" s="35" t="n"/>
      <c r="B275" s="24" t="n"/>
      <c r="C275" s="24" t="n"/>
      <c r="D275" s="24" t="n"/>
      <c r="E275" s="24" t="n"/>
      <c r="F275" s="24" t="n"/>
      <c r="G275" s="34" t="n"/>
      <c r="H275" s="24" t="n"/>
    </row>
    <row r="276" ht="15" customHeight="1" s="21">
      <c r="A276" s="35" t="n"/>
      <c r="B276" s="24" t="n"/>
      <c r="C276" s="24" t="n"/>
      <c r="D276" s="24" t="n"/>
      <c r="E276" s="24" t="n"/>
      <c r="F276" s="24" t="n"/>
      <c r="G276" s="34" t="n"/>
      <c r="H276" s="24" t="n"/>
    </row>
    <row r="277" ht="15" customHeight="1" s="21">
      <c r="A277" s="35" t="n"/>
      <c r="B277" s="24" t="n"/>
      <c r="C277" s="24" t="n"/>
      <c r="D277" s="24" t="n"/>
      <c r="E277" s="24" t="n"/>
      <c r="F277" s="24" t="n"/>
      <c r="G277" s="34" t="n"/>
      <c r="H277" s="24" t="n"/>
    </row>
    <row r="278" ht="15" customHeight="1" s="21">
      <c r="A278" s="35" t="n"/>
      <c r="B278" s="24" t="n"/>
      <c r="C278" s="24" t="n"/>
      <c r="D278" s="24" t="n"/>
      <c r="E278" s="24" t="n"/>
      <c r="F278" s="24" t="n"/>
      <c r="G278" s="34" t="n"/>
      <c r="H278" s="24" t="n"/>
    </row>
    <row r="279" ht="15" customHeight="1" s="21">
      <c r="A279" s="35" t="n"/>
      <c r="B279" s="24" t="n"/>
      <c r="C279" s="24" t="n"/>
      <c r="D279" s="24" t="n"/>
      <c r="E279" s="24" t="n"/>
      <c r="F279" s="24" t="n"/>
      <c r="G279" s="34" t="n"/>
      <c r="H279" s="24" t="n"/>
    </row>
    <row r="280" ht="15" customHeight="1" s="21">
      <c r="A280" s="35" t="n"/>
      <c r="B280" s="24" t="n"/>
      <c r="C280" s="24" t="n"/>
      <c r="D280" s="24" t="n"/>
      <c r="E280" s="24" t="n"/>
      <c r="F280" s="24" t="n"/>
      <c r="G280" s="34" t="n"/>
      <c r="H280" s="24" t="n"/>
    </row>
    <row r="281" ht="15" customHeight="1" s="21">
      <c r="A281" s="35" t="n"/>
      <c r="B281" s="24" t="n"/>
      <c r="C281" s="24" t="n"/>
      <c r="D281" s="24" t="n"/>
      <c r="E281" s="24" t="n"/>
      <c r="F281" s="24" t="n"/>
      <c r="G281" s="34" t="n"/>
      <c r="H281" s="24" t="n"/>
    </row>
    <row r="282" ht="15" customHeight="1" s="21">
      <c r="A282" s="35" t="n"/>
      <c r="B282" s="24" t="n"/>
      <c r="C282" s="24" t="n"/>
      <c r="D282" s="24" t="n"/>
      <c r="E282" s="24" t="n"/>
      <c r="F282" s="24" t="n"/>
      <c r="G282" s="34" t="n"/>
      <c r="H282" s="24" t="n"/>
    </row>
    <row r="283" ht="15" customHeight="1" s="21">
      <c r="A283" s="35" t="n"/>
      <c r="B283" s="24" t="n"/>
      <c r="C283" s="24" t="n"/>
      <c r="D283" s="24" t="n"/>
      <c r="E283" s="24" t="n"/>
      <c r="F283" s="24" t="n"/>
      <c r="G283" s="34" t="n"/>
      <c r="H283" s="24" t="n"/>
    </row>
    <row r="284" ht="15" customHeight="1" s="21">
      <c r="A284" s="35" t="n"/>
      <c r="B284" s="24" t="n"/>
      <c r="C284" s="24" t="n"/>
      <c r="D284" s="24" t="n"/>
      <c r="E284" s="24" t="n"/>
      <c r="F284" s="24" t="n"/>
      <c r="G284" s="34" t="n"/>
      <c r="H284" s="24" t="n"/>
    </row>
    <row r="285" ht="15" customHeight="1" s="21">
      <c r="A285" s="35" t="n"/>
      <c r="B285" s="24" t="n"/>
      <c r="C285" s="24" t="n"/>
      <c r="D285" s="24" t="n"/>
      <c r="E285" s="24" t="n"/>
      <c r="F285" s="24" t="n"/>
      <c r="G285" s="34" t="n"/>
      <c r="H285" s="24" t="n"/>
    </row>
    <row r="286" ht="15" customHeight="1" s="21">
      <c r="A286" s="35" t="n"/>
      <c r="B286" s="24" t="n"/>
      <c r="C286" s="24" t="n"/>
      <c r="D286" s="24" t="n"/>
      <c r="E286" s="24" t="n"/>
      <c r="F286" s="24" t="n"/>
      <c r="G286" s="34" t="n"/>
      <c r="H286" s="24" t="n"/>
    </row>
    <row r="287" ht="15" customHeight="1" s="21">
      <c r="A287" s="35" t="n"/>
      <c r="B287" s="24" t="n"/>
      <c r="C287" s="24" t="n"/>
      <c r="D287" s="24" t="n"/>
      <c r="E287" s="24" t="n"/>
      <c r="F287" s="24" t="n"/>
      <c r="G287" s="34" t="n"/>
      <c r="H287" s="24" t="n"/>
    </row>
    <row r="288" ht="15" customHeight="1" s="21">
      <c r="A288" s="35" t="n"/>
      <c r="B288" s="24" t="n"/>
      <c r="C288" s="24" t="n"/>
      <c r="D288" s="24" t="n"/>
      <c r="E288" s="24" t="n"/>
      <c r="F288" s="24" t="n"/>
      <c r="G288" s="34" t="n"/>
      <c r="H288" s="24" t="n"/>
    </row>
    <row r="289" ht="15" customHeight="1" s="21">
      <c r="A289" s="35" t="n"/>
      <c r="B289" s="24" t="n"/>
      <c r="C289" s="24" t="n"/>
      <c r="D289" s="24" t="n"/>
      <c r="E289" s="24" t="n"/>
      <c r="F289" s="24" t="n"/>
      <c r="G289" s="34" t="n"/>
      <c r="H289" s="24" t="n"/>
    </row>
    <row r="290" ht="15" customHeight="1" s="21">
      <c r="A290" s="35" t="n"/>
      <c r="B290" s="24" t="n"/>
      <c r="C290" s="24" t="n"/>
      <c r="D290" s="24" t="n"/>
      <c r="E290" s="24" t="n"/>
      <c r="F290" s="24" t="n"/>
      <c r="G290" s="34" t="n"/>
      <c r="H290" s="24" t="n"/>
    </row>
    <row r="291" ht="15" customHeight="1" s="21">
      <c r="A291" s="35" t="n"/>
      <c r="B291" s="24" t="n"/>
      <c r="C291" s="24" t="n"/>
      <c r="D291" s="24" t="n"/>
      <c r="E291" s="24" t="n"/>
      <c r="F291" s="24" t="n"/>
      <c r="G291" s="34" t="n"/>
      <c r="H291" s="24" t="n"/>
    </row>
    <row r="292" ht="15" customHeight="1" s="21">
      <c r="A292" s="35" t="n"/>
      <c r="B292" s="24" t="n"/>
      <c r="C292" s="24" t="n"/>
      <c r="D292" s="24" t="n"/>
      <c r="E292" s="24" t="n"/>
      <c r="F292" s="24" t="n"/>
      <c r="G292" s="34" t="n"/>
      <c r="H292" s="24" t="n"/>
    </row>
    <row r="293" ht="15" customHeight="1" s="21">
      <c r="A293" s="35" t="n"/>
      <c r="B293" s="24" t="n"/>
      <c r="C293" s="24" t="n"/>
      <c r="D293" s="24" t="n"/>
      <c r="E293" s="24" t="n"/>
      <c r="F293" s="24" t="n"/>
      <c r="G293" s="34" t="n"/>
      <c r="H293" s="24" t="n"/>
    </row>
    <row r="294" ht="15" customHeight="1" s="21">
      <c r="A294" s="35" t="n"/>
      <c r="B294" s="24" t="n"/>
      <c r="C294" s="24" t="n"/>
      <c r="D294" s="24" t="n"/>
      <c r="E294" s="24" t="n"/>
      <c r="F294" s="24" t="n"/>
      <c r="G294" s="34" t="n"/>
      <c r="H294" s="24" t="n"/>
    </row>
    <row r="295" ht="15" customHeight="1" s="21">
      <c r="A295" s="35" t="n"/>
      <c r="B295" s="24" t="n"/>
      <c r="C295" s="24" t="n"/>
      <c r="D295" s="24" t="n"/>
      <c r="E295" s="24" t="n"/>
      <c r="F295" s="24" t="n"/>
      <c r="G295" s="34" t="n"/>
      <c r="H295" s="24" t="n"/>
    </row>
    <row r="296" ht="15" customHeight="1" s="21">
      <c r="A296" s="35" t="n"/>
      <c r="B296" s="24" t="n"/>
      <c r="C296" s="24" t="n"/>
      <c r="D296" s="24" t="n"/>
      <c r="E296" s="24" t="n"/>
      <c r="F296" s="24" t="n"/>
      <c r="G296" s="34" t="n"/>
      <c r="H296" s="24" t="n"/>
    </row>
    <row r="297" ht="15" customHeight="1" s="21">
      <c r="A297" s="35" t="n"/>
      <c r="B297" s="24" t="n"/>
      <c r="C297" s="24" t="n"/>
      <c r="D297" s="24" t="n"/>
      <c r="E297" s="24" t="n"/>
      <c r="F297" s="24" t="n"/>
      <c r="G297" s="34" t="n"/>
      <c r="H297" s="24" t="n"/>
    </row>
    <row r="298" ht="15" customHeight="1" s="21">
      <c r="A298" s="35" t="n"/>
      <c r="B298" s="24" t="n"/>
      <c r="C298" s="24" t="n"/>
      <c r="D298" s="24" t="n"/>
      <c r="E298" s="24" t="n"/>
      <c r="F298" s="24" t="n"/>
      <c r="G298" s="34" t="n"/>
      <c r="H298" s="24" t="n"/>
    </row>
    <row r="299" ht="15" customHeight="1" s="21">
      <c r="A299" s="35" t="n"/>
      <c r="B299" s="24" t="n"/>
      <c r="C299" s="24" t="n"/>
      <c r="D299" s="24" t="n"/>
      <c r="E299" s="24" t="n"/>
      <c r="F299" s="24" t="n"/>
      <c r="G299" s="34" t="n"/>
      <c r="H299" s="24" t="n"/>
    </row>
    <row r="300" ht="15" customHeight="1" s="21">
      <c r="A300" s="35" t="n"/>
      <c r="B300" s="24" t="n"/>
      <c r="C300" s="24" t="n"/>
      <c r="D300" s="24" t="n"/>
      <c r="E300" s="24" t="n"/>
      <c r="F300" s="24" t="n"/>
      <c r="G300" s="34" t="n"/>
      <c r="H300" s="24" t="n"/>
    </row>
    <row r="301" ht="15" customHeight="1" s="21">
      <c r="A301" s="35" t="n"/>
      <c r="B301" s="24" t="n"/>
      <c r="C301" s="24" t="n"/>
      <c r="D301" s="24" t="n"/>
      <c r="E301" s="24" t="n"/>
      <c r="F301" s="24" t="n"/>
      <c r="G301" s="34" t="n"/>
      <c r="H301" s="24" t="n"/>
    </row>
    <row r="302" ht="15" customHeight="1" s="21">
      <c r="A302" s="35" t="n"/>
      <c r="B302" s="24" t="n"/>
      <c r="C302" s="24" t="n"/>
      <c r="D302" s="24" t="n"/>
      <c r="E302" s="24" t="n"/>
      <c r="F302" s="24" t="n"/>
      <c r="G302" s="34" t="n"/>
      <c r="H302" s="24" t="n"/>
    </row>
    <row r="303" ht="15" customHeight="1" s="21">
      <c r="A303" s="35" t="n"/>
      <c r="B303" s="24" t="n"/>
      <c r="C303" s="24" t="n"/>
      <c r="D303" s="24" t="n"/>
      <c r="E303" s="24" t="n"/>
      <c r="F303" s="24" t="n"/>
      <c r="G303" s="34" t="n"/>
      <c r="H303" s="24" t="n"/>
    </row>
    <row r="304" ht="15" customHeight="1" s="21">
      <c r="A304" s="35" t="n"/>
      <c r="B304" s="24" t="n"/>
      <c r="C304" s="24" t="n"/>
      <c r="D304" s="24" t="n"/>
      <c r="E304" s="24" t="n"/>
      <c r="F304" s="24" t="n"/>
      <c r="G304" s="34" t="n"/>
      <c r="H304" s="24" t="n"/>
    </row>
    <row r="305" ht="15" customHeight="1" s="21">
      <c r="A305" s="35" t="n"/>
      <c r="B305" s="24" t="n"/>
      <c r="C305" s="24" t="n"/>
      <c r="D305" s="24" t="n"/>
      <c r="E305" s="24" t="n"/>
      <c r="F305" s="24" t="n"/>
      <c r="G305" s="34" t="n"/>
      <c r="H305" s="24" t="n"/>
    </row>
    <row r="306" ht="15" customHeight="1" s="21">
      <c r="A306" s="35" t="n"/>
      <c r="B306" s="24" t="n"/>
      <c r="C306" s="24" t="n"/>
      <c r="D306" s="24" t="n"/>
      <c r="E306" s="24" t="n"/>
      <c r="F306" s="24" t="n"/>
      <c r="G306" s="34" t="n"/>
      <c r="H306" s="24" t="n"/>
    </row>
    <row r="307" ht="15" customHeight="1" s="21">
      <c r="A307" s="35" t="n"/>
      <c r="B307" s="24" t="n"/>
      <c r="C307" s="24" t="n"/>
      <c r="D307" s="24" t="n"/>
      <c r="E307" s="24" t="n"/>
      <c r="F307" s="24" t="n"/>
      <c r="G307" s="34" t="n"/>
      <c r="H307" s="24" t="n"/>
    </row>
    <row r="308" ht="15" customHeight="1" s="21">
      <c r="A308" s="35" t="n"/>
      <c r="B308" s="24" t="n"/>
      <c r="C308" s="24" t="n"/>
      <c r="D308" s="24" t="n"/>
      <c r="E308" s="24" t="n"/>
      <c r="F308" s="24" t="n"/>
      <c r="G308" s="34" t="n"/>
      <c r="H308" s="24" t="n"/>
    </row>
    <row r="309" ht="15" customHeight="1" s="21">
      <c r="A309" s="35" t="n"/>
      <c r="B309" s="24" t="n"/>
      <c r="C309" s="24" t="n"/>
      <c r="D309" s="24" t="n"/>
      <c r="E309" s="24" t="n"/>
      <c r="F309" s="24" t="n"/>
      <c r="G309" s="34" t="n"/>
      <c r="H309" s="24" t="n"/>
    </row>
    <row r="310" ht="15" customHeight="1" s="21">
      <c r="A310" s="35" t="n"/>
      <c r="B310" s="24" t="n"/>
      <c r="C310" s="24" t="n"/>
      <c r="D310" s="24" t="n"/>
      <c r="E310" s="24" t="n"/>
      <c r="F310" s="24" t="n"/>
      <c r="G310" s="34" t="n"/>
      <c r="H310" s="24" t="n"/>
    </row>
    <row r="311" ht="15" customHeight="1" s="21">
      <c r="A311" s="35" t="n"/>
      <c r="B311" s="24" t="n"/>
      <c r="C311" s="24" t="n"/>
      <c r="D311" s="24" t="n"/>
      <c r="E311" s="24" t="n"/>
      <c r="F311" s="24" t="n"/>
      <c r="G311" s="34" t="n"/>
      <c r="H311" s="24" t="n"/>
    </row>
    <row r="312" ht="15" customHeight="1" s="21">
      <c r="A312" s="35" t="n"/>
      <c r="B312" s="24" t="n"/>
      <c r="C312" s="24" t="n"/>
      <c r="D312" s="24" t="n"/>
      <c r="E312" s="24" t="n"/>
      <c r="F312" s="24" t="n"/>
      <c r="G312" s="34" t="n"/>
      <c r="H312" s="24" t="n"/>
    </row>
    <row r="313" ht="15" customHeight="1" s="21">
      <c r="A313" s="35" t="n"/>
      <c r="B313" s="24" t="n"/>
      <c r="C313" s="24" t="n"/>
      <c r="D313" s="24" t="n"/>
      <c r="E313" s="24" t="n"/>
      <c r="F313" s="24" t="n"/>
      <c r="G313" s="34" t="n"/>
      <c r="H313" s="24" t="n"/>
    </row>
    <row r="314" ht="15" customHeight="1" s="21">
      <c r="A314" s="35" t="n"/>
      <c r="B314" s="24" t="n"/>
      <c r="C314" s="24" t="n"/>
      <c r="D314" s="24" t="n"/>
      <c r="E314" s="24" t="n"/>
      <c r="F314" s="24" t="n"/>
      <c r="G314" s="34" t="n"/>
      <c r="H314" s="24" t="n"/>
    </row>
    <row r="315" ht="15" customHeight="1" s="21">
      <c r="A315" s="35" t="n"/>
      <c r="B315" s="24" t="n"/>
      <c r="C315" s="24" t="n"/>
      <c r="D315" s="24" t="n"/>
      <c r="E315" s="24" t="n"/>
      <c r="F315" s="24" t="n"/>
      <c r="G315" s="34" t="n"/>
      <c r="H315" s="24" t="n"/>
    </row>
    <row r="316" ht="15" customHeight="1" s="21">
      <c r="A316" s="35" t="n"/>
      <c r="B316" s="24" t="n"/>
      <c r="C316" s="24" t="n"/>
      <c r="D316" s="24" t="n"/>
      <c r="E316" s="24" t="n"/>
      <c r="F316" s="24" t="n"/>
      <c r="G316" s="34" t="n"/>
      <c r="H316" s="24" t="n"/>
    </row>
    <row r="317" ht="15" customHeight="1" s="21">
      <c r="A317" s="35" t="n"/>
      <c r="B317" s="24" t="n"/>
      <c r="C317" s="24" t="n"/>
      <c r="D317" s="24" t="n"/>
      <c r="E317" s="24" t="n"/>
      <c r="F317" s="24" t="n"/>
      <c r="G317" s="34" t="n"/>
      <c r="H317" s="24" t="n"/>
    </row>
    <row r="318" ht="15" customHeight="1" s="21">
      <c r="A318" s="35" t="n"/>
      <c r="B318" s="24" t="n"/>
      <c r="C318" s="24" t="n"/>
      <c r="D318" s="24" t="n"/>
      <c r="E318" s="24" t="n"/>
      <c r="F318" s="24" t="n"/>
      <c r="G318" s="34" t="n"/>
      <c r="H318" s="24" t="n"/>
    </row>
    <row r="319" ht="15" customHeight="1" s="21">
      <c r="A319" s="35" t="n"/>
      <c r="B319" s="24" t="n"/>
      <c r="C319" s="24" t="n"/>
      <c r="D319" s="24" t="n"/>
      <c r="E319" s="24" t="n"/>
      <c r="F319" s="24" t="n"/>
      <c r="G319" s="34" t="n"/>
      <c r="H319" s="24" t="n"/>
    </row>
    <row r="320" ht="15" customHeight="1" s="21">
      <c r="A320" s="35" t="n"/>
      <c r="B320" s="24" t="n"/>
      <c r="C320" s="24" t="n"/>
      <c r="D320" s="24" t="n"/>
      <c r="E320" s="24" t="n"/>
      <c r="F320" s="24" t="n"/>
      <c r="G320" s="34" t="n"/>
      <c r="H320" s="24" t="n"/>
    </row>
    <row r="321" ht="15" customHeight="1" s="21">
      <c r="A321" s="35" t="n"/>
      <c r="B321" s="24" t="n"/>
      <c r="C321" s="24" t="n"/>
      <c r="D321" s="24" t="n"/>
      <c r="E321" s="24" t="n"/>
      <c r="F321" s="24" t="n"/>
      <c r="G321" s="34" t="n"/>
      <c r="H321" s="24" t="n"/>
    </row>
    <row r="322" ht="15" customHeight="1" s="21">
      <c r="A322" s="35" t="n"/>
      <c r="B322" s="24" t="n"/>
      <c r="C322" s="24" t="n"/>
      <c r="D322" s="24" t="n"/>
      <c r="E322" s="24" t="n"/>
      <c r="F322" s="24" t="n"/>
      <c r="G322" s="34" t="n"/>
      <c r="H322" s="24" t="n"/>
    </row>
    <row r="323" ht="15" customHeight="1" s="21">
      <c r="A323" s="35" t="n"/>
      <c r="B323" s="24" t="n"/>
      <c r="C323" s="24" t="n"/>
      <c r="D323" s="24" t="n"/>
      <c r="E323" s="24" t="n"/>
      <c r="F323" s="24" t="n"/>
      <c r="G323" s="34" t="n"/>
      <c r="H323" s="24" t="n"/>
    </row>
    <row r="324" ht="15" customHeight="1" s="21">
      <c r="A324" s="35" t="n"/>
      <c r="B324" s="24" t="n"/>
      <c r="C324" s="24" t="n"/>
      <c r="D324" s="24" t="n"/>
      <c r="E324" s="24" t="n"/>
      <c r="F324" s="24" t="n"/>
      <c r="G324" s="34" t="n"/>
      <c r="H324" s="24" t="n"/>
    </row>
    <row r="325" ht="15" customHeight="1" s="21">
      <c r="A325" s="35" t="n"/>
      <c r="B325" s="24" t="n"/>
      <c r="C325" s="24" t="n"/>
      <c r="D325" s="24" t="n"/>
      <c r="E325" s="24" t="n"/>
      <c r="F325" s="24" t="n"/>
      <c r="G325" s="34" t="n"/>
      <c r="H325" s="24" t="n"/>
    </row>
    <row r="326" ht="15" customHeight="1" s="21">
      <c r="A326" s="35" t="n"/>
      <c r="B326" s="24" t="n"/>
      <c r="C326" s="24" t="n"/>
      <c r="D326" s="24" t="n"/>
      <c r="E326" s="24" t="n"/>
      <c r="F326" s="24" t="n"/>
      <c r="G326" s="34" t="n"/>
      <c r="H326" s="24" t="n"/>
    </row>
    <row r="327" ht="15" customHeight="1" s="21">
      <c r="A327" s="35" t="n"/>
      <c r="B327" s="24" t="n"/>
      <c r="C327" s="24" t="n"/>
      <c r="D327" s="24" t="n"/>
      <c r="E327" s="24" t="n"/>
      <c r="F327" s="24" t="n"/>
      <c r="G327" s="34" t="n"/>
      <c r="H327" s="24" t="n"/>
    </row>
    <row r="328" ht="15" customHeight="1" s="21">
      <c r="A328" s="35" t="n"/>
      <c r="B328" s="24" t="n"/>
      <c r="C328" s="24" t="n"/>
      <c r="D328" s="24" t="n"/>
      <c r="E328" s="24" t="n"/>
      <c r="F328" s="24" t="n"/>
      <c r="G328" s="34" t="n"/>
      <c r="H328" s="24" t="n"/>
    </row>
    <row r="329" ht="15" customHeight="1" s="21">
      <c r="A329" s="35" t="n"/>
      <c r="B329" s="24" t="n"/>
      <c r="C329" s="24" t="n"/>
      <c r="D329" s="24" t="n"/>
      <c r="E329" s="24" t="n"/>
      <c r="F329" s="24" t="n"/>
      <c r="G329" s="34" t="n"/>
      <c r="H329" s="24" t="n"/>
    </row>
    <row r="330" ht="15" customHeight="1" s="21">
      <c r="A330" s="35" t="n"/>
      <c r="B330" s="24" t="n"/>
      <c r="C330" s="24" t="n"/>
      <c r="D330" s="24" t="n"/>
      <c r="E330" s="24" t="n"/>
      <c r="F330" s="24" t="n"/>
      <c r="G330" s="34" t="n"/>
      <c r="H330" s="24" t="n"/>
    </row>
    <row r="331" ht="15" customHeight="1" s="21">
      <c r="A331" s="35" t="n"/>
      <c r="B331" s="24" t="n"/>
      <c r="C331" s="24" t="n"/>
      <c r="D331" s="24" t="n"/>
      <c r="E331" s="24" t="n"/>
      <c r="F331" s="24" t="n"/>
      <c r="G331" s="34" t="n"/>
      <c r="H331" s="24" t="n"/>
    </row>
    <row r="332" ht="15" customHeight="1" s="21">
      <c r="A332" s="35" t="n"/>
      <c r="B332" s="24" t="n"/>
      <c r="C332" s="24" t="n"/>
      <c r="D332" s="24" t="n"/>
      <c r="E332" s="24" t="n"/>
      <c r="F332" s="24" t="n"/>
      <c r="G332" s="34" t="n"/>
      <c r="H332" s="24" t="n"/>
    </row>
    <row r="333" ht="15" customHeight="1" s="21">
      <c r="A333" s="35" t="n"/>
      <c r="B333" s="24" t="n"/>
      <c r="C333" s="24" t="n"/>
      <c r="D333" s="24" t="n"/>
      <c r="E333" s="24" t="n"/>
      <c r="F333" s="24" t="n"/>
      <c r="G333" s="34" t="n"/>
      <c r="H333" s="24" t="n"/>
    </row>
    <row r="334" ht="15" customHeight="1" s="21">
      <c r="A334" s="35" t="n"/>
      <c r="B334" s="24" t="n"/>
      <c r="C334" s="24" t="n"/>
      <c r="D334" s="24" t="n"/>
      <c r="E334" s="24" t="n"/>
      <c r="F334" s="24" t="n"/>
      <c r="G334" s="34" t="n"/>
      <c r="H334" s="24" t="n"/>
    </row>
    <row r="335" ht="15" customHeight="1" s="21">
      <c r="A335" s="35" t="n"/>
      <c r="B335" s="24" t="n"/>
      <c r="C335" s="24" t="n"/>
      <c r="D335" s="24" t="n"/>
      <c r="E335" s="24" t="n"/>
      <c r="F335" s="24" t="n"/>
      <c r="G335" s="34" t="n"/>
      <c r="H335" s="24" t="n"/>
    </row>
    <row r="336" ht="15" customHeight="1" s="21">
      <c r="A336" s="35" t="n"/>
      <c r="B336" s="24" t="n"/>
      <c r="C336" s="24" t="n"/>
      <c r="D336" s="24" t="n"/>
      <c r="E336" s="24" t="n"/>
      <c r="F336" s="24" t="n"/>
      <c r="G336" s="34" t="n"/>
      <c r="H336" s="24" t="n"/>
    </row>
    <row r="337" ht="15" customHeight="1" s="21">
      <c r="A337" s="35" t="n"/>
      <c r="B337" s="24" t="n"/>
      <c r="C337" s="24" t="n"/>
      <c r="D337" s="24" t="n"/>
      <c r="E337" s="24" t="n"/>
      <c r="F337" s="24" t="n"/>
      <c r="G337" s="34" t="n"/>
      <c r="H337" s="24" t="n"/>
    </row>
    <row r="338" ht="15" customHeight="1" s="21">
      <c r="A338" s="35" t="n"/>
      <c r="B338" s="24" t="n"/>
      <c r="C338" s="24" t="n"/>
      <c r="D338" s="24" t="n"/>
      <c r="E338" s="24" t="n"/>
      <c r="F338" s="24" t="n"/>
      <c r="G338" s="34" t="n"/>
      <c r="H338" s="24" t="n"/>
    </row>
    <row r="339" ht="15" customHeight="1" s="21">
      <c r="A339" s="35" t="n"/>
      <c r="B339" s="24" t="n"/>
      <c r="C339" s="24" t="n"/>
      <c r="D339" s="24" t="n"/>
      <c r="E339" s="24" t="n"/>
      <c r="F339" s="24" t="n"/>
      <c r="G339" s="34" t="n"/>
      <c r="H339" s="24" t="n"/>
    </row>
    <row r="340" ht="15" customHeight="1" s="21">
      <c r="A340" s="35" t="n"/>
      <c r="B340" s="24" t="n"/>
      <c r="C340" s="24" t="n"/>
      <c r="D340" s="24" t="n"/>
      <c r="E340" s="24" t="n"/>
      <c r="F340" s="24" t="n"/>
      <c r="G340" s="34" t="n"/>
      <c r="H340" s="24" t="n"/>
    </row>
    <row r="341" ht="15" customHeight="1" s="21">
      <c r="A341" s="35" t="n"/>
      <c r="B341" s="24" t="n"/>
      <c r="C341" s="24" t="n"/>
      <c r="D341" s="24" t="n"/>
      <c r="E341" s="24" t="n"/>
      <c r="F341" s="24" t="n"/>
      <c r="G341" s="34" t="n"/>
      <c r="H341" s="24" t="n"/>
    </row>
    <row r="342" ht="15" customHeight="1" s="21">
      <c r="A342" s="35" t="n"/>
      <c r="B342" s="24" t="n"/>
      <c r="C342" s="24" t="n"/>
      <c r="D342" s="24" t="n"/>
      <c r="E342" s="24" t="n"/>
      <c r="F342" s="24" t="n"/>
      <c r="G342" s="34" t="n"/>
      <c r="H342" s="24" t="n"/>
    </row>
    <row r="343" ht="15" customHeight="1" s="21">
      <c r="A343" s="35" t="n"/>
      <c r="B343" s="24" t="n"/>
      <c r="C343" s="24" t="n"/>
      <c r="D343" s="24" t="n"/>
      <c r="E343" s="24" t="n"/>
      <c r="F343" s="24" t="n"/>
      <c r="G343" s="34" t="n"/>
      <c r="H343" s="24" t="n"/>
    </row>
    <row r="344" ht="15" customHeight="1" s="21">
      <c r="A344" s="35" t="n"/>
      <c r="B344" s="24" t="n"/>
      <c r="C344" s="24" t="n"/>
      <c r="D344" s="24" t="n"/>
      <c r="E344" s="24" t="n"/>
      <c r="F344" s="24" t="n"/>
      <c r="G344" s="34" t="n"/>
      <c r="H344" s="24" t="n"/>
    </row>
    <row r="345" ht="15" customHeight="1" s="21">
      <c r="A345" s="35" t="n"/>
      <c r="B345" s="24" t="n"/>
      <c r="C345" s="24" t="n"/>
      <c r="D345" s="24" t="n"/>
      <c r="E345" s="24" t="n"/>
      <c r="F345" s="24" t="n"/>
      <c r="G345" s="34" t="n"/>
      <c r="H345" s="24" t="n"/>
    </row>
    <row r="346" ht="15" customHeight="1" s="21">
      <c r="A346" s="35" t="n"/>
      <c r="B346" s="24" t="n"/>
      <c r="C346" s="24" t="n"/>
      <c r="D346" s="24" t="n"/>
      <c r="E346" s="24" t="n"/>
      <c r="F346" s="24" t="n"/>
      <c r="G346" s="34" t="n"/>
      <c r="H346" s="24" t="n"/>
    </row>
    <row r="347" ht="15" customHeight="1" s="21">
      <c r="A347" s="35" t="n"/>
      <c r="B347" s="24" t="n"/>
      <c r="C347" s="24" t="n"/>
      <c r="D347" s="24" t="n"/>
      <c r="E347" s="24" t="n"/>
      <c r="F347" s="24" t="n"/>
      <c r="G347" s="34" t="n"/>
      <c r="H347" s="24" t="n"/>
    </row>
    <row r="348" ht="15" customHeight="1" s="21">
      <c r="A348" s="35" t="n"/>
      <c r="B348" s="24" t="n"/>
      <c r="C348" s="24" t="n"/>
      <c r="D348" s="24" t="n"/>
      <c r="E348" s="24" t="n"/>
      <c r="F348" s="24" t="n"/>
      <c r="G348" s="34" t="n"/>
      <c r="H348" s="24" t="n"/>
    </row>
    <row r="349" ht="15" customHeight="1" s="21">
      <c r="A349" s="35" t="n"/>
      <c r="B349" s="24" t="n"/>
      <c r="C349" s="24" t="n"/>
      <c r="D349" s="24" t="n"/>
      <c r="E349" s="24" t="n"/>
      <c r="F349" s="24" t="n"/>
      <c r="G349" s="34" t="n"/>
      <c r="H349" s="24" t="n"/>
    </row>
    <row r="350" ht="15" customHeight="1" s="21">
      <c r="A350" s="35" t="n"/>
      <c r="B350" s="24" t="n"/>
      <c r="C350" s="24" t="n"/>
      <c r="D350" s="24" t="n"/>
      <c r="E350" s="24" t="n"/>
      <c r="F350" s="24" t="n"/>
      <c r="G350" s="34" t="n"/>
      <c r="H350" s="24" t="n"/>
    </row>
    <row r="351" ht="15" customHeight="1" s="21">
      <c r="A351" s="35" t="n"/>
      <c r="B351" s="24" t="n"/>
      <c r="C351" s="24" t="n"/>
      <c r="D351" s="24" t="n"/>
      <c r="E351" s="24" t="n"/>
      <c r="F351" s="24" t="n"/>
      <c r="G351" s="34" t="n"/>
      <c r="H351" s="24" t="n"/>
    </row>
    <row r="352" ht="15" customHeight="1" s="21">
      <c r="A352" s="35" t="n"/>
      <c r="B352" s="24" t="n"/>
      <c r="C352" s="24" t="n"/>
      <c r="D352" s="24" t="n"/>
      <c r="E352" s="24" t="n"/>
      <c r="F352" s="24" t="n"/>
      <c r="G352" s="34" t="n"/>
      <c r="H352" s="24" t="n"/>
    </row>
    <row r="353" ht="15" customHeight="1" s="21">
      <c r="A353" s="35" t="n"/>
      <c r="B353" s="24" t="n"/>
      <c r="C353" s="24" t="n"/>
      <c r="D353" s="24" t="n"/>
      <c r="E353" s="24" t="n"/>
      <c r="F353" s="24" t="n"/>
      <c r="G353" s="34" t="n"/>
      <c r="H353" s="24" t="n"/>
    </row>
    <row r="354" ht="15" customHeight="1" s="21">
      <c r="A354" s="35" t="n"/>
      <c r="B354" s="24" t="n"/>
      <c r="C354" s="24" t="n"/>
      <c r="D354" s="24" t="n"/>
      <c r="E354" s="24" t="n"/>
      <c r="F354" s="24" t="n"/>
      <c r="G354" s="34" t="n"/>
      <c r="H354" s="24" t="n"/>
    </row>
    <row r="355" ht="15" customHeight="1" s="21">
      <c r="A355" s="35" t="n"/>
      <c r="B355" s="24" t="n"/>
      <c r="C355" s="24" t="n"/>
      <c r="D355" s="24" t="n"/>
      <c r="E355" s="24" t="n"/>
      <c r="F355" s="24" t="n"/>
      <c r="G355" s="34" t="n"/>
      <c r="H355" s="24" t="n"/>
    </row>
    <row r="356" ht="15" customHeight="1" s="21">
      <c r="A356" s="35" t="n"/>
      <c r="B356" s="24" t="n"/>
      <c r="C356" s="24" t="n"/>
      <c r="D356" s="24" t="n"/>
      <c r="E356" s="24" t="n"/>
      <c r="F356" s="24" t="n"/>
      <c r="G356" s="34" t="n"/>
      <c r="H356" s="24" t="n"/>
    </row>
    <row r="357" ht="15" customHeight="1" s="21">
      <c r="A357" s="35" t="n"/>
      <c r="B357" s="24" t="n"/>
      <c r="C357" s="24" t="n"/>
      <c r="D357" s="24" t="n"/>
      <c r="E357" s="24" t="n"/>
      <c r="F357" s="24" t="n"/>
      <c r="G357" s="34" t="n"/>
      <c r="H357" s="24" t="n"/>
    </row>
    <row r="358" ht="15" customHeight="1" s="21">
      <c r="A358" s="35" t="n"/>
      <c r="B358" s="24" t="n"/>
      <c r="C358" s="24" t="n"/>
      <c r="D358" s="24" t="n"/>
      <c r="E358" s="24" t="n"/>
      <c r="F358" s="24" t="n"/>
      <c r="G358" s="34" t="n"/>
      <c r="H358" s="24" t="n"/>
    </row>
    <row r="359" ht="15" customHeight="1" s="21">
      <c r="A359" s="35" t="n"/>
      <c r="B359" s="24" t="n"/>
      <c r="C359" s="24" t="n"/>
      <c r="D359" s="24" t="n"/>
      <c r="E359" s="24" t="n"/>
      <c r="F359" s="24" t="n"/>
      <c r="G359" s="34" t="n"/>
      <c r="H359" s="24" t="n"/>
    </row>
    <row r="360" ht="15" customHeight="1" s="21">
      <c r="A360" s="35" t="n"/>
      <c r="B360" s="24" t="n"/>
      <c r="C360" s="24" t="n"/>
      <c r="D360" s="24" t="n"/>
      <c r="E360" s="24" t="n"/>
      <c r="F360" s="24" t="n"/>
      <c r="G360" s="34" t="n"/>
      <c r="H360" s="24" t="n"/>
    </row>
    <row r="361" ht="15" customHeight="1" s="21">
      <c r="A361" s="35" t="n"/>
      <c r="B361" s="24" t="n"/>
      <c r="C361" s="24" t="n"/>
      <c r="D361" s="24" t="n"/>
      <c r="E361" s="24" t="n"/>
      <c r="F361" s="24" t="n"/>
      <c r="G361" s="34" t="n"/>
      <c r="H361" s="24" t="n"/>
    </row>
    <row r="362" ht="15" customHeight="1" s="21">
      <c r="A362" s="35" t="n"/>
      <c r="B362" s="24" t="n"/>
      <c r="C362" s="24" t="n"/>
      <c r="D362" s="24" t="n"/>
      <c r="E362" s="24" t="n"/>
      <c r="F362" s="24" t="n"/>
      <c r="G362" s="34" t="n"/>
      <c r="H362" s="24" t="n"/>
    </row>
    <row r="363" ht="15" customHeight="1" s="21">
      <c r="A363" s="35" t="n"/>
      <c r="B363" s="24" t="n"/>
      <c r="C363" s="24" t="n"/>
      <c r="D363" s="24" t="n"/>
      <c r="E363" s="24" t="n"/>
      <c r="F363" s="24" t="n"/>
      <c r="G363" s="34" t="n"/>
      <c r="H363" s="24" t="n"/>
    </row>
    <row r="364" ht="15" customHeight="1" s="21">
      <c r="A364" s="35" t="n"/>
      <c r="B364" s="24" t="n"/>
      <c r="C364" s="24" t="n"/>
      <c r="D364" s="24" t="n"/>
      <c r="E364" s="24" t="n"/>
      <c r="F364" s="24" t="n"/>
      <c r="G364" s="34" t="n"/>
      <c r="H364" s="24" t="n"/>
    </row>
    <row r="365" ht="15" customHeight="1" s="21">
      <c r="A365" s="35" t="n"/>
      <c r="B365" s="24" t="n"/>
      <c r="C365" s="24" t="n"/>
      <c r="D365" s="24" t="n"/>
      <c r="E365" s="24" t="n"/>
      <c r="F365" s="24" t="n"/>
      <c r="G365" s="34" t="n"/>
      <c r="H365" s="24" t="n"/>
    </row>
    <row r="366" ht="15" customHeight="1" s="21">
      <c r="A366" s="35" t="n"/>
      <c r="B366" s="24" t="n"/>
      <c r="C366" s="24" t="n"/>
      <c r="D366" s="24" t="n"/>
      <c r="E366" s="24" t="n"/>
      <c r="F366" s="24" t="n"/>
      <c r="G366" s="34" t="n"/>
      <c r="H366" s="24" t="n"/>
    </row>
    <row r="367" ht="15" customHeight="1" s="21">
      <c r="A367" s="35" t="n"/>
      <c r="B367" s="24" t="n"/>
      <c r="C367" s="24" t="n"/>
      <c r="D367" s="24" t="n"/>
      <c r="E367" s="24" t="n"/>
      <c r="F367" s="24" t="n"/>
      <c r="G367" s="34" t="n"/>
      <c r="H367" s="24" t="n"/>
    </row>
    <row r="368" ht="15" customHeight="1" s="21">
      <c r="A368" s="35" t="n"/>
      <c r="B368" s="24" t="n"/>
      <c r="C368" s="24" t="n"/>
      <c r="D368" s="24" t="n"/>
      <c r="E368" s="24" t="n"/>
      <c r="F368" s="24" t="n"/>
      <c r="G368" s="34" t="n"/>
      <c r="H368" s="24" t="n"/>
    </row>
    <row r="369" ht="15" customHeight="1" s="21">
      <c r="A369" s="35" t="n"/>
      <c r="B369" s="24" t="n"/>
      <c r="C369" s="24" t="n"/>
      <c r="D369" s="24" t="n"/>
      <c r="E369" s="24" t="n"/>
      <c r="F369" s="24" t="n"/>
      <c r="G369" s="34" t="n"/>
      <c r="H369" s="24" t="n"/>
    </row>
    <row r="370" ht="15" customHeight="1" s="21">
      <c r="A370" s="35" t="n"/>
      <c r="B370" s="24" t="n"/>
      <c r="C370" s="24" t="n"/>
      <c r="D370" s="24" t="n"/>
      <c r="E370" s="24" t="n"/>
      <c r="F370" s="24" t="n"/>
      <c r="G370" s="34" t="n"/>
      <c r="H370" s="24" t="n"/>
    </row>
    <row r="371" ht="15" customHeight="1" s="21">
      <c r="A371" s="35" t="n"/>
      <c r="B371" s="24" t="n"/>
      <c r="C371" s="24" t="n"/>
      <c r="D371" s="24" t="n"/>
      <c r="E371" s="24" t="n"/>
      <c r="F371" s="24" t="n"/>
      <c r="G371" s="34" t="n"/>
      <c r="H371" s="24" t="n"/>
    </row>
    <row r="372" ht="15" customHeight="1" s="21">
      <c r="A372" s="35" t="n"/>
      <c r="B372" s="24" t="n"/>
      <c r="C372" s="24" t="n"/>
      <c r="D372" s="24" t="n"/>
      <c r="E372" s="24" t="n"/>
      <c r="F372" s="24" t="n"/>
      <c r="G372" s="34" t="n"/>
      <c r="H372" s="24" t="n"/>
    </row>
    <row r="373" ht="15" customHeight="1" s="21">
      <c r="A373" s="35" t="n"/>
      <c r="B373" s="24" t="n"/>
      <c r="C373" s="24" t="n"/>
      <c r="D373" s="24" t="n"/>
      <c r="E373" s="24" t="n"/>
      <c r="F373" s="24" t="n"/>
      <c r="G373" s="34" t="n"/>
      <c r="H373" s="24" t="n"/>
    </row>
    <row r="374" ht="15" customHeight="1" s="21">
      <c r="A374" s="35" t="n"/>
      <c r="B374" s="24" t="n"/>
      <c r="C374" s="24" t="n"/>
      <c r="D374" s="24" t="n"/>
      <c r="E374" s="24" t="n"/>
      <c r="F374" s="24" t="n"/>
      <c r="G374" s="34" t="n"/>
      <c r="H374" s="24" t="n"/>
    </row>
    <row r="375" ht="15" customHeight="1" s="21">
      <c r="A375" s="35" t="n"/>
      <c r="B375" s="24" t="n"/>
      <c r="C375" s="24" t="n"/>
      <c r="D375" s="24" t="n"/>
      <c r="E375" s="24" t="n"/>
      <c r="F375" s="24" t="n"/>
      <c r="G375" s="34" t="n"/>
      <c r="H375" s="24" t="n"/>
    </row>
    <row r="376" ht="15" customHeight="1" s="21">
      <c r="A376" s="35" t="n"/>
      <c r="B376" s="24" t="n"/>
      <c r="C376" s="24" t="n"/>
      <c r="D376" s="24" t="n"/>
      <c r="E376" s="24" t="n"/>
      <c r="F376" s="24" t="n"/>
      <c r="G376" s="34" t="n"/>
      <c r="H376" s="24" t="n"/>
    </row>
    <row r="377" ht="15" customHeight="1" s="21">
      <c r="A377" s="35" t="n"/>
      <c r="B377" s="24" t="n"/>
      <c r="C377" s="24" t="n"/>
      <c r="D377" s="24" t="n"/>
      <c r="E377" s="24" t="n"/>
      <c r="F377" s="24" t="n"/>
      <c r="G377" s="34" t="n"/>
      <c r="H377" s="24" t="n"/>
    </row>
    <row r="378" ht="15" customHeight="1" s="21">
      <c r="A378" s="35" t="n"/>
      <c r="B378" s="24" t="n"/>
      <c r="C378" s="24" t="n"/>
      <c r="D378" s="24" t="n"/>
      <c r="E378" s="24" t="n"/>
      <c r="F378" s="24" t="n"/>
      <c r="G378" s="34" t="n"/>
      <c r="H378" s="24" t="n"/>
    </row>
    <row r="379" ht="15" customHeight="1" s="21">
      <c r="A379" s="35" t="n"/>
      <c r="B379" s="24" t="n"/>
      <c r="C379" s="24" t="n"/>
      <c r="D379" s="24" t="n"/>
      <c r="E379" s="24" t="n"/>
      <c r="F379" s="24" t="n"/>
      <c r="G379" s="34" t="n"/>
      <c r="H379" s="24" t="n"/>
    </row>
    <row r="380" ht="15" customHeight="1" s="21">
      <c r="A380" s="35" t="n"/>
      <c r="B380" s="24" t="n"/>
      <c r="C380" s="24" t="n"/>
      <c r="D380" s="24" t="n"/>
      <c r="E380" s="24" t="n"/>
      <c r="F380" s="24" t="n"/>
      <c r="G380" s="34" t="n"/>
      <c r="H380" s="24" t="n"/>
    </row>
    <row r="381" ht="15" customHeight="1" s="21">
      <c r="A381" s="35" t="n"/>
      <c r="B381" s="24" t="n"/>
      <c r="C381" s="24" t="n"/>
      <c r="D381" s="24" t="n"/>
      <c r="E381" s="24" t="n"/>
      <c r="F381" s="24" t="n"/>
      <c r="G381" s="34" t="n"/>
      <c r="H381" s="24" t="n"/>
    </row>
    <row r="382" ht="15" customHeight="1" s="21">
      <c r="A382" s="35" t="n"/>
      <c r="B382" s="24" t="n"/>
      <c r="C382" s="24" t="n"/>
      <c r="D382" s="24" t="n"/>
      <c r="E382" s="24" t="n"/>
      <c r="F382" s="24" t="n"/>
      <c r="G382" s="34" t="n"/>
      <c r="H382" s="24" t="n"/>
    </row>
    <row r="383" ht="15" customHeight="1" s="21">
      <c r="A383" s="35" t="n"/>
      <c r="B383" s="24" t="n"/>
      <c r="C383" s="24" t="n"/>
      <c r="D383" s="24" t="n"/>
      <c r="E383" s="24" t="n"/>
      <c r="F383" s="24" t="n"/>
      <c r="G383" s="34" t="n"/>
      <c r="H383" s="24" t="n"/>
    </row>
    <row r="384" ht="15" customHeight="1" s="21">
      <c r="A384" s="35" t="n"/>
      <c r="B384" s="24" t="n"/>
      <c r="C384" s="24" t="n"/>
      <c r="D384" s="24" t="n"/>
      <c r="E384" s="24" t="n"/>
      <c r="F384" s="24" t="n"/>
      <c r="G384" s="34" t="n"/>
      <c r="H384" s="24" t="n"/>
    </row>
    <row r="385" ht="15" customHeight="1" s="21">
      <c r="A385" s="35" t="n"/>
      <c r="B385" s="24" t="n"/>
      <c r="C385" s="24" t="n"/>
      <c r="D385" s="24" t="n"/>
      <c r="E385" s="24" t="n"/>
      <c r="F385" s="24" t="n"/>
      <c r="G385" s="34" t="n"/>
      <c r="H385" s="24" t="n"/>
    </row>
    <row r="386" ht="15" customHeight="1" s="21">
      <c r="A386" s="35" t="n"/>
      <c r="B386" s="24" t="n"/>
      <c r="C386" s="24" t="n"/>
      <c r="D386" s="24" t="n"/>
      <c r="E386" s="24" t="n"/>
      <c r="F386" s="24" t="n"/>
      <c r="G386" s="34" t="n"/>
      <c r="H386" s="24" t="n"/>
    </row>
    <row r="387" ht="15" customHeight="1" s="21">
      <c r="A387" s="35" t="n"/>
      <c r="B387" s="24" t="n"/>
      <c r="C387" s="24" t="n"/>
      <c r="D387" s="24" t="n"/>
      <c r="E387" s="24" t="n"/>
      <c r="F387" s="24" t="n"/>
      <c r="G387" s="34" t="n"/>
      <c r="H387" s="24" t="n"/>
    </row>
    <row r="388" ht="15" customHeight="1" s="21">
      <c r="A388" s="35" t="n"/>
      <c r="B388" s="24" t="n"/>
      <c r="C388" s="24" t="n"/>
      <c r="D388" s="24" t="n"/>
      <c r="E388" s="24" t="n"/>
      <c r="F388" s="24" t="n"/>
      <c r="G388" s="34" t="n"/>
      <c r="H388" s="24" t="n"/>
    </row>
    <row r="389" ht="15" customHeight="1" s="21">
      <c r="A389" s="35" t="n"/>
      <c r="B389" s="24" t="n"/>
      <c r="C389" s="24" t="n"/>
      <c r="D389" s="24" t="n"/>
      <c r="E389" s="24" t="n"/>
      <c r="F389" s="24" t="n"/>
      <c r="G389" s="34" t="n"/>
      <c r="H389" s="24" t="n"/>
    </row>
    <row r="390" ht="15" customHeight="1" s="21">
      <c r="A390" s="35" t="n"/>
      <c r="B390" s="24" t="n"/>
      <c r="C390" s="24" t="n"/>
      <c r="D390" s="24" t="n"/>
      <c r="E390" s="24" t="n"/>
      <c r="F390" s="24" t="n"/>
      <c r="G390" s="34" t="n"/>
      <c r="H390" s="24" t="n"/>
    </row>
    <row r="391" ht="15" customHeight="1" s="21">
      <c r="A391" s="35" t="n"/>
      <c r="B391" s="24" t="n"/>
      <c r="C391" s="24" t="n"/>
      <c r="D391" s="24" t="n"/>
      <c r="E391" s="24" t="n"/>
      <c r="F391" s="24" t="n"/>
      <c r="G391" s="34" t="n"/>
      <c r="H391" s="24" t="n"/>
    </row>
    <row r="392" ht="15" customHeight="1" s="21">
      <c r="A392" s="35" t="n"/>
      <c r="B392" s="24" t="n"/>
      <c r="C392" s="24" t="n"/>
      <c r="D392" s="24" t="n"/>
      <c r="E392" s="24" t="n"/>
      <c r="F392" s="24" t="n"/>
      <c r="G392" s="34" t="n"/>
      <c r="H392" s="24" t="n"/>
    </row>
    <row r="393" ht="15" customHeight="1" s="21">
      <c r="A393" s="35" t="n"/>
      <c r="B393" s="24" t="n"/>
      <c r="C393" s="24" t="n"/>
      <c r="D393" s="24" t="n"/>
      <c r="E393" s="24" t="n"/>
      <c r="F393" s="24" t="n"/>
      <c r="G393" s="34" t="n"/>
      <c r="H393" s="24" t="n"/>
    </row>
    <row r="394" ht="15" customHeight="1" s="21">
      <c r="A394" s="35" t="n"/>
      <c r="B394" s="24" t="n"/>
      <c r="C394" s="24" t="n"/>
      <c r="D394" s="24" t="n"/>
      <c r="E394" s="24" t="n"/>
      <c r="F394" s="24" t="n"/>
      <c r="G394" s="34" t="n"/>
      <c r="H394" s="24" t="n"/>
    </row>
    <row r="395" ht="15" customHeight="1" s="21">
      <c r="A395" s="35" t="n"/>
      <c r="B395" s="24" t="n"/>
      <c r="C395" s="24" t="n"/>
      <c r="D395" s="24" t="n"/>
      <c r="E395" s="24" t="n"/>
      <c r="F395" s="24" t="n"/>
      <c r="G395" s="34" t="n"/>
      <c r="H395" s="24" t="n"/>
    </row>
    <row r="396" ht="15" customHeight="1" s="21">
      <c r="A396" s="35" t="n"/>
      <c r="B396" s="24" t="n"/>
      <c r="C396" s="24" t="n"/>
      <c r="D396" s="24" t="n"/>
      <c r="E396" s="24" t="n"/>
      <c r="F396" s="24" t="n"/>
      <c r="G396" s="34" t="n"/>
      <c r="H396" s="24" t="n"/>
    </row>
    <row r="397" ht="15" customHeight="1" s="21">
      <c r="A397" s="35" t="n"/>
      <c r="B397" s="24" t="n"/>
      <c r="C397" s="24" t="n"/>
      <c r="D397" s="24" t="n"/>
      <c r="E397" s="24" t="n"/>
      <c r="F397" s="24" t="n"/>
      <c r="G397" s="34" t="n"/>
      <c r="H397" s="24" t="n"/>
    </row>
    <row r="398" ht="15" customHeight="1" s="21">
      <c r="A398" s="35" t="n"/>
      <c r="B398" s="24" t="n"/>
      <c r="C398" s="24" t="n"/>
      <c r="D398" s="24" t="n"/>
      <c r="E398" s="24" t="n"/>
      <c r="F398" s="24" t="n"/>
      <c r="G398" s="34" t="n"/>
      <c r="H398" s="24" t="n"/>
    </row>
    <row r="399" ht="15" customHeight="1" s="21">
      <c r="A399" s="35" t="n"/>
      <c r="B399" s="24" t="n"/>
      <c r="C399" s="24" t="n"/>
      <c r="D399" s="24" t="n"/>
      <c r="E399" s="24" t="n"/>
      <c r="F399" s="24" t="n"/>
      <c r="G399" s="34" t="n"/>
      <c r="H399" s="24" t="n"/>
    </row>
    <row r="400" ht="15" customHeight="1" s="21">
      <c r="A400" s="35" t="n"/>
      <c r="B400" s="24" t="n"/>
      <c r="C400" s="24" t="n"/>
      <c r="D400" s="24" t="n"/>
      <c r="E400" s="24" t="n"/>
      <c r="F400" s="24" t="n"/>
      <c r="G400" s="34" t="n"/>
      <c r="H400" s="24" t="n"/>
    </row>
    <row r="401" ht="15" customHeight="1" s="21">
      <c r="A401" s="35" t="n"/>
      <c r="B401" s="24" t="n"/>
      <c r="C401" s="24" t="n"/>
      <c r="D401" s="24" t="n"/>
      <c r="E401" s="24" t="n"/>
      <c r="F401" s="24" t="n"/>
      <c r="G401" s="34" t="n"/>
      <c r="H401" s="24" t="n"/>
    </row>
    <row r="402" ht="15" customHeight="1" s="21">
      <c r="A402" s="35" t="n"/>
      <c r="B402" s="24" t="n"/>
      <c r="C402" s="24" t="n"/>
      <c r="D402" s="24" t="n"/>
      <c r="E402" s="24" t="n"/>
      <c r="F402" s="24" t="n"/>
      <c r="G402" s="34" t="n"/>
      <c r="H402" s="24" t="n"/>
    </row>
    <row r="403" ht="15" customHeight="1" s="21">
      <c r="A403" s="35" t="n"/>
      <c r="B403" s="24" t="n"/>
      <c r="C403" s="24" t="n"/>
      <c r="D403" s="24" t="n"/>
      <c r="E403" s="24" t="n"/>
      <c r="F403" s="24" t="n"/>
      <c r="G403" s="34" t="n"/>
      <c r="H403" s="24" t="n"/>
    </row>
    <row r="404" ht="15" customHeight="1" s="21">
      <c r="A404" s="35" t="n"/>
      <c r="B404" s="24" t="n"/>
      <c r="C404" s="24" t="n"/>
      <c r="D404" s="24" t="n"/>
      <c r="E404" s="24" t="n"/>
      <c r="F404" s="24" t="n"/>
      <c r="G404" s="34" t="n"/>
      <c r="H404" s="24" t="n"/>
    </row>
    <row r="405" ht="15" customHeight="1" s="21">
      <c r="A405" s="35" t="n"/>
      <c r="B405" s="24" t="n"/>
      <c r="C405" s="24" t="n"/>
      <c r="D405" s="24" t="n"/>
      <c r="E405" s="24" t="n"/>
      <c r="F405" s="24" t="n"/>
      <c r="G405" s="34" t="n"/>
      <c r="H405" s="24" t="n"/>
    </row>
    <row r="406" ht="15" customHeight="1" s="21">
      <c r="A406" s="35" t="n"/>
      <c r="B406" s="24" t="n"/>
      <c r="C406" s="24" t="n"/>
      <c r="D406" s="24" t="n"/>
      <c r="E406" s="24" t="n"/>
      <c r="F406" s="24" t="n"/>
      <c r="G406" s="34" t="n"/>
      <c r="H406" s="24" t="n"/>
    </row>
    <row r="407" ht="15" customHeight="1" s="21">
      <c r="A407" s="35" t="n"/>
      <c r="B407" s="24" t="n"/>
      <c r="C407" s="24" t="n"/>
      <c r="D407" s="24" t="n"/>
      <c r="E407" s="24" t="n"/>
      <c r="F407" s="24" t="n"/>
      <c r="G407" s="34" t="n"/>
      <c r="H407" s="24" t="n"/>
    </row>
    <row r="408" ht="15" customHeight="1" s="21">
      <c r="A408" s="35" t="n"/>
      <c r="B408" s="24" t="n"/>
      <c r="C408" s="24" t="n"/>
      <c r="D408" s="24" t="n"/>
      <c r="E408" s="24" t="n"/>
      <c r="F408" s="24" t="n"/>
      <c r="G408" s="34" t="n"/>
      <c r="H408" s="24" t="n"/>
    </row>
    <row r="409" ht="15" customHeight="1" s="21">
      <c r="A409" s="35" t="n"/>
      <c r="B409" s="24" t="n"/>
      <c r="C409" s="24" t="n"/>
      <c r="D409" s="24" t="n"/>
      <c r="E409" s="24" t="n"/>
      <c r="F409" s="24" t="n"/>
      <c r="G409" s="34" t="n"/>
      <c r="H409" s="24" t="n"/>
    </row>
    <row r="410" ht="15" customHeight="1" s="21">
      <c r="A410" s="35" t="n"/>
      <c r="B410" s="24" t="n"/>
      <c r="C410" s="24" t="n"/>
      <c r="D410" s="24" t="n"/>
      <c r="E410" s="24" t="n"/>
      <c r="F410" s="24" t="n"/>
      <c r="G410" s="34" t="n"/>
      <c r="H410" s="24" t="n"/>
    </row>
    <row r="411" ht="15" customHeight="1" s="21">
      <c r="A411" s="35" t="n"/>
      <c r="B411" s="24" t="n"/>
      <c r="C411" s="24" t="n"/>
      <c r="D411" s="24" t="n"/>
      <c r="E411" s="24" t="n"/>
      <c r="F411" s="24" t="n"/>
      <c r="G411" s="34" t="n"/>
      <c r="H411" s="24" t="n"/>
    </row>
    <row r="412" ht="15" customHeight="1" s="21">
      <c r="A412" s="35" t="n"/>
      <c r="B412" s="24" t="n"/>
      <c r="C412" s="24" t="n"/>
      <c r="D412" s="24" t="n"/>
      <c r="E412" s="24" t="n"/>
      <c r="F412" s="24" t="n"/>
      <c r="G412" s="34" t="n"/>
      <c r="H412" s="24" t="n"/>
    </row>
    <row r="413" ht="15" customHeight="1" s="21">
      <c r="A413" s="35" t="n"/>
      <c r="B413" s="24" t="n"/>
      <c r="C413" s="24" t="n"/>
      <c r="D413" s="24" t="n"/>
      <c r="E413" s="24" t="n"/>
      <c r="F413" s="24" t="n"/>
      <c r="G413" s="34" t="n"/>
      <c r="H413" s="24" t="n"/>
    </row>
    <row r="414" ht="15" customHeight="1" s="21">
      <c r="A414" s="35" t="n"/>
      <c r="B414" s="24" t="n"/>
      <c r="C414" s="24" t="n"/>
      <c r="D414" s="24" t="n"/>
      <c r="E414" s="24" t="n"/>
      <c r="F414" s="24" t="n"/>
      <c r="G414" s="34" t="n"/>
      <c r="H414" s="24" t="n"/>
    </row>
    <row r="415" ht="15" customHeight="1" s="21">
      <c r="A415" s="35" t="n"/>
      <c r="B415" s="24" t="n"/>
      <c r="C415" s="24" t="n"/>
      <c r="D415" s="24" t="n"/>
      <c r="E415" s="24" t="n"/>
      <c r="F415" s="24" t="n"/>
      <c r="G415" s="34" t="n"/>
      <c r="H415" s="24" t="n"/>
    </row>
    <row r="416" ht="15" customHeight="1" s="21">
      <c r="A416" s="35" t="n"/>
      <c r="B416" s="24" t="n"/>
      <c r="C416" s="24" t="n"/>
      <c r="D416" s="24" t="n"/>
      <c r="E416" s="24" t="n"/>
      <c r="F416" s="24" t="n"/>
      <c r="G416" s="34" t="n"/>
      <c r="H416" s="24" t="n"/>
    </row>
    <row r="417" ht="15" customHeight="1" s="21">
      <c r="A417" s="35" t="n"/>
      <c r="B417" s="24" t="n"/>
      <c r="C417" s="24" t="n"/>
      <c r="D417" s="24" t="n"/>
      <c r="E417" s="24" t="n"/>
      <c r="F417" s="24" t="n"/>
      <c r="G417" s="34" t="n"/>
      <c r="H417" s="24" t="n"/>
    </row>
    <row r="418" ht="15" customHeight="1" s="21">
      <c r="A418" s="35" t="n"/>
      <c r="B418" s="24" t="n"/>
      <c r="C418" s="24" t="n"/>
      <c r="D418" s="24" t="n"/>
      <c r="E418" s="24" t="n"/>
      <c r="F418" s="24" t="n"/>
      <c r="G418" s="34" t="n"/>
      <c r="H418" s="24" t="n"/>
    </row>
    <row r="419" ht="15" customHeight="1" s="21">
      <c r="A419" s="35" t="n"/>
      <c r="B419" s="24" t="n"/>
      <c r="C419" s="24" t="n"/>
      <c r="D419" s="24" t="n"/>
      <c r="E419" s="24" t="n"/>
      <c r="F419" s="24" t="n"/>
      <c r="G419" s="34" t="n"/>
      <c r="H419" s="24" t="n"/>
    </row>
    <row r="420" ht="15" customHeight="1" s="21">
      <c r="A420" s="35" t="n"/>
      <c r="B420" s="24" t="n"/>
      <c r="C420" s="24" t="n"/>
      <c r="D420" s="24" t="n"/>
      <c r="E420" s="24" t="n"/>
      <c r="F420" s="24" t="n"/>
      <c r="G420" s="34" t="n"/>
      <c r="H420" s="24" t="n"/>
    </row>
    <row r="421" ht="15" customHeight="1" s="21">
      <c r="A421" s="35" t="n"/>
      <c r="B421" s="24" t="n"/>
      <c r="C421" s="24" t="n"/>
      <c r="D421" s="24" t="n"/>
      <c r="E421" s="24" t="n"/>
      <c r="F421" s="24" t="n"/>
      <c r="G421" s="34" t="n"/>
      <c r="H421" s="24" t="n"/>
    </row>
    <row r="422" ht="15" customHeight="1" s="21">
      <c r="A422" s="35" t="n"/>
      <c r="B422" s="24" t="n"/>
      <c r="C422" s="24" t="n"/>
      <c r="D422" s="24" t="n"/>
      <c r="E422" s="24" t="n"/>
      <c r="F422" s="24" t="n"/>
      <c r="G422" s="34" t="n"/>
      <c r="H422" s="24" t="n"/>
    </row>
    <row r="423" ht="15" customHeight="1" s="21">
      <c r="A423" s="35" t="n"/>
      <c r="B423" s="24" t="n"/>
      <c r="C423" s="24" t="n"/>
      <c r="D423" s="24" t="n"/>
      <c r="E423" s="24" t="n"/>
      <c r="F423" s="24" t="n"/>
      <c r="G423" s="34" t="n"/>
      <c r="H423" s="24" t="n"/>
    </row>
    <row r="424" ht="15" customHeight="1" s="21">
      <c r="A424" s="35" t="n"/>
      <c r="B424" s="24" t="n"/>
      <c r="C424" s="24" t="n"/>
      <c r="D424" s="24" t="n"/>
      <c r="E424" s="24" t="n"/>
      <c r="F424" s="24" t="n"/>
      <c r="G424" s="34" t="n"/>
      <c r="H424" s="24" t="n"/>
    </row>
    <row r="425" ht="15" customHeight="1" s="21">
      <c r="A425" s="35" t="n"/>
      <c r="B425" s="24" t="n"/>
      <c r="C425" s="24" t="n"/>
      <c r="D425" s="24" t="n"/>
      <c r="E425" s="24" t="n"/>
      <c r="F425" s="24" t="n"/>
      <c r="G425" s="34" t="n"/>
      <c r="H425" s="24" t="n"/>
    </row>
    <row r="426" ht="15" customHeight="1" s="21">
      <c r="A426" s="35" t="n"/>
      <c r="B426" s="24" t="n"/>
      <c r="C426" s="24" t="n"/>
      <c r="D426" s="24" t="n"/>
      <c r="E426" s="24" t="n"/>
      <c r="F426" s="24" t="n"/>
      <c r="G426" s="34" t="n"/>
      <c r="H426" s="24" t="n"/>
    </row>
    <row r="427" ht="15" customHeight="1" s="21">
      <c r="A427" s="35" t="n"/>
      <c r="B427" s="24" t="n"/>
      <c r="C427" s="24" t="n"/>
      <c r="D427" s="24" t="n"/>
      <c r="E427" s="24" t="n"/>
      <c r="F427" s="24" t="n"/>
      <c r="G427" s="34" t="n"/>
      <c r="H427" s="24" t="n"/>
    </row>
    <row r="428" ht="15" customHeight="1" s="21">
      <c r="A428" s="35" t="n"/>
      <c r="B428" s="24" t="n"/>
      <c r="C428" s="24" t="n"/>
      <c r="D428" s="24" t="n"/>
      <c r="E428" s="24" t="n"/>
      <c r="F428" s="24" t="n"/>
      <c r="G428" s="34" t="n"/>
      <c r="H428" s="24" t="n"/>
    </row>
    <row r="429" ht="15" customHeight="1" s="21">
      <c r="A429" s="35" t="n"/>
      <c r="B429" s="24" t="n"/>
      <c r="C429" s="24" t="n"/>
      <c r="D429" s="24" t="n"/>
      <c r="E429" s="24" t="n"/>
      <c r="F429" s="24" t="n"/>
      <c r="G429" s="34" t="n"/>
      <c r="H429" s="24" t="n"/>
    </row>
    <row r="430" ht="15" customHeight="1" s="21">
      <c r="A430" s="35" t="n"/>
      <c r="B430" s="24" t="n"/>
      <c r="C430" s="24" t="n"/>
      <c r="D430" s="24" t="n"/>
      <c r="E430" s="24" t="n"/>
      <c r="F430" s="24" t="n"/>
      <c r="G430" s="34" t="n"/>
      <c r="H430" s="24" t="n"/>
    </row>
    <row r="431" ht="15" customHeight="1" s="21">
      <c r="A431" s="35" t="n"/>
      <c r="B431" s="24" t="n"/>
      <c r="C431" s="24" t="n"/>
      <c r="D431" s="24" t="n"/>
      <c r="E431" s="24" t="n"/>
      <c r="F431" s="24" t="n"/>
      <c r="G431" s="34" t="n"/>
      <c r="H431" s="24" t="n"/>
    </row>
    <row r="432" ht="15" customHeight="1" s="21">
      <c r="A432" s="35" t="n"/>
      <c r="B432" s="24" t="n"/>
      <c r="C432" s="24" t="n"/>
      <c r="D432" s="24" t="n"/>
      <c r="E432" s="24" t="n"/>
      <c r="F432" s="24" t="n"/>
      <c r="G432" s="34" t="n"/>
      <c r="H432" s="24" t="n"/>
    </row>
    <row r="433" ht="15" customHeight="1" s="21">
      <c r="A433" s="35" t="n"/>
      <c r="B433" s="24" t="n"/>
      <c r="C433" s="24" t="n"/>
      <c r="D433" s="24" t="n"/>
      <c r="E433" s="24" t="n"/>
      <c r="F433" s="24" t="n"/>
      <c r="G433" s="34" t="n"/>
      <c r="H433" s="24" t="n"/>
    </row>
    <row r="434" ht="15" customHeight="1" s="21">
      <c r="A434" s="35" t="n"/>
      <c r="B434" s="24" t="n"/>
      <c r="C434" s="24" t="n"/>
      <c r="D434" s="24" t="n"/>
      <c r="E434" s="24" t="n"/>
      <c r="F434" s="24" t="n"/>
      <c r="G434" s="34" t="n"/>
      <c r="H434" s="24" t="n"/>
    </row>
    <row r="435" ht="15" customHeight="1" s="21">
      <c r="A435" s="35" t="n"/>
      <c r="B435" s="24" t="n"/>
      <c r="C435" s="24" t="n"/>
      <c r="D435" s="24" t="n"/>
      <c r="E435" s="24" t="n"/>
      <c r="F435" s="24" t="n"/>
      <c r="G435" s="34" t="n"/>
      <c r="H435" s="24" t="n"/>
    </row>
    <row r="436" ht="15" customHeight="1" s="21">
      <c r="A436" s="35" t="n"/>
      <c r="B436" s="24" t="n"/>
      <c r="C436" s="24" t="n"/>
      <c r="D436" s="24" t="n"/>
      <c r="E436" s="24" t="n"/>
      <c r="F436" s="24" t="n"/>
      <c r="G436" s="34" t="n"/>
      <c r="H436" s="24" t="n"/>
    </row>
    <row r="437" ht="15" customHeight="1" s="21">
      <c r="A437" s="35" t="n"/>
      <c r="B437" s="24" t="n"/>
      <c r="C437" s="24" t="n"/>
      <c r="D437" s="24" t="n"/>
      <c r="E437" s="24" t="n"/>
      <c r="F437" s="24" t="n"/>
      <c r="G437" s="34" t="n"/>
      <c r="H437" s="24" t="n"/>
    </row>
    <row r="438" ht="15" customHeight="1" s="21">
      <c r="A438" s="35" t="n"/>
      <c r="B438" s="24" t="n"/>
      <c r="C438" s="24" t="n"/>
      <c r="D438" s="24" t="n"/>
      <c r="E438" s="24" t="n"/>
      <c r="F438" s="24" t="n"/>
      <c r="G438" s="34" t="n"/>
      <c r="H438" s="24" t="n"/>
    </row>
    <row r="439" ht="15" customHeight="1" s="21">
      <c r="A439" s="35" t="n"/>
      <c r="B439" s="24" t="n"/>
      <c r="C439" s="24" t="n"/>
      <c r="D439" s="24" t="n"/>
      <c r="E439" s="24" t="n"/>
      <c r="F439" s="24" t="n"/>
      <c r="G439" s="34" t="n"/>
      <c r="H439" s="24" t="n"/>
    </row>
    <row r="440" ht="15" customHeight="1" s="21">
      <c r="A440" s="35" t="n"/>
      <c r="B440" s="24" t="n"/>
      <c r="C440" s="24" t="n"/>
      <c r="D440" s="24" t="n"/>
      <c r="E440" s="24" t="n"/>
      <c r="F440" s="24" t="n"/>
      <c r="G440" s="34" t="n"/>
      <c r="H440" s="24" t="n"/>
    </row>
    <row r="441" ht="15" customHeight="1" s="21">
      <c r="A441" s="35" t="n"/>
      <c r="B441" s="24" t="n"/>
      <c r="C441" s="24" t="n"/>
      <c r="D441" s="24" t="n"/>
      <c r="E441" s="24" t="n"/>
      <c r="F441" s="24" t="n"/>
      <c r="G441" s="34" t="n"/>
      <c r="H441" s="24" t="n"/>
    </row>
    <row r="442" ht="15" customHeight="1" s="21">
      <c r="A442" s="35" t="n"/>
      <c r="B442" s="24" t="n"/>
      <c r="C442" s="24" t="n"/>
      <c r="D442" s="24" t="n"/>
      <c r="E442" s="24" t="n"/>
      <c r="F442" s="24" t="n"/>
      <c r="G442" s="34" t="n"/>
      <c r="H442" s="24" t="n"/>
    </row>
    <row r="443" ht="15" customHeight="1" s="21">
      <c r="A443" s="35" t="n"/>
      <c r="B443" s="24" t="n"/>
      <c r="C443" s="24" t="n"/>
      <c r="D443" s="24" t="n"/>
      <c r="E443" s="24" t="n"/>
      <c r="F443" s="24" t="n"/>
      <c r="G443" s="34" t="n"/>
      <c r="H443" s="24" t="n"/>
    </row>
    <row r="444" ht="15" customHeight="1" s="21">
      <c r="A444" s="35" t="n"/>
      <c r="B444" s="24" t="n"/>
      <c r="C444" s="24" t="n"/>
      <c r="D444" s="24" t="n"/>
      <c r="E444" s="24" t="n"/>
      <c r="F444" s="24" t="n"/>
      <c r="G444" s="34" t="n"/>
      <c r="H444" s="24" t="n"/>
    </row>
    <row r="445" ht="15" customHeight="1" s="21">
      <c r="A445" s="35" t="n"/>
      <c r="B445" s="24" t="n"/>
      <c r="C445" s="24" t="n"/>
      <c r="D445" s="24" t="n"/>
      <c r="E445" s="24" t="n"/>
      <c r="F445" s="24" t="n"/>
      <c r="G445" s="34" t="n"/>
      <c r="H445" s="24" t="n"/>
    </row>
    <row r="446" ht="15" customHeight="1" s="21">
      <c r="A446" s="35" t="n"/>
      <c r="B446" s="24" t="n"/>
      <c r="C446" s="24" t="n"/>
      <c r="D446" s="24" t="n"/>
      <c r="E446" s="24" t="n"/>
      <c r="F446" s="24" t="n"/>
      <c r="G446" s="34" t="n"/>
      <c r="H446" s="24" t="n"/>
    </row>
    <row r="447" ht="15" customHeight="1" s="21">
      <c r="A447" s="35" t="n"/>
      <c r="B447" s="24" t="n"/>
      <c r="C447" s="24" t="n"/>
      <c r="D447" s="24" t="n"/>
      <c r="E447" s="24" t="n"/>
      <c r="F447" s="24" t="n"/>
      <c r="G447" s="34" t="n"/>
      <c r="H447" s="24" t="n"/>
    </row>
    <row r="448" ht="15" customHeight="1" s="21">
      <c r="A448" s="35" t="n"/>
      <c r="B448" s="24" t="n"/>
      <c r="C448" s="24" t="n"/>
      <c r="D448" s="24" t="n"/>
      <c r="E448" s="24" t="n"/>
      <c r="F448" s="24" t="n"/>
      <c r="G448" s="34" t="n"/>
      <c r="H448" s="24" t="n"/>
    </row>
    <row r="449" ht="15" customHeight="1" s="21">
      <c r="A449" s="35" t="n"/>
      <c r="B449" s="24" t="n"/>
      <c r="C449" s="24" t="n"/>
      <c r="D449" s="24" t="n"/>
      <c r="E449" s="24" t="n"/>
      <c r="F449" s="24" t="n"/>
      <c r="G449" s="34" t="n"/>
      <c r="H449" s="24" t="n"/>
    </row>
    <row r="450" ht="15" customHeight="1" s="21">
      <c r="A450" s="35" t="n"/>
      <c r="B450" s="24" t="n"/>
      <c r="C450" s="24" t="n"/>
      <c r="D450" s="24" t="n"/>
      <c r="E450" s="24" t="n"/>
      <c r="F450" s="24" t="n"/>
      <c r="G450" s="34" t="n"/>
      <c r="H450" s="24" t="n"/>
    </row>
    <row r="451" ht="15" customHeight="1" s="21">
      <c r="A451" s="35" t="n"/>
      <c r="B451" s="24" t="n"/>
      <c r="C451" s="24" t="n"/>
      <c r="D451" s="24" t="n"/>
      <c r="E451" s="24" t="n"/>
      <c r="F451" s="24" t="n"/>
      <c r="G451" s="34" t="n"/>
      <c r="H451" s="24" t="n"/>
    </row>
    <row r="452" ht="15" customHeight="1" s="21">
      <c r="A452" s="35" t="n"/>
      <c r="B452" s="24" t="n"/>
      <c r="C452" s="24" t="n"/>
      <c r="D452" s="24" t="n"/>
      <c r="E452" s="24" t="n"/>
      <c r="F452" s="24" t="n"/>
      <c r="G452" s="34" t="n"/>
      <c r="H452" s="24" t="n"/>
    </row>
    <row r="453" ht="15" customHeight="1" s="21">
      <c r="A453" s="35" t="n"/>
      <c r="B453" s="24" t="n"/>
      <c r="C453" s="24" t="n"/>
      <c r="D453" s="24" t="n"/>
      <c r="E453" s="24" t="n"/>
      <c r="F453" s="24" t="n"/>
      <c r="G453" s="34" t="n"/>
      <c r="H453" s="24" t="n"/>
    </row>
    <row r="454" ht="15" customHeight="1" s="21">
      <c r="A454" s="35" t="n"/>
      <c r="B454" s="24" t="n"/>
      <c r="C454" s="24" t="n"/>
      <c r="D454" s="24" t="n"/>
      <c r="E454" s="24" t="n"/>
      <c r="F454" s="24" t="n"/>
      <c r="G454" s="34" t="n"/>
      <c r="H454" s="24" t="n"/>
    </row>
    <row r="455" ht="15" customHeight="1" s="21">
      <c r="A455" s="35" t="n"/>
      <c r="B455" s="24" t="n"/>
      <c r="C455" s="24" t="n"/>
      <c r="D455" s="24" t="n"/>
      <c r="E455" s="24" t="n"/>
      <c r="F455" s="24" t="n"/>
      <c r="G455" s="34" t="n"/>
      <c r="H455" s="24" t="n"/>
    </row>
    <row r="456" ht="15" customHeight="1" s="21">
      <c r="A456" s="35" t="n"/>
      <c r="B456" s="24" t="n"/>
      <c r="C456" s="24" t="n"/>
      <c r="D456" s="24" t="n"/>
      <c r="E456" s="24" t="n"/>
      <c r="F456" s="24" t="n"/>
      <c r="G456" s="34" t="n"/>
      <c r="H456" s="24" t="n"/>
    </row>
    <row r="457" ht="15" customHeight="1" s="21">
      <c r="A457" s="35" t="n"/>
      <c r="B457" s="24" t="n"/>
      <c r="C457" s="24" t="n"/>
      <c r="D457" s="24" t="n"/>
      <c r="E457" s="24" t="n"/>
      <c r="F457" s="24" t="n"/>
      <c r="G457" s="34" t="n"/>
      <c r="H457" s="24" t="n"/>
    </row>
    <row r="458" ht="15" customHeight="1" s="21">
      <c r="A458" s="35" t="n"/>
      <c r="B458" s="24" t="n"/>
      <c r="C458" s="24" t="n"/>
      <c r="D458" s="24" t="n"/>
      <c r="E458" s="24" t="n"/>
      <c r="F458" s="24" t="n"/>
      <c r="G458" s="34" t="n"/>
      <c r="H458" s="24" t="n"/>
    </row>
    <row r="459" ht="15" customHeight="1" s="21">
      <c r="A459" s="35" t="n"/>
      <c r="B459" s="24" t="n"/>
      <c r="C459" s="24" t="n"/>
      <c r="D459" s="24" t="n"/>
      <c r="E459" s="24" t="n"/>
      <c r="F459" s="24" t="n"/>
      <c r="G459" s="34" t="n"/>
      <c r="H459" s="24" t="n"/>
    </row>
    <row r="460" ht="15" customHeight="1" s="21">
      <c r="A460" s="35" t="n"/>
      <c r="B460" s="24" t="n"/>
      <c r="C460" s="24" t="n"/>
      <c r="D460" s="24" t="n"/>
      <c r="E460" s="24" t="n"/>
      <c r="F460" s="24" t="n"/>
      <c r="G460" s="34" t="n"/>
      <c r="H460" s="24" t="n"/>
    </row>
    <row r="461" ht="15" customHeight="1" s="21">
      <c r="A461" s="35" t="n"/>
      <c r="B461" s="24" t="n"/>
      <c r="C461" s="24" t="n"/>
      <c r="D461" s="24" t="n"/>
      <c r="E461" s="24" t="n"/>
      <c r="F461" s="24" t="n"/>
      <c r="G461" s="34" t="n"/>
      <c r="H461" s="24" t="n"/>
    </row>
    <row r="462" ht="15" customHeight="1" s="21">
      <c r="A462" s="35" t="n"/>
      <c r="B462" s="24" t="n"/>
      <c r="C462" s="24" t="n"/>
      <c r="D462" s="24" t="n"/>
      <c r="E462" s="24" t="n"/>
      <c r="F462" s="24" t="n"/>
      <c r="G462" s="34" t="n"/>
      <c r="H462" s="24" t="n"/>
    </row>
    <row r="463" ht="15" customHeight="1" s="21">
      <c r="A463" s="35" t="n"/>
      <c r="B463" s="24" t="n"/>
      <c r="C463" s="24" t="n"/>
      <c r="D463" s="24" t="n"/>
      <c r="E463" s="24" t="n"/>
      <c r="F463" s="24" t="n"/>
      <c r="G463" s="34" t="n"/>
      <c r="H463" s="24" t="n"/>
    </row>
    <row r="464" ht="15" customHeight="1" s="21">
      <c r="A464" s="35" t="n"/>
      <c r="B464" s="24" t="n"/>
      <c r="C464" s="24" t="n"/>
      <c r="D464" s="24" t="n"/>
      <c r="E464" s="24" t="n"/>
      <c r="F464" s="24" t="n"/>
      <c r="G464" s="34" t="n"/>
      <c r="H464" s="24" t="n"/>
    </row>
    <row r="465" ht="15" customHeight="1" s="21">
      <c r="A465" s="35" t="n"/>
      <c r="B465" s="24" t="n"/>
      <c r="C465" s="24" t="n"/>
      <c r="D465" s="24" t="n"/>
      <c r="E465" s="24" t="n"/>
      <c r="F465" s="24" t="n"/>
      <c r="G465" s="34" t="n"/>
      <c r="H465" s="24" t="n"/>
    </row>
    <row r="466" ht="15" customHeight="1" s="21">
      <c r="A466" s="35" t="n"/>
      <c r="B466" s="24" t="n"/>
      <c r="C466" s="24" t="n"/>
      <c r="D466" s="24" t="n"/>
      <c r="E466" s="24" t="n"/>
      <c r="F466" s="24" t="n"/>
      <c r="G466" s="34" t="n"/>
      <c r="H466" s="24" t="n"/>
    </row>
    <row r="467" ht="15" customHeight="1" s="21">
      <c r="A467" s="35" t="n"/>
      <c r="B467" s="24" t="n"/>
      <c r="C467" s="24" t="n"/>
      <c r="D467" s="24" t="n"/>
      <c r="E467" s="24" t="n"/>
      <c r="F467" s="24" t="n"/>
      <c r="G467" s="34" t="n"/>
      <c r="H467" s="24" t="n"/>
    </row>
    <row r="468" ht="15" customHeight="1" s="21">
      <c r="A468" s="35" t="n"/>
      <c r="B468" s="24" t="n"/>
      <c r="C468" s="24" t="n"/>
      <c r="D468" s="24" t="n"/>
      <c r="E468" s="24" t="n"/>
      <c r="F468" s="24" t="n"/>
      <c r="G468" s="34" t="n"/>
      <c r="H468" s="24" t="n"/>
    </row>
    <row r="469" ht="15" customHeight="1" s="21">
      <c r="A469" s="35" t="n"/>
      <c r="B469" s="24" t="n"/>
      <c r="C469" s="24" t="n"/>
      <c r="D469" s="24" t="n"/>
      <c r="E469" s="24" t="n"/>
      <c r="F469" s="24" t="n"/>
      <c r="G469" s="34" t="n"/>
      <c r="H469" s="24" t="n"/>
    </row>
    <row r="470" ht="15" customHeight="1" s="21">
      <c r="A470" s="35" t="n"/>
      <c r="B470" s="24" t="n"/>
      <c r="C470" s="24" t="n"/>
      <c r="D470" s="24" t="n"/>
      <c r="E470" s="24" t="n"/>
      <c r="F470" s="24" t="n"/>
      <c r="G470" s="34" t="n"/>
      <c r="H470" s="24" t="n"/>
    </row>
    <row r="471" ht="15" customHeight="1" s="21">
      <c r="A471" s="35" t="n"/>
      <c r="B471" s="24" t="n"/>
      <c r="C471" s="24" t="n"/>
      <c r="D471" s="24" t="n"/>
      <c r="E471" s="24" t="n"/>
      <c r="F471" s="24" t="n"/>
      <c r="G471" s="34" t="n"/>
      <c r="H471" s="24" t="n"/>
    </row>
    <row r="472" ht="15" customHeight="1" s="21">
      <c r="A472" s="35" t="n"/>
      <c r="B472" s="24" t="n"/>
      <c r="C472" s="24" t="n"/>
      <c r="D472" s="24" t="n"/>
      <c r="E472" s="24" t="n"/>
      <c r="F472" s="24" t="n"/>
      <c r="G472" s="34" t="n"/>
      <c r="H472" s="24" t="n"/>
    </row>
    <row r="473" ht="15" customHeight="1" s="21">
      <c r="A473" s="35" t="n"/>
      <c r="B473" s="24" t="n"/>
      <c r="C473" s="24" t="n"/>
      <c r="D473" s="24" t="n"/>
      <c r="E473" s="24" t="n"/>
      <c r="F473" s="24" t="n"/>
      <c r="G473" s="34" t="n"/>
      <c r="H473" s="24" t="n"/>
    </row>
    <row r="474" ht="15" customHeight="1" s="21">
      <c r="A474" s="35" t="n"/>
      <c r="B474" s="24" t="n"/>
      <c r="C474" s="24" t="n"/>
      <c r="D474" s="24" t="n"/>
      <c r="E474" s="24" t="n"/>
      <c r="F474" s="24" t="n"/>
      <c r="G474" s="34" t="n"/>
      <c r="H474" s="24" t="n"/>
    </row>
    <row r="475" ht="15" customHeight="1" s="21">
      <c r="A475" s="35" t="n"/>
      <c r="B475" s="24" t="n"/>
      <c r="C475" s="24" t="n"/>
      <c r="D475" s="24" t="n"/>
      <c r="E475" s="24" t="n"/>
      <c r="F475" s="24" t="n"/>
      <c r="G475" s="34" t="n"/>
      <c r="H475" s="24" t="n"/>
    </row>
    <row r="476" ht="15" customHeight="1" s="21">
      <c r="A476" s="35" t="n"/>
      <c r="B476" s="24" t="n"/>
      <c r="C476" s="24" t="n"/>
      <c r="D476" s="24" t="n"/>
      <c r="E476" s="24" t="n"/>
      <c r="F476" s="24" t="n"/>
      <c r="G476" s="34" t="n"/>
      <c r="H476" s="24" t="n"/>
    </row>
    <row r="477" ht="15" customHeight="1" s="21">
      <c r="A477" s="35" t="n"/>
      <c r="B477" s="24" t="n"/>
      <c r="C477" s="24" t="n"/>
      <c r="D477" s="24" t="n"/>
      <c r="E477" s="24" t="n"/>
      <c r="F477" s="24" t="n"/>
      <c r="G477" s="34" t="n"/>
      <c r="H477" s="24" t="n"/>
    </row>
    <row r="478" ht="15" customHeight="1" s="21">
      <c r="A478" s="35" t="n"/>
      <c r="B478" s="24" t="n"/>
      <c r="C478" s="24" t="n"/>
      <c r="D478" s="24" t="n"/>
      <c r="E478" s="24" t="n"/>
      <c r="F478" s="24" t="n"/>
      <c r="G478" s="34" t="n"/>
      <c r="H478" s="24" t="n"/>
    </row>
    <row r="479" ht="15" customHeight="1" s="21">
      <c r="A479" s="35" t="n"/>
      <c r="B479" s="24" t="n"/>
      <c r="C479" s="24" t="n"/>
      <c r="D479" s="24" t="n"/>
      <c r="E479" s="24" t="n"/>
      <c r="F479" s="24" t="n"/>
      <c r="G479" s="34" t="n"/>
      <c r="H479" s="24" t="n"/>
    </row>
    <row r="480" ht="15" customHeight="1" s="21">
      <c r="A480" s="35" t="n"/>
      <c r="B480" s="24" t="n"/>
      <c r="C480" s="24" t="n"/>
      <c r="D480" s="24" t="n"/>
      <c r="E480" s="24" t="n"/>
      <c r="F480" s="24" t="n"/>
      <c r="G480" s="34" t="n"/>
      <c r="H480" s="24" t="n"/>
    </row>
    <row r="481" ht="15" customHeight="1" s="21">
      <c r="A481" s="35" t="n"/>
      <c r="B481" s="24" t="n"/>
      <c r="C481" s="24" t="n"/>
      <c r="D481" s="24" t="n"/>
      <c r="E481" s="24" t="n"/>
      <c r="F481" s="24" t="n"/>
      <c r="G481" s="34" t="n"/>
      <c r="H481" s="24" t="n"/>
    </row>
    <row r="482" ht="15" customHeight="1" s="21">
      <c r="A482" s="35" t="n"/>
      <c r="B482" s="24" t="n"/>
      <c r="C482" s="24" t="n"/>
      <c r="D482" s="24" t="n"/>
      <c r="E482" s="24" t="n"/>
      <c r="F482" s="24" t="n"/>
      <c r="G482" s="34" t="n"/>
      <c r="H482" s="24" t="n"/>
    </row>
    <row r="483" ht="15" customHeight="1" s="21">
      <c r="A483" s="35" t="n"/>
      <c r="B483" s="24" t="n"/>
      <c r="C483" s="24" t="n"/>
      <c r="D483" s="24" t="n"/>
      <c r="E483" s="24" t="n"/>
      <c r="F483" s="24" t="n"/>
      <c r="G483" s="34" t="n"/>
      <c r="H483" s="24" t="n"/>
    </row>
    <row r="484" ht="15" customHeight="1" s="21">
      <c r="A484" s="35" t="n"/>
      <c r="B484" s="24" t="n"/>
      <c r="C484" s="24" t="n"/>
      <c r="D484" s="24" t="n"/>
      <c r="E484" s="24" t="n"/>
      <c r="F484" s="24" t="n"/>
      <c r="G484" s="34" t="n"/>
      <c r="H484" s="24" t="n"/>
    </row>
    <row r="485" ht="15" customHeight="1" s="21">
      <c r="A485" s="35" t="n"/>
      <c r="B485" s="24" t="n"/>
      <c r="C485" s="24" t="n"/>
      <c r="D485" s="24" t="n"/>
      <c r="E485" s="24" t="n"/>
      <c r="F485" s="24" t="n"/>
      <c r="G485" s="34" t="n"/>
      <c r="H485" s="24" t="n"/>
    </row>
    <row r="486" ht="15" customHeight="1" s="21">
      <c r="A486" s="35" t="n"/>
      <c r="B486" s="24" t="n"/>
      <c r="C486" s="24" t="n"/>
      <c r="D486" s="24" t="n"/>
      <c r="E486" s="24" t="n"/>
      <c r="F486" s="24" t="n"/>
      <c r="G486" s="34" t="n"/>
      <c r="H486" s="24" t="n"/>
    </row>
    <row r="487" ht="15" customHeight="1" s="21">
      <c r="A487" s="35" t="n"/>
      <c r="B487" s="24" t="n"/>
      <c r="C487" s="24" t="n"/>
      <c r="D487" s="24" t="n"/>
      <c r="E487" s="24" t="n"/>
      <c r="F487" s="24" t="n"/>
      <c r="G487" s="34" t="n"/>
      <c r="H487" s="24" t="n"/>
    </row>
    <row r="488" ht="15" customHeight="1" s="21">
      <c r="A488" s="35" t="n"/>
      <c r="B488" s="24" t="n"/>
      <c r="C488" s="24" t="n"/>
      <c r="D488" s="24" t="n"/>
      <c r="E488" s="24" t="n"/>
      <c r="F488" s="24" t="n"/>
      <c r="G488" s="34" t="n"/>
      <c r="H488" s="24" t="n"/>
    </row>
    <row r="489" ht="15" customHeight="1" s="21">
      <c r="A489" s="35" t="n"/>
      <c r="B489" s="24" t="n"/>
      <c r="C489" s="24" t="n"/>
      <c r="D489" s="24" t="n"/>
      <c r="E489" s="24" t="n"/>
      <c r="F489" s="24" t="n"/>
      <c r="G489" s="34" t="n"/>
      <c r="H489" s="24" t="n"/>
    </row>
    <row r="490" ht="15" customHeight="1" s="21">
      <c r="A490" s="35" t="n"/>
      <c r="B490" s="24" t="n"/>
      <c r="C490" s="24" t="n"/>
      <c r="D490" s="24" t="n"/>
      <c r="E490" s="24" t="n"/>
      <c r="F490" s="24" t="n"/>
      <c r="G490" s="34" t="n"/>
      <c r="H490" s="24" t="n"/>
    </row>
    <row r="491" ht="15" customHeight="1" s="21">
      <c r="A491" s="35" t="n"/>
      <c r="B491" s="24" t="n"/>
      <c r="C491" s="24" t="n"/>
      <c r="D491" s="24" t="n"/>
      <c r="E491" s="24" t="n"/>
      <c r="F491" s="24" t="n"/>
      <c r="G491" s="34" t="n"/>
      <c r="H491" s="24" t="n"/>
    </row>
    <row r="492" ht="15" customHeight="1" s="21">
      <c r="A492" s="35" t="n"/>
      <c r="B492" s="24" t="n"/>
      <c r="C492" s="24" t="n"/>
      <c r="D492" s="24" t="n"/>
      <c r="E492" s="24" t="n"/>
      <c r="F492" s="24" t="n"/>
      <c r="G492" s="34" t="n"/>
      <c r="H492" s="24" t="n"/>
    </row>
    <row r="493" ht="15" customHeight="1" s="21">
      <c r="A493" s="35" t="n"/>
      <c r="B493" s="24" t="n"/>
      <c r="C493" s="24" t="n"/>
      <c r="D493" s="24" t="n"/>
      <c r="E493" s="24" t="n"/>
      <c r="F493" s="24" t="n"/>
      <c r="G493" s="34" t="n"/>
      <c r="H493" s="24" t="n"/>
    </row>
    <row r="494" ht="15" customHeight="1" s="21">
      <c r="A494" s="35" t="n"/>
      <c r="B494" s="24" t="n"/>
      <c r="C494" s="24" t="n"/>
      <c r="D494" s="24" t="n"/>
      <c r="E494" s="24" t="n"/>
      <c r="F494" s="24" t="n"/>
      <c r="G494" s="34" t="n"/>
      <c r="H494" s="24" t="n"/>
    </row>
    <row r="495" ht="15" customHeight="1" s="21">
      <c r="A495" s="35" t="n"/>
      <c r="B495" s="24" t="n"/>
      <c r="C495" s="24" t="n"/>
      <c r="D495" s="24" t="n"/>
      <c r="E495" s="24" t="n"/>
      <c r="F495" s="24" t="n"/>
      <c r="G495" s="34" t="n"/>
      <c r="H495" s="24" t="n"/>
    </row>
    <row r="496" ht="15" customHeight="1" s="21">
      <c r="A496" s="35" t="n"/>
      <c r="B496" s="24" t="n"/>
      <c r="C496" s="24" t="n"/>
      <c r="D496" s="24" t="n"/>
      <c r="E496" s="24" t="n"/>
      <c r="F496" s="24" t="n"/>
      <c r="G496" s="34" t="n"/>
      <c r="H496" s="24" t="n"/>
    </row>
    <row r="497" ht="15" customHeight="1" s="21">
      <c r="A497" s="35" t="n"/>
      <c r="B497" s="24" t="n"/>
      <c r="C497" s="24" t="n"/>
      <c r="D497" s="24" t="n"/>
      <c r="E497" s="24" t="n"/>
      <c r="F497" s="24" t="n"/>
      <c r="G497" s="34" t="n"/>
      <c r="H497" s="24" t="n"/>
    </row>
    <row r="498" ht="15" customHeight="1" s="21">
      <c r="A498" s="35" t="n"/>
      <c r="B498" s="24" t="n"/>
      <c r="C498" s="24" t="n"/>
      <c r="D498" s="24" t="n"/>
      <c r="E498" s="24" t="n"/>
      <c r="F498" s="24" t="n"/>
      <c r="G498" s="34" t="n"/>
      <c r="H498" s="24" t="n"/>
    </row>
    <row r="499" ht="15" customHeight="1" s="21">
      <c r="A499" s="35" t="n"/>
      <c r="B499" s="24" t="n"/>
      <c r="C499" s="24" t="n"/>
      <c r="D499" s="24" t="n"/>
      <c r="E499" s="24" t="n"/>
      <c r="F499" s="24" t="n"/>
      <c r="G499" s="34" t="n"/>
      <c r="H499" s="24" t="n"/>
    </row>
    <row r="500" ht="15" customHeight="1" s="21">
      <c r="A500" s="35" t="n"/>
      <c r="B500" s="24" t="n"/>
      <c r="C500" s="24" t="n"/>
      <c r="D500" s="24" t="n"/>
      <c r="E500" s="24" t="n"/>
      <c r="F500" s="24" t="n"/>
      <c r="G500" s="34" t="n"/>
      <c r="H500" s="24" t="n"/>
    </row>
    <row r="501" ht="15" customHeight="1" s="21">
      <c r="A501" s="35" t="n"/>
      <c r="B501" s="24" t="n"/>
      <c r="C501" s="24" t="n"/>
      <c r="D501" s="24" t="n"/>
      <c r="E501" s="24" t="n"/>
      <c r="F501" s="24" t="n"/>
      <c r="G501" s="34" t="n"/>
      <c r="H501" s="24" t="n"/>
    </row>
    <row r="502" ht="15" customHeight="1" s="21">
      <c r="A502" s="35" t="n"/>
      <c r="B502" s="24" t="n"/>
      <c r="C502" s="24" t="n"/>
      <c r="D502" s="24" t="n"/>
      <c r="E502" s="24" t="n"/>
      <c r="F502" s="24" t="n"/>
      <c r="G502" s="34" t="n"/>
      <c r="H502" s="24" t="n"/>
    </row>
    <row r="503" ht="15" customHeight="1" s="21">
      <c r="A503" s="35" t="n"/>
      <c r="B503" s="24" t="n"/>
      <c r="C503" s="24" t="n"/>
      <c r="D503" s="24" t="n"/>
      <c r="E503" s="24" t="n"/>
      <c r="F503" s="24" t="n"/>
      <c r="G503" s="34" t="n"/>
      <c r="H503" s="24" t="n"/>
    </row>
    <row r="504" ht="15" customHeight="1" s="21">
      <c r="A504" s="35" t="n"/>
      <c r="B504" s="24" t="n"/>
      <c r="C504" s="24" t="n"/>
      <c r="D504" s="24" t="n"/>
      <c r="E504" s="24" t="n"/>
      <c r="F504" s="24" t="n"/>
      <c r="G504" s="34" t="n"/>
      <c r="H504" s="24" t="n"/>
    </row>
    <row r="505" ht="15" customHeight="1" s="21">
      <c r="A505" s="35" t="n"/>
      <c r="B505" s="24" t="n"/>
      <c r="C505" s="24" t="n"/>
      <c r="D505" s="24" t="n"/>
      <c r="E505" s="24" t="n"/>
      <c r="F505" s="24" t="n"/>
      <c r="G505" s="34" t="n"/>
      <c r="H505" s="24" t="n"/>
    </row>
    <row r="506" ht="15" customHeight="1" s="21">
      <c r="A506" s="35" t="n"/>
      <c r="B506" s="24" t="n"/>
      <c r="C506" s="24" t="n"/>
      <c r="D506" s="24" t="n"/>
      <c r="E506" s="24" t="n"/>
      <c r="F506" s="24" t="n"/>
      <c r="G506" s="34" t="n"/>
      <c r="H506" s="24" t="n"/>
    </row>
    <row r="507" ht="15" customHeight="1" s="21">
      <c r="A507" s="35" t="n"/>
      <c r="B507" s="24" t="n"/>
      <c r="C507" s="24" t="n"/>
      <c r="D507" s="24" t="n"/>
      <c r="E507" s="24" t="n"/>
      <c r="F507" s="24" t="n"/>
      <c r="G507" s="34" t="n"/>
      <c r="H507" s="24" t="n"/>
    </row>
    <row r="508" ht="15" customHeight="1" s="21">
      <c r="A508" s="35" t="n"/>
      <c r="B508" s="24" t="n"/>
      <c r="C508" s="24" t="n"/>
      <c r="D508" s="24" t="n"/>
      <c r="E508" s="24" t="n"/>
      <c r="F508" s="24" t="n"/>
      <c r="G508" s="34" t="n"/>
      <c r="H508" s="24" t="n"/>
    </row>
    <row r="509" ht="15" customHeight="1" s="21">
      <c r="A509" s="35" t="n"/>
      <c r="B509" s="24" t="n"/>
      <c r="C509" s="24" t="n"/>
      <c r="D509" s="24" t="n"/>
      <c r="E509" s="24" t="n"/>
      <c r="F509" s="24" t="n"/>
      <c r="G509" s="34" t="n"/>
      <c r="H509" s="24" t="n"/>
    </row>
    <row r="510" ht="15" customHeight="1" s="21">
      <c r="A510" s="35" t="n"/>
      <c r="B510" s="24" t="n"/>
      <c r="C510" s="24" t="n"/>
      <c r="D510" s="24" t="n"/>
      <c r="E510" s="24" t="n"/>
      <c r="F510" s="24" t="n"/>
      <c r="G510" s="34" t="n"/>
      <c r="H510" s="24" t="n"/>
    </row>
    <row r="511" ht="15" customHeight="1" s="21">
      <c r="A511" s="35" t="n"/>
      <c r="B511" s="24" t="n"/>
      <c r="C511" s="24" t="n"/>
      <c r="D511" s="24" t="n"/>
      <c r="E511" s="24" t="n"/>
      <c r="F511" s="24" t="n"/>
      <c r="G511" s="34" t="n"/>
      <c r="H511" s="24" t="n"/>
    </row>
    <row r="512" ht="15" customHeight="1" s="21">
      <c r="A512" s="35" t="n"/>
      <c r="B512" s="24" t="n"/>
      <c r="C512" s="24" t="n"/>
      <c r="D512" s="24" t="n"/>
      <c r="E512" s="24" t="n"/>
      <c r="F512" s="24" t="n"/>
      <c r="G512" s="34" t="n"/>
      <c r="H512" s="24" t="n"/>
    </row>
    <row r="513" ht="15" customHeight="1" s="21">
      <c r="A513" s="35" t="n"/>
      <c r="B513" s="24" t="n"/>
      <c r="C513" s="24" t="n"/>
      <c r="D513" s="24" t="n"/>
      <c r="E513" s="24" t="n"/>
      <c r="F513" s="24" t="n"/>
      <c r="G513" s="34" t="n"/>
      <c r="H513" s="24" t="n"/>
    </row>
    <row r="514" ht="15" customHeight="1" s="21">
      <c r="A514" s="35" t="n"/>
      <c r="B514" s="24" t="n"/>
      <c r="C514" s="24" t="n"/>
      <c r="D514" s="24" t="n"/>
      <c r="E514" s="24" t="n"/>
      <c r="F514" s="24" t="n"/>
      <c r="G514" s="34" t="n"/>
      <c r="H514" s="24" t="n"/>
    </row>
    <row r="515" ht="15" customHeight="1" s="21">
      <c r="A515" s="35" t="n"/>
      <c r="B515" s="24" t="n"/>
      <c r="C515" s="24" t="n"/>
      <c r="D515" s="24" t="n"/>
      <c r="E515" s="24" t="n"/>
      <c r="F515" s="24" t="n"/>
      <c r="G515" s="34" t="n"/>
      <c r="H515" s="24" t="n"/>
    </row>
    <row r="516" ht="15" customHeight="1" s="21">
      <c r="A516" s="35" t="n"/>
      <c r="B516" s="24" t="n"/>
      <c r="C516" s="24" t="n"/>
      <c r="D516" s="24" t="n"/>
      <c r="E516" s="24" t="n"/>
      <c r="F516" s="24" t="n"/>
      <c r="G516" s="34" t="n"/>
      <c r="H516" s="24" t="n"/>
    </row>
    <row r="517" ht="15" customHeight="1" s="21">
      <c r="A517" s="35" t="n"/>
      <c r="B517" s="24" t="n"/>
      <c r="C517" s="24" t="n"/>
      <c r="D517" s="24" t="n"/>
      <c r="E517" s="24" t="n"/>
      <c r="F517" s="24" t="n"/>
      <c r="G517" s="34" t="n"/>
      <c r="H517" s="24" t="n"/>
    </row>
    <row r="518" ht="15" customHeight="1" s="21">
      <c r="A518" s="35" t="n"/>
      <c r="B518" s="24" t="n"/>
      <c r="C518" s="24" t="n"/>
      <c r="D518" s="24" t="n"/>
      <c r="E518" s="24" t="n"/>
      <c r="F518" s="24" t="n"/>
      <c r="G518" s="34" t="n"/>
      <c r="H518" s="24" t="n"/>
    </row>
    <row r="519" ht="15" customHeight="1" s="21">
      <c r="A519" s="35" t="n"/>
      <c r="B519" s="24" t="n"/>
      <c r="C519" s="24" t="n"/>
      <c r="D519" s="24" t="n"/>
      <c r="E519" s="24" t="n"/>
      <c r="F519" s="24" t="n"/>
      <c r="G519" s="34" t="n"/>
      <c r="H519" s="24" t="n"/>
    </row>
    <row r="520" ht="15" customHeight="1" s="21">
      <c r="A520" s="35" t="n"/>
      <c r="B520" s="24" t="n"/>
      <c r="C520" s="24" t="n"/>
      <c r="D520" s="24" t="n"/>
      <c r="E520" s="24" t="n"/>
      <c r="F520" s="24" t="n"/>
      <c r="G520" s="34" t="n"/>
      <c r="H520" s="24" t="n"/>
    </row>
    <row r="521" ht="15" customHeight="1" s="21">
      <c r="A521" s="35" t="n"/>
      <c r="B521" s="24" t="n"/>
      <c r="C521" s="24" t="n"/>
      <c r="D521" s="24" t="n"/>
      <c r="E521" s="24" t="n"/>
      <c r="F521" s="24" t="n"/>
      <c r="G521" s="34" t="n"/>
      <c r="H521" s="24" t="n"/>
    </row>
    <row r="522" ht="15" customHeight="1" s="21">
      <c r="A522" s="35" t="n"/>
      <c r="B522" s="24" t="n"/>
      <c r="C522" s="24" t="n"/>
      <c r="D522" s="24" t="n"/>
      <c r="E522" s="24" t="n"/>
      <c r="F522" s="24" t="n"/>
      <c r="G522" s="34" t="n"/>
      <c r="H522" s="24" t="n"/>
    </row>
    <row r="523" ht="15" customHeight="1" s="21">
      <c r="A523" s="35" t="n"/>
      <c r="B523" s="24" t="n"/>
      <c r="C523" s="24" t="n"/>
      <c r="D523" s="24" t="n"/>
      <c r="E523" s="24" t="n"/>
      <c r="F523" s="24" t="n"/>
      <c r="G523" s="34" t="n"/>
      <c r="H523" s="24" t="n"/>
    </row>
    <row r="524" ht="15" customHeight="1" s="21">
      <c r="A524" s="35" t="n"/>
      <c r="B524" s="24" t="n"/>
      <c r="C524" s="24" t="n"/>
      <c r="D524" s="24" t="n"/>
      <c r="E524" s="24" t="n"/>
      <c r="F524" s="24" t="n"/>
      <c r="G524" s="34" t="n"/>
      <c r="H524" s="24" t="n"/>
    </row>
    <row r="525" ht="15" customHeight="1" s="21">
      <c r="A525" s="35" t="n"/>
      <c r="B525" s="24" t="n"/>
      <c r="C525" s="24" t="n"/>
      <c r="D525" s="24" t="n"/>
      <c r="E525" s="24" t="n"/>
      <c r="F525" s="24" t="n"/>
      <c r="G525" s="34" t="n"/>
      <c r="H525" s="24" t="n"/>
    </row>
    <row r="526" ht="15" customHeight="1" s="21">
      <c r="A526" s="35" t="n"/>
      <c r="B526" s="24" t="n"/>
      <c r="C526" s="24" t="n"/>
      <c r="D526" s="24" t="n"/>
      <c r="E526" s="24" t="n"/>
      <c r="F526" s="24" t="n"/>
      <c r="G526" s="34" t="n"/>
      <c r="H526" s="24" t="n"/>
    </row>
    <row r="527" ht="15" customHeight="1" s="21">
      <c r="A527" s="35" t="n"/>
      <c r="B527" s="24" t="n"/>
      <c r="C527" s="24" t="n"/>
      <c r="D527" s="24" t="n"/>
      <c r="E527" s="24" t="n"/>
      <c r="F527" s="24" t="n"/>
      <c r="G527" s="34" t="n"/>
      <c r="H527" s="24" t="n"/>
    </row>
    <row r="528" ht="15" customHeight="1" s="21">
      <c r="A528" s="35" t="n"/>
      <c r="B528" s="24" t="n"/>
      <c r="C528" s="24" t="n"/>
      <c r="D528" s="24" t="n"/>
      <c r="E528" s="24" t="n"/>
      <c r="F528" s="24" t="n"/>
      <c r="G528" s="34" t="n"/>
      <c r="H528" s="24" t="n"/>
    </row>
    <row r="529" ht="15" customHeight="1" s="21">
      <c r="A529" s="35" t="n"/>
      <c r="B529" s="24" t="n"/>
      <c r="C529" s="24" t="n"/>
      <c r="D529" s="24" t="n"/>
      <c r="E529" s="24" t="n"/>
      <c r="F529" s="24" t="n"/>
      <c r="G529" s="34" t="n"/>
      <c r="H529" s="24" t="n"/>
    </row>
    <row r="530" ht="15" customHeight="1" s="21">
      <c r="A530" s="35" t="n"/>
      <c r="B530" s="24" t="n"/>
      <c r="C530" s="24" t="n"/>
      <c r="D530" s="24" t="n"/>
      <c r="E530" s="24" t="n"/>
      <c r="F530" s="24" t="n"/>
      <c r="G530" s="34" t="n"/>
      <c r="H530" s="24" t="n"/>
    </row>
    <row r="531" ht="15" customHeight="1" s="21">
      <c r="A531" s="35" t="n"/>
      <c r="B531" s="24" t="n"/>
      <c r="C531" s="24" t="n"/>
      <c r="D531" s="24" t="n"/>
      <c r="E531" s="24" t="n"/>
      <c r="F531" s="24" t="n"/>
      <c r="G531" s="34" t="n"/>
      <c r="H531" s="24" t="n"/>
    </row>
    <row r="532" ht="15" customHeight="1" s="21">
      <c r="A532" s="35" t="n"/>
      <c r="B532" s="24" t="n"/>
      <c r="C532" s="24" t="n"/>
      <c r="D532" s="24" t="n"/>
      <c r="E532" s="24" t="n"/>
      <c r="F532" s="24" t="n"/>
      <c r="G532" s="34" t="n"/>
      <c r="H532" s="24" t="n"/>
    </row>
    <row r="533" ht="15" customHeight="1" s="21">
      <c r="A533" s="35" t="n"/>
      <c r="B533" s="24" t="n"/>
      <c r="C533" s="24" t="n"/>
      <c r="D533" s="24" t="n"/>
      <c r="E533" s="24" t="n"/>
      <c r="F533" s="24" t="n"/>
      <c r="G533" s="34" t="n"/>
      <c r="H533" s="24" t="n"/>
    </row>
    <row r="534" ht="15" customHeight="1" s="21">
      <c r="A534" s="35" t="n"/>
      <c r="B534" s="24" t="n"/>
      <c r="C534" s="24" t="n"/>
      <c r="D534" s="24" t="n"/>
      <c r="E534" s="24" t="n"/>
      <c r="F534" s="24" t="n"/>
      <c r="G534" s="34" t="n"/>
      <c r="H534" s="24" t="n"/>
    </row>
    <row r="535" ht="15" customHeight="1" s="21">
      <c r="A535" s="35" t="n"/>
      <c r="B535" s="24" t="n"/>
      <c r="C535" s="24" t="n"/>
      <c r="D535" s="24" t="n"/>
      <c r="E535" s="24" t="n"/>
      <c r="F535" s="24" t="n"/>
      <c r="G535" s="34" t="n"/>
      <c r="H535" s="24" t="n"/>
    </row>
    <row r="536" ht="15" customHeight="1" s="21">
      <c r="A536" s="35" t="n"/>
      <c r="B536" s="24" t="n"/>
      <c r="C536" s="24" t="n"/>
      <c r="D536" s="24" t="n"/>
      <c r="E536" s="24" t="n"/>
      <c r="F536" s="24" t="n"/>
      <c r="G536" s="34" t="n"/>
      <c r="H536" s="24" t="n"/>
    </row>
    <row r="537" ht="15" customHeight="1" s="21">
      <c r="A537" s="35" t="n"/>
      <c r="B537" s="24" t="n"/>
      <c r="C537" s="24" t="n"/>
      <c r="D537" s="24" t="n"/>
      <c r="E537" s="24" t="n"/>
      <c r="F537" s="24" t="n"/>
      <c r="G537" s="34" t="n"/>
      <c r="H537" s="24" t="n"/>
    </row>
    <row r="538" ht="15" customHeight="1" s="21">
      <c r="A538" s="35" t="n"/>
      <c r="B538" s="24" t="n"/>
      <c r="C538" s="24" t="n"/>
      <c r="D538" s="24" t="n"/>
      <c r="E538" s="24" t="n"/>
      <c r="F538" s="24" t="n"/>
      <c r="G538" s="34" t="n"/>
      <c r="H538" s="24" t="n"/>
    </row>
    <row r="539" ht="15" customHeight="1" s="21">
      <c r="A539" s="35" t="n"/>
      <c r="B539" s="24" t="n"/>
      <c r="C539" s="24" t="n"/>
      <c r="D539" s="24" t="n"/>
      <c r="E539" s="24" t="n"/>
      <c r="F539" s="24" t="n"/>
      <c r="G539" s="34" t="n"/>
      <c r="H539" s="24" t="n"/>
    </row>
    <row r="540" ht="15" customHeight="1" s="21">
      <c r="A540" s="35" t="n"/>
      <c r="B540" s="24" t="n"/>
      <c r="C540" s="24" t="n"/>
      <c r="D540" s="24" t="n"/>
      <c r="E540" s="24" t="n"/>
      <c r="F540" s="24" t="n"/>
      <c r="G540" s="34" t="n"/>
      <c r="H540" s="24" t="n"/>
    </row>
    <row r="541" ht="15" customHeight="1" s="21">
      <c r="A541" s="35" t="n"/>
      <c r="B541" s="24" t="n"/>
      <c r="C541" s="24" t="n"/>
      <c r="D541" s="24" t="n"/>
      <c r="E541" s="24" t="n"/>
      <c r="F541" s="24" t="n"/>
      <c r="G541" s="34" t="n"/>
      <c r="H541" s="24" t="n"/>
    </row>
    <row r="542" ht="15" customHeight="1" s="21">
      <c r="A542" s="35" t="n"/>
      <c r="B542" s="24" t="n"/>
      <c r="C542" s="24" t="n"/>
      <c r="D542" s="24" t="n"/>
      <c r="E542" s="24" t="n"/>
      <c r="F542" s="24" t="n"/>
      <c r="G542" s="34" t="n"/>
      <c r="H542" s="24" t="n"/>
    </row>
    <row r="543" ht="15" customHeight="1" s="21">
      <c r="A543" s="35" t="n"/>
      <c r="B543" s="24" t="n"/>
      <c r="C543" s="24" t="n"/>
      <c r="D543" s="24" t="n"/>
      <c r="E543" s="24" t="n"/>
      <c r="F543" s="24" t="n"/>
      <c r="G543" s="34" t="n"/>
      <c r="H543" s="24" t="n"/>
    </row>
    <row r="544" ht="15" customHeight="1" s="21">
      <c r="A544" s="35" t="n"/>
      <c r="B544" s="24" t="n"/>
      <c r="C544" s="24" t="n"/>
      <c r="D544" s="24" t="n"/>
      <c r="E544" s="24" t="n"/>
      <c r="F544" s="24" t="n"/>
      <c r="G544" s="34" t="n"/>
      <c r="H544" s="24" t="n"/>
    </row>
    <row r="545" ht="15" customHeight="1" s="21">
      <c r="A545" s="35" t="n"/>
      <c r="B545" s="24" t="n"/>
      <c r="C545" s="24" t="n"/>
      <c r="D545" s="24" t="n"/>
      <c r="E545" s="24" t="n"/>
      <c r="F545" s="24" t="n"/>
      <c r="G545" s="34" t="n"/>
      <c r="H545" s="24" t="n"/>
    </row>
    <row r="546" ht="15" customHeight="1" s="21">
      <c r="A546" s="35" t="n"/>
      <c r="B546" s="24" t="n"/>
      <c r="C546" s="24" t="n"/>
      <c r="D546" s="24" t="n"/>
      <c r="E546" s="24" t="n"/>
      <c r="F546" s="24" t="n"/>
      <c r="G546" s="34" t="n"/>
      <c r="H546" s="24" t="n"/>
    </row>
    <row r="547" ht="15" customHeight="1" s="21">
      <c r="A547" s="35" t="n"/>
      <c r="B547" s="24" t="n"/>
      <c r="C547" s="24" t="n"/>
      <c r="D547" s="24" t="n"/>
      <c r="E547" s="24" t="n"/>
      <c r="F547" s="24" t="n"/>
      <c r="G547" s="34" t="n"/>
      <c r="H547" s="24" t="n"/>
    </row>
    <row r="548" ht="15" customHeight="1" s="21">
      <c r="A548" s="35" t="n"/>
      <c r="B548" s="24" t="n"/>
      <c r="C548" s="24" t="n"/>
      <c r="D548" s="24" t="n"/>
      <c r="E548" s="24" t="n"/>
      <c r="F548" s="24" t="n"/>
      <c r="G548" s="34" t="n"/>
      <c r="H548" s="24" t="n"/>
    </row>
    <row r="549" ht="15" customHeight="1" s="21">
      <c r="A549" s="35" t="n"/>
      <c r="B549" s="24" t="n"/>
      <c r="C549" s="24" t="n"/>
      <c r="D549" s="24" t="n"/>
      <c r="E549" s="24" t="n"/>
      <c r="F549" s="24" t="n"/>
      <c r="G549" s="34" t="n"/>
      <c r="H549" s="24" t="n"/>
    </row>
    <row r="550" ht="15" customHeight="1" s="21">
      <c r="A550" s="35" t="n"/>
      <c r="B550" s="24" t="n"/>
      <c r="C550" s="24" t="n"/>
      <c r="D550" s="24" t="n"/>
      <c r="E550" s="24" t="n"/>
      <c r="F550" s="24" t="n"/>
      <c r="G550" s="34" t="n"/>
      <c r="H550" s="24" t="n"/>
    </row>
    <row r="551" ht="15" customHeight="1" s="21">
      <c r="A551" s="35" t="n"/>
      <c r="B551" s="24" t="n"/>
      <c r="C551" s="24" t="n"/>
      <c r="D551" s="24" t="n"/>
      <c r="E551" s="24" t="n"/>
      <c r="F551" s="24" t="n"/>
      <c r="G551" s="34" t="n"/>
      <c r="H551" s="24" t="n"/>
    </row>
    <row r="552" ht="15" customHeight="1" s="21">
      <c r="A552" s="35" t="n"/>
      <c r="B552" s="24" t="n"/>
      <c r="C552" s="24" t="n"/>
      <c r="D552" s="24" t="n"/>
      <c r="E552" s="24" t="n"/>
      <c r="F552" s="24" t="n"/>
      <c r="G552" s="34" t="n"/>
      <c r="H552" s="24" t="n"/>
    </row>
    <row r="553" ht="15" customHeight="1" s="21">
      <c r="A553" s="35" t="n"/>
      <c r="B553" s="24" t="n"/>
      <c r="C553" s="24" t="n"/>
      <c r="D553" s="24" t="n"/>
      <c r="E553" s="24" t="n"/>
      <c r="F553" s="24" t="n"/>
      <c r="G553" s="34" t="n"/>
      <c r="H553" s="24" t="n"/>
    </row>
    <row r="554" ht="15" customHeight="1" s="21">
      <c r="A554" s="35" t="n"/>
      <c r="B554" s="24" t="n"/>
      <c r="C554" s="24" t="n"/>
      <c r="D554" s="24" t="n"/>
      <c r="E554" s="24" t="n"/>
      <c r="F554" s="24" t="n"/>
      <c r="G554" s="34" t="n"/>
      <c r="H554" s="24" t="n"/>
    </row>
    <row r="555" ht="15" customHeight="1" s="21">
      <c r="A555" s="35" t="n"/>
      <c r="B555" s="24" t="n"/>
      <c r="C555" s="24" t="n"/>
      <c r="D555" s="24" t="n"/>
      <c r="E555" s="24" t="n"/>
      <c r="F555" s="24" t="n"/>
      <c r="G555" s="34" t="n"/>
      <c r="H555" s="24" t="n"/>
    </row>
    <row r="556" ht="15" customHeight="1" s="21">
      <c r="A556" s="35" t="n"/>
      <c r="B556" s="24" t="n"/>
      <c r="C556" s="24" t="n"/>
      <c r="D556" s="24" t="n"/>
      <c r="E556" s="24" t="n"/>
      <c r="F556" s="24" t="n"/>
      <c r="G556" s="34" t="n"/>
      <c r="H556" s="24" t="n"/>
    </row>
    <row r="557" ht="15" customHeight="1" s="21">
      <c r="A557" s="35" t="n"/>
      <c r="B557" s="24" t="n"/>
      <c r="C557" s="24" t="n"/>
      <c r="D557" s="24" t="n"/>
      <c r="E557" s="24" t="n"/>
      <c r="F557" s="24" t="n"/>
      <c r="G557" s="34" t="n"/>
      <c r="H557" s="24" t="n"/>
    </row>
    <row r="558" ht="15" customHeight="1" s="21">
      <c r="A558" s="35" t="n"/>
      <c r="B558" s="24" t="n"/>
      <c r="C558" s="24" t="n"/>
      <c r="D558" s="24" t="n"/>
      <c r="E558" s="24" t="n"/>
      <c r="F558" s="24" t="n"/>
      <c r="G558" s="34" t="n"/>
      <c r="H558" s="24" t="n"/>
    </row>
    <row r="559" ht="15" customHeight="1" s="21">
      <c r="A559" s="35" t="n"/>
      <c r="B559" s="24" t="n"/>
      <c r="C559" s="24" t="n"/>
      <c r="D559" s="24" t="n"/>
      <c r="E559" s="24" t="n"/>
      <c r="F559" s="24" t="n"/>
      <c r="G559" s="34" t="n"/>
      <c r="H559" s="24" t="n"/>
    </row>
    <row r="560" ht="15" customHeight="1" s="21">
      <c r="A560" s="35" t="n"/>
      <c r="B560" s="24" t="n"/>
      <c r="C560" s="24" t="n"/>
      <c r="D560" s="24" t="n"/>
      <c r="E560" s="24" t="n"/>
      <c r="F560" s="24" t="n"/>
      <c r="G560" s="34" t="n"/>
      <c r="H560" s="24" t="n"/>
    </row>
    <row r="561" ht="15" customHeight="1" s="21">
      <c r="A561" s="35" t="n"/>
      <c r="B561" s="24" t="n"/>
      <c r="C561" s="24" t="n"/>
      <c r="D561" s="24" t="n"/>
      <c r="E561" s="24" t="n"/>
      <c r="F561" s="24" t="n"/>
      <c r="G561" s="34" t="n"/>
      <c r="H561" s="24" t="n"/>
    </row>
    <row r="562" ht="15" customHeight="1" s="21">
      <c r="A562" s="35" t="n"/>
      <c r="B562" s="24" t="n"/>
      <c r="C562" s="24" t="n"/>
      <c r="D562" s="24" t="n"/>
      <c r="E562" s="24" t="n"/>
      <c r="F562" s="24" t="n"/>
      <c r="G562" s="34" t="n"/>
      <c r="H562" s="24" t="n"/>
    </row>
    <row r="563" ht="15" customHeight="1" s="21">
      <c r="A563" s="35" t="n"/>
      <c r="B563" s="24" t="n"/>
      <c r="C563" s="24" t="n"/>
      <c r="D563" s="24" t="n"/>
      <c r="E563" s="24" t="n"/>
      <c r="F563" s="24" t="n"/>
      <c r="G563" s="34" t="n"/>
      <c r="H563" s="24" t="n"/>
    </row>
    <row r="564" ht="15" customHeight="1" s="21">
      <c r="A564" s="35" t="n"/>
      <c r="B564" s="24" t="n"/>
      <c r="C564" s="24" t="n"/>
      <c r="D564" s="24" t="n"/>
      <c r="E564" s="24" t="n"/>
      <c r="F564" s="24" t="n"/>
      <c r="G564" s="34" t="n"/>
      <c r="H564" s="24" t="n"/>
    </row>
    <row r="565" ht="15" customHeight="1" s="21">
      <c r="A565" s="35" t="n"/>
      <c r="B565" s="24" t="n"/>
      <c r="C565" s="24" t="n"/>
      <c r="D565" s="24" t="n"/>
      <c r="E565" s="24" t="n"/>
      <c r="F565" s="24" t="n"/>
      <c r="G565" s="34" t="n"/>
      <c r="H565" s="24" t="n"/>
    </row>
    <row r="566" ht="15" customHeight="1" s="21">
      <c r="A566" s="35" t="n"/>
      <c r="B566" s="24" t="n"/>
      <c r="C566" s="24" t="n"/>
      <c r="D566" s="24" t="n"/>
      <c r="E566" s="24" t="n"/>
      <c r="F566" s="24" t="n"/>
      <c r="G566" s="34" t="n"/>
      <c r="H566" s="24" t="n"/>
    </row>
    <row r="567" ht="15" customHeight="1" s="21">
      <c r="A567" s="35" t="n"/>
      <c r="B567" s="24" t="n"/>
      <c r="C567" s="24" t="n"/>
      <c r="D567" s="24" t="n"/>
      <c r="E567" s="24" t="n"/>
      <c r="F567" s="24" t="n"/>
      <c r="G567" s="34" t="n"/>
      <c r="H567" s="24" t="n"/>
    </row>
    <row r="568" ht="15" customHeight="1" s="21">
      <c r="A568" s="35" t="n"/>
      <c r="B568" s="24" t="n"/>
      <c r="C568" s="24" t="n"/>
      <c r="D568" s="24" t="n"/>
      <c r="E568" s="24" t="n"/>
      <c r="F568" s="24" t="n"/>
      <c r="G568" s="34" t="n"/>
      <c r="H568" s="24" t="n"/>
    </row>
    <row r="569" ht="15" customHeight="1" s="21">
      <c r="A569" s="35" t="n"/>
      <c r="B569" s="24" t="n"/>
      <c r="C569" s="24" t="n"/>
      <c r="D569" s="24" t="n"/>
      <c r="E569" s="24" t="n"/>
      <c r="F569" s="24" t="n"/>
      <c r="G569" s="34" t="n"/>
      <c r="H569" s="24" t="n"/>
    </row>
    <row r="570" ht="15" customHeight="1" s="21">
      <c r="A570" s="35" t="n"/>
      <c r="B570" s="24" t="n"/>
      <c r="C570" s="24" t="n"/>
      <c r="D570" s="24" t="n"/>
      <c r="E570" s="24" t="n"/>
      <c r="F570" s="24" t="n"/>
      <c r="G570" s="34" t="n"/>
      <c r="H570" s="24" t="n"/>
    </row>
    <row r="571" ht="15" customHeight="1" s="21">
      <c r="A571" s="35" t="n"/>
      <c r="B571" s="24" t="n"/>
      <c r="C571" s="24" t="n"/>
      <c r="D571" s="24" t="n"/>
      <c r="E571" s="24" t="n"/>
      <c r="F571" s="24" t="n"/>
      <c r="G571" s="34" t="n"/>
      <c r="H571" s="24" t="n"/>
    </row>
    <row r="572" ht="15" customHeight="1" s="21">
      <c r="A572" s="35" t="n"/>
      <c r="B572" s="24" t="n"/>
      <c r="C572" s="24" t="n"/>
      <c r="D572" s="24" t="n"/>
      <c r="E572" s="24" t="n"/>
      <c r="F572" s="24" t="n"/>
      <c r="G572" s="34" t="n"/>
      <c r="H572" s="24" t="n"/>
    </row>
    <row r="573" ht="15" customHeight="1" s="21">
      <c r="A573" s="35" t="n"/>
      <c r="B573" s="24" t="n"/>
      <c r="C573" s="24" t="n"/>
      <c r="D573" s="24" t="n"/>
      <c r="E573" s="24" t="n"/>
      <c r="F573" s="24" t="n"/>
      <c r="G573" s="34" t="n"/>
      <c r="H573" s="24" t="n"/>
    </row>
    <row r="574" ht="15" customHeight="1" s="21">
      <c r="A574" s="35" t="n"/>
      <c r="B574" s="24" t="n"/>
      <c r="C574" s="24" t="n"/>
      <c r="D574" s="24" t="n"/>
      <c r="E574" s="24" t="n"/>
      <c r="F574" s="24" t="n"/>
      <c r="G574" s="34" t="n"/>
      <c r="H574" s="24" t="n"/>
    </row>
    <row r="575" ht="15" customHeight="1" s="21">
      <c r="A575" s="35" t="n"/>
      <c r="B575" s="24" t="n"/>
      <c r="C575" s="24" t="n"/>
      <c r="D575" s="24" t="n"/>
      <c r="E575" s="24" t="n"/>
      <c r="F575" s="24" t="n"/>
      <c r="G575" s="34" t="n"/>
      <c r="H575" s="24" t="n"/>
    </row>
    <row r="576" ht="15" customHeight="1" s="21">
      <c r="A576" s="35" t="n"/>
      <c r="B576" s="24" t="n"/>
      <c r="C576" s="24" t="n"/>
      <c r="D576" s="24" t="n"/>
      <c r="E576" s="24" t="n"/>
      <c r="F576" s="24" t="n"/>
      <c r="G576" s="34" t="n"/>
      <c r="H576" s="24" t="n"/>
    </row>
    <row r="577" ht="15" customHeight="1" s="21">
      <c r="A577" s="35" t="n"/>
      <c r="B577" s="24" t="n"/>
      <c r="C577" s="24" t="n"/>
      <c r="D577" s="24" t="n"/>
      <c r="E577" s="24" t="n"/>
      <c r="F577" s="24" t="n"/>
      <c r="G577" s="34" t="n"/>
      <c r="H577" s="24" t="n"/>
    </row>
    <row r="578" ht="15" customHeight="1" s="21">
      <c r="A578" s="35" t="n"/>
      <c r="B578" s="24" t="n"/>
      <c r="C578" s="24" t="n"/>
      <c r="D578" s="24" t="n"/>
      <c r="E578" s="24" t="n"/>
      <c r="F578" s="24" t="n"/>
      <c r="G578" s="34" t="n"/>
      <c r="H578" s="24" t="n"/>
    </row>
    <row r="579" ht="15" customHeight="1" s="21">
      <c r="A579" s="35" t="n"/>
      <c r="B579" s="24" t="n"/>
      <c r="C579" s="24" t="n"/>
      <c r="D579" s="24" t="n"/>
      <c r="E579" s="24" t="n"/>
      <c r="F579" s="24" t="n"/>
      <c r="G579" s="34" t="n"/>
      <c r="H579" s="24" t="n"/>
    </row>
    <row r="580" ht="15" customHeight="1" s="21">
      <c r="A580" s="35" t="n"/>
      <c r="B580" s="24" t="n"/>
      <c r="C580" s="24" t="n"/>
      <c r="D580" s="24" t="n"/>
      <c r="E580" s="24" t="n"/>
      <c r="F580" s="24" t="n"/>
      <c r="G580" s="34" t="n"/>
      <c r="H580" s="24" t="n"/>
    </row>
    <row r="581" ht="15" customHeight="1" s="21">
      <c r="A581" s="35" t="n"/>
      <c r="B581" s="24" t="n"/>
      <c r="C581" s="24" t="n"/>
      <c r="D581" s="24" t="n"/>
      <c r="E581" s="24" t="n"/>
      <c r="F581" s="24" t="n"/>
      <c r="G581" s="34" t="n"/>
      <c r="H581" s="24" t="n"/>
    </row>
    <row r="582" ht="15" customHeight="1" s="21">
      <c r="A582" s="35" t="n"/>
      <c r="B582" s="24" t="n"/>
      <c r="C582" s="24" t="n"/>
      <c r="D582" s="24" t="n"/>
      <c r="E582" s="24" t="n"/>
      <c r="F582" s="24" t="n"/>
      <c r="G582" s="34" t="n"/>
      <c r="H582" s="24" t="n"/>
    </row>
    <row r="583" ht="15" customHeight="1" s="21">
      <c r="A583" s="35" t="n"/>
      <c r="B583" s="24" t="n"/>
      <c r="C583" s="24" t="n"/>
      <c r="D583" s="24" t="n"/>
      <c r="E583" s="24" t="n"/>
      <c r="F583" s="24" t="n"/>
      <c r="G583" s="34" t="n"/>
      <c r="H583" s="24" t="n"/>
    </row>
    <row r="584" ht="15" customHeight="1" s="21">
      <c r="A584" s="35" t="n"/>
      <c r="B584" s="24" t="n"/>
      <c r="C584" s="24" t="n"/>
      <c r="D584" s="24" t="n"/>
      <c r="E584" s="24" t="n"/>
      <c r="F584" s="24" t="n"/>
      <c r="G584" s="34" t="n"/>
      <c r="H584" s="24" t="n"/>
    </row>
    <row r="585" ht="15" customHeight="1" s="21">
      <c r="A585" s="35" t="n"/>
      <c r="B585" s="24" t="n"/>
      <c r="C585" s="24" t="n"/>
      <c r="D585" s="24" t="n"/>
      <c r="E585" s="24" t="n"/>
      <c r="F585" s="24" t="n"/>
      <c r="G585" s="34" t="n"/>
      <c r="H585" s="24" t="n"/>
    </row>
    <row r="586" ht="15" customHeight="1" s="21">
      <c r="A586" s="35" t="n"/>
      <c r="B586" s="24" t="n"/>
      <c r="C586" s="24" t="n"/>
      <c r="D586" s="24" t="n"/>
      <c r="E586" s="24" t="n"/>
      <c r="F586" s="24" t="n"/>
      <c r="G586" s="34" t="n"/>
      <c r="H586" s="24" t="n"/>
    </row>
    <row r="587" ht="15" customHeight="1" s="21">
      <c r="A587" s="35" t="n"/>
      <c r="B587" s="24" t="n"/>
      <c r="C587" s="24" t="n"/>
      <c r="D587" s="24" t="n"/>
      <c r="E587" s="24" t="n"/>
      <c r="F587" s="24" t="n"/>
      <c r="G587" s="34" t="n"/>
      <c r="H587" s="24" t="n"/>
    </row>
    <row r="588" ht="15" customHeight="1" s="21">
      <c r="A588" s="35" t="n"/>
      <c r="B588" s="24" t="n"/>
      <c r="C588" s="24" t="n"/>
      <c r="D588" s="24" t="n"/>
      <c r="E588" s="24" t="n"/>
      <c r="F588" s="24" t="n"/>
      <c r="G588" s="34" t="n"/>
      <c r="H588" s="24" t="n"/>
    </row>
    <row r="589" ht="15" customHeight="1" s="21">
      <c r="A589" s="35" t="n"/>
      <c r="B589" s="24" t="n"/>
      <c r="C589" s="24" t="n"/>
      <c r="D589" s="24" t="n"/>
      <c r="E589" s="24" t="n"/>
      <c r="F589" s="24" t="n"/>
      <c r="G589" s="34" t="n"/>
      <c r="H589" s="24" t="n"/>
    </row>
    <row r="590" ht="15" customHeight="1" s="21">
      <c r="A590" s="35" t="n"/>
      <c r="B590" s="24" t="n"/>
      <c r="C590" s="24" t="n"/>
      <c r="D590" s="24" t="n"/>
      <c r="E590" s="24" t="n"/>
      <c r="F590" s="24" t="n"/>
      <c r="G590" s="34" t="n"/>
      <c r="H590" s="24" t="n"/>
    </row>
    <row r="591" ht="15" customHeight="1" s="21">
      <c r="A591" s="35" t="n"/>
      <c r="B591" s="24" t="n"/>
      <c r="C591" s="24" t="n"/>
      <c r="D591" s="24" t="n"/>
      <c r="E591" s="24" t="n"/>
      <c r="F591" s="24" t="n"/>
      <c r="G591" s="34" t="n"/>
      <c r="H591" s="24" t="n"/>
    </row>
    <row r="592" ht="15" customHeight="1" s="21">
      <c r="A592" s="35" t="n"/>
      <c r="B592" s="24" t="n"/>
      <c r="C592" s="24" t="n"/>
      <c r="D592" s="24" t="n"/>
      <c r="E592" s="24" t="n"/>
      <c r="F592" s="24" t="n"/>
      <c r="G592" s="34" t="n"/>
      <c r="H592" s="24" t="n"/>
    </row>
    <row r="593" ht="15" customHeight="1" s="21">
      <c r="A593" s="35" t="n"/>
      <c r="B593" s="24" t="n"/>
      <c r="C593" s="24" t="n"/>
      <c r="D593" s="24" t="n"/>
      <c r="E593" s="24" t="n"/>
      <c r="F593" s="24" t="n"/>
      <c r="G593" s="34" t="n"/>
      <c r="H593" s="24" t="n"/>
    </row>
    <row r="594" ht="15" customHeight="1" s="21">
      <c r="A594" s="35" t="n"/>
      <c r="B594" s="24" t="n"/>
      <c r="C594" s="24" t="n"/>
      <c r="D594" s="24" t="n"/>
      <c r="E594" s="24" t="n"/>
      <c r="F594" s="24" t="n"/>
      <c r="G594" s="34" t="n"/>
      <c r="H594" s="24" t="n"/>
    </row>
    <row r="595" ht="15" customHeight="1" s="21">
      <c r="A595" s="35" t="n"/>
      <c r="B595" s="24" t="n"/>
      <c r="C595" s="24" t="n"/>
      <c r="D595" s="24" t="n"/>
      <c r="E595" s="24" t="n"/>
      <c r="F595" s="24" t="n"/>
      <c r="G595" s="34" t="n"/>
      <c r="H595" s="24" t="n"/>
    </row>
    <row r="596" ht="15" customHeight="1" s="21">
      <c r="A596" s="35" t="n"/>
      <c r="B596" s="24" t="n"/>
      <c r="C596" s="24" t="n"/>
      <c r="D596" s="24" t="n"/>
      <c r="E596" s="24" t="n"/>
      <c r="F596" s="24" t="n"/>
      <c r="G596" s="34" t="n"/>
      <c r="H596" s="24" t="n"/>
    </row>
    <row r="597" ht="15" customHeight="1" s="21">
      <c r="A597" s="35" t="n"/>
      <c r="B597" s="24" t="n"/>
      <c r="C597" s="24" t="n"/>
      <c r="D597" s="24" t="n"/>
      <c r="E597" s="24" t="n"/>
      <c r="F597" s="24" t="n"/>
      <c r="G597" s="34" t="n"/>
      <c r="H597" s="24" t="n"/>
    </row>
    <row r="598" ht="15" customHeight="1" s="21">
      <c r="A598" s="35" t="n"/>
      <c r="B598" s="24" t="n"/>
      <c r="C598" s="24" t="n"/>
      <c r="D598" s="24" t="n"/>
      <c r="E598" s="24" t="n"/>
      <c r="F598" s="24" t="n"/>
      <c r="G598" s="34" t="n"/>
      <c r="H598" s="24" t="n"/>
    </row>
    <row r="599" ht="15" customHeight="1" s="21">
      <c r="A599" s="35" t="n"/>
      <c r="B599" s="24" t="n"/>
      <c r="C599" s="24" t="n"/>
      <c r="D599" s="24" t="n"/>
      <c r="E599" s="24" t="n"/>
      <c r="F599" s="24" t="n"/>
      <c r="G599" s="34" t="n"/>
      <c r="H599" s="24" t="n"/>
    </row>
    <row r="600" ht="15" customHeight="1" s="21">
      <c r="A600" s="35" t="n"/>
      <c r="B600" s="24" t="n"/>
      <c r="C600" s="24" t="n"/>
      <c r="D600" s="24" t="n"/>
      <c r="E600" s="24" t="n"/>
      <c r="F600" s="24" t="n"/>
      <c r="G600" s="34" t="n"/>
      <c r="H600" s="24" t="n"/>
    </row>
    <row r="601" ht="15" customHeight="1" s="21">
      <c r="A601" s="35" t="n"/>
      <c r="B601" s="24" t="n"/>
      <c r="C601" s="24" t="n"/>
      <c r="D601" s="24" t="n"/>
      <c r="E601" s="24" t="n"/>
      <c r="F601" s="24" t="n"/>
      <c r="G601" s="34" t="n"/>
      <c r="H601" s="24" t="n"/>
    </row>
    <row r="602" ht="15" customHeight="1" s="21">
      <c r="A602" s="35" t="n"/>
      <c r="B602" s="24" t="n"/>
      <c r="C602" s="24" t="n"/>
      <c r="D602" s="24" t="n"/>
      <c r="E602" s="24" t="n"/>
      <c r="F602" s="24" t="n"/>
      <c r="G602" s="34" t="n"/>
      <c r="H602" s="24" t="n"/>
    </row>
    <row r="603" ht="15" customHeight="1" s="21">
      <c r="A603" s="35" t="n"/>
      <c r="B603" s="24" t="n"/>
      <c r="C603" s="24" t="n"/>
      <c r="D603" s="24" t="n"/>
      <c r="E603" s="24" t="n"/>
      <c r="F603" s="24" t="n"/>
      <c r="G603" s="34" t="n"/>
      <c r="H603" s="24" t="n"/>
    </row>
    <row r="604" ht="15" customHeight="1" s="21">
      <c r="A604" s="35" t="n"/>
      <c r="B604" s="24" t="n"/>
      <c r="C604" s="24" t="n"/>
      <c r="D604" s="24" t="n"/>
      <c r="E604" s="24" t="n"/>
      <c r="F604" s="24" t="n"/>
      <c r="G604" s="34" t="n"/>
      <c r="H604" s="24" t="n"/>
    </row>
    <row r="605" ht="15" customHeight="1" s="21">
      <c r="A605" s="35" t="n"/>
      <c r="B605" s="24" t="n"/>
      <c r="C605" s="24" t="n"/>
      <c r="D605" s="24" t="n"/>
      <c r="E605" s="24" t="n"/>
      <c r="F605" s="24" t="n"/>
      <c r="G605" s="34" t="n"/>
      <c r="H605" s="24" t="n"/>
    </row>
    <row r="606" ht="15" customHeight="1" s="21">
      <c r="A606" s="35" t="n"/>
      <c r="B606" s="24" t="n"/>
      <c r="C606" s="24" t="n"/>
      <c r="D606" s="24" t="n"/>
      <c r="E606" s="24" t="n"/>
      <c r="F606" s="24" t="n"/>
      <c r="G606" s="34" t="n"/>
      <c r="H606" s="24" t="n"/>
    </row>
    <row r="607" ht="15" customHeight="1" s="21">
      <c r="A607" s="35" t="n"/>
      <c r="B607" s="24" t="n"/>
      <c r="C607" s="24" t="n"/>
      <c r="D607" s="24" t="n"/>
      <c r="E607" s="24" t="n"/>
      <c r="F607" s="24" t="n"/>
      <c r="G607" s="34" t="n"/>
      <c r="H607" s="24" t="n"/>
    </row>
    <row r="608" ht="15" customHeight="1" s="21">
      <c r="A608" s="35" t="n"/>
      <c r="B608" s="24" t="n"/>
      <c r="C608" s="24" t="n"/>
      <c r="D608" s="24" t="n"/>
      <c r="E608" s="24" t="n"/>
      <c r="F608" s="24" t="n"/>
      <c r="G608" s="34" t="n"/>
      <c r="H608" s="24" t="n"/>
    </row>
    <row r="609" ht="15" customHeight="1" s="21">
      <c r="A609" s="35" t="n"/>
      <c r="B609" s="24" t="n"/>
      <c r="C609" s="24" t="n"/>
      <c r="D609" s="24" t="n"/>
      <c r="E609" s="24" t="n"/>
      <c r="F609" s="24" t="n"/>
      <c r="G609" s="34" t="n"/>
      <c r="H609" s="24" t="n"/>
    </row>
    <row r="610" ht="15" customHeight="1" s="21">
      <c r="A610" s="35" t="n"/>
      <c r="B610" s="24" t="n"/>
      <c r="C610" s="24" t="n"/>
      <c r="D610" s="24" t="n"/>
      <c r="E610" s="24" t="n"/>
      <c r="F610" s="24" t="n"/>
      <c r="G610" s="34" t="n"/>
      <c r="H610" s="24" t="n"/>
    </row>
    <row r="611" ht="15" customHeight="1" s="21">
      <c r="A611" s="35" t="n"/>
      <c r="B611" s="24" t="n"/>
      <c r="C611" s="24" t="n"/>
      <c r="D611" s="24" t="n"/>
      <c r="E611" s="24" t="n"/>
      <c r="F611" s="24" t="n"/>
      <c r="G611" s="34" t="n"/>
      <c r="H611" s="24" t="n"/>
    </row>
    <row r="612" ht="15" customHeight="1" s="21">
      <c r="A612" s="35" t="n"/>
      <c r="B612" s="24" t="n"/>
      <c r="C612" s="24" t="n"/>
      <c r="D612" s="24" t="n"/>
      <c r="E612" s="24" t="n"/>
      <c r="F612" s="24" t="n"/>
      <c r="G612" s="34" t="n"/>
      <c r="H612" s="24" t="n"/>
    </row>
    <row r="613" ht="15" customHeight="1" s="21">
      <c r="A613" s="35" t="n"/>
      <c r="B613" s="24" t="n"/>
      <c r="C613" s="24" t="n"/>
      <c r="D613" s="24" t="n"/>
      <c r="E613" s="24" t="n"/>
      <c r="F613" s="24" t="n"/>
      <c r="G613" s="34" t="n"/>
      <c r="H613" s="24" t="n"/>
    </row>
    <row r="614" ht="15" customHeight="1" s="21">
      <c r="A614" s="35" t="n"/>
      <c r="B614" s="24" t="n"/>
      <c r="C614" s="24" t="n"/>
      <c r="D614" s="24" t="n"/>
      <c r="E614" s="24" t="n"/>
      <c r="F614" s="24" t="n"/>
      <c r="G614" s="34" t="n"/>
      <c r="H614" s="24" t="n"/>
    </row>
    <row r="615" ht="15" customHeight="1" s="21">
      <c r="A615" s="35" t="n"/>
      <c r="B615" s="24" t="n"/>
      <c r="C615" s="24" t="n"/>
      <c r="D615" s="24" t="n"/>
      <c r="E615" s="24" t="n"/>
      <c r="F615" s="24" t="n"/>
      <c r="G615" s="34" t="n"/>
      <c r="H615" s="24" t="n"/>
    </row>
    <row r="616" ht="15" customHeight="1" s="21">
      <c r="A616" s="35" t="n"/>
      <c r="B616" s="24" t="n"/>
      <c r="C616" s="24" t="n"/>
      <c r="D616" s="24" t="n"/>
      <c r="E616" s="24" t="n"/>
      <c r="F616" s="24" t="n"/>
      <c r="G616" s="34" t="n"/>
      <c r="H616" s="24" t="n"/>
    </row>
    <row r="617" ht="15" customHeight="1" s="21">
      <c r="A617" s="35" t="n"/>
      <c r="B617" s="24" t="n"/>
      <c r="C617" s="24" t="n"/>
      <c r="D617" s="24" t="n"/>
      <c r="E617" s="24" t="n"/>
      <c r="F617" s="24" t="n"/>
      <c r="G617" s="34" t="n"/>
      <c r="H617" s="24" t="n"/>
    </row>
    <row r="618" ht="15" customHeight="1" s="21">
      <c r="A618" s="35" t="n"/>
      <c r="B618" s="24" t="n"/>
      <c r="C618" s="24" t="n"/>
      <c r="D618" s="24" t="n"/>
      <c r="E618" s="24" t="n"/>
      <c r="F618" s="24" t="n"/>
      <c r="G618" s="34" t="n"/>
      <c r="H618" s="24" t="n"/>
    </row>
    <row r="619" ht="15" customHeight="1" s="21">
      <c r="A619" s="35" t="n"/>
      <c r="B619" s="24" t="n"/>
      <c r="C619" s="24" t="n"/>
      <c r="D619" s="24" t="n"/>
      <c r="E619" s="24" t="n"/>
      <c r="F619" s="24" t="n"/>
      <c r="G619" s="34" t="n"/>
      <c r="H619" s="24" t="n"/>
    </row>
    <row r="620" ht="15" customHeight="1" s="21">
      <c r="A620" s="35" t="n"/>
      <c r="B620" s="24" t="n"/>
      <c r="C620" s="24" t="n"/>
      <c r="D620" s="24" t="n"/>
      <c r="E620" s="24" t="n"/>
      <c r="F620" s="24" t="n"/>
      <c r="G620" s="34" t="n"/>
      <c r="H620" s="24" t="n"/>
    </row>
    <row r="621" ht="15" customHeight="1" s="21">
      <c r="A621" s="35" t="n"/>
      <c r="B621" s="24" t="n"/>
      <c r="C621" s="24" t="n"/>
      <c r="D621" s="24" t="n"/>
      <c r="E621" s="24" t="n"/>
      <c r="F621" s="24" t="n"/>
      <c r="G621" s="34" t="n"/>
      <c r="H621" s="24" t="n"/>
    </row>
    <row r="622" ht="15" customHeight="1" s="21">
      <c r="A622" s="35" t="n"/>
      <c r="B622" s="24" t="n"/>
      <c r="C622" s="24" t="n"/>
      <c r="D622" s="24" t="n"/>
      <c r="E622" s="24" t="n"/>
      <c r="F622" s="24" t="n"/>
      <c r="G622" s="34" t="n"/>
      <c r="H622" s="24" t="n"/>
    </row>
    <row r="623" ht="15" customHeight="1" s="21">
      <c r="A623" s="35" t="n"/>
      <c r="B623" s="24" t="n"/>
      <c r="C623" s="24" t="n"/>
      <c r="D623" s="24" t="n"/>
      <c r="E623" s="24" t="n"/>
      <c r="F623" s="24" t="n"/>
      <c r="G623" s="34" t="n"/>
      <c r="H623" s="24" t="n"/>
    </row>
    <row r="624" ht="15" customHeight="1" s="21">
      <c r="A624" s="35" t="n"/>
      <c r="B624" s="24" t="n"/>
      <c r="C624" s="24" t="n"/>
      <c r="D624" s="24" t="n"/>
      <c r="E624" s="24" t="n"/>
      <c r="F624" s="24" t="n"/>
      <c r="G624" s="34" t="n"/>
      <c r="H624" s="24" t="n"/>
    </row>
    <row r="625" ht="15" customHeight="1" s="21">
      <c r="A625" s="35" t="n"/>
      <c r="B625" s="24" t="n"/>
      <c r="C625" s="24" t="n"/>
      <c r="D625" s="24" t="n"/>
      <c r="E625" s="24" t="n"/>
      <c r="F625" s="24" t="n"/>
      <c r="G625" s="34" t="n"/>
      <c r="H625" s="24" t="n"/>
    </row>
    <row r="626" ht="15" customHeight="1" s="21">
      <c r="A626" s="35" t="n"/>
      <c r="B626" s="24" t="n"/>
      <c r="C626" s="24" t="n"/>
      <c r="D626" s="24" t="n"/>
      <c r="E626" s="24" t="n"/>
      <c r="F626" s="24" t="n"/>
      <c r="G626" s="34" t="n"/>
      <c r="H626" s="24" t="n"/>
    </row>
    <row r="627" ht="15" customHeight="1" s="21">
      <c r="A627" s="35" t="n"/>
      <c r="B627" s="24" t="n"/>
      <c r="C627" s="24" t="n"/>
      <c r="D627" s="24" t="n"/>
      <c r="E627" s="24" t="n"/>
      <c r="F627" s="24" t="n"/>
      <c r="G627" s="34" t="n"/>
      <c r="H627" s="24" t="n"/>
    </row>
    <row r="628" ht="15" customHeight="1" s="21">
      <c r="A628" s="35" t="n"/>
      <c r="B628" s="24" t="n"/>
      <c r="C628" s="24" t="n"/>
      <c r="D628" s="24" t="n"/>
      <c r="E628" s="24" t="n"/>
      <c r="F628" s="24" t="n"/>
      <c r="G628" s="34" t="n"/>
      <c r="H628" s="24" t="n"/>
    </row>
    <row r="629" ht="15" customHeight="1" s="21">
      <c r="A629" s="35" t="n"/>
      <c r="B629" s="24" t="n"/>
      <c r="C629" s="24" t="n"/>
      <c r="D629" s="24" t="n"/>
      <c r="E629" s="24" t="n"/>
      <c r="F629" s="24" t="n"/>
      <c r="G629" s="34" t="n"/>
      <c r="H629" s="24" t="n"/>
    </row>
    <row r="630" ht="15" customHeight="1" s="21">
      <c r="A630" s="35" t="n"/>
      <c r="B630" s="24" t="n"/>
      <c r="C630" s="24" t="n"/>
      <c r="D630" s="24" t="n"/>
      <c r="E630" s="24" t="n"/>
      <c r="F630" s="24" t="n"/>
      <c r="G630" s="34" t="n"/>
      <c r="H630" s="24" t="n"/>
    </row>
    <row r="631" ht="15" customHeight="1" s="21">
      <c r="A631" s="35" t="n"/>
      <c r="B631" s="24" t="n"/>
      <c r="C631" s="24" t="n"/>
      <c r="D631" s="24" t="n"/>
      <c r="E631" s="24" t="n"/>
      <c r="F631" s="24" t="n"/>
      <c r="G631" s="34" t="n"/>
      <c r="H631" s="24" t="n"/>
    </row>
    <row r="632" ht="15" customHeight="1" s="21">
      <c r="A632" s="35" t="n"/>
      <c r="B632" s="24" t="n"/>
      <c r="C632" s="24" t="n"/>
      <c r="D632" s="24" t="n"/>
      <c r="E632" s="24" t="n"/>
      <c r="F632" s="24" t="n"/>
      <c r="G632" s="34" t="n"/>
      <c r="H632" s="24" t="n"/>
    </row>
    <row r="633" ht="15" customHeight="1" s="21">
      <c r="A633" s="35" t="n"/>
      <c r="B633" s="24" t="n"/>
      <c r="C633" s="24" t="n"/>
      <c r="D633" s="24" t="n"/>
      <c r="E633" s="24" t="n"/>
      <c r="F633" s="24" t="n"/>
      <c r="G633" s="34" t="n"/>
      <c r="H633" s="24" t="n"/>
    </row>
    <row r="634" ht="15" customHeight="1" s="21">
      <c r="A634" s="35" t="n"/>
      <c r="B634" s="24" t="n"/>
      <c r="C634" s="24" t="n"/>
      <c r="D634" s="24" t="n"/>
      <c r="E634" s="24" t="n"/>
      <c r="F634" s="24" t="n"/>
      <c r="G634" s="34" t="n"/>
      <c r="H634" s="24" t="n"/>
    </row>
    <row r="635" ht="15" customHeight="1" s="21">
      <c r="A635" s="35" t="n"/>
      <c r="B635" s="24" t="n"/>
      <c r="C635" s="24" t="n"/>
      <c r="D635" s="24" t="n"/>
      <c r="E635" s="24" t="n"/>
      <c r="F635" s="24" t="n"/>
      <c r="G635" s="34" t="n"/>
      <c r="H635" s="24" t="n"/>
    </row>
    <row r="636" ht="15" customHeight="1" s="21">
      <c r="A636" s="35" t="n"/>
      <c r="B636" s="24" t="n"/>
      <c r="C636" s="24" t="n"/>
      <c r="D636" s="24" t="n"/>
      <c r="E636" s="24" t="n"/>
      <c r="F636" s="24" t="n"/>
      <c r="G636" s="34" t="n"/>
      <c r="H636" s="24" t="n"/>
    </row>
    <row r="637" ht="15" customHeight="1" s="21">
      <c r="A637" s="35" t="n"/>
      <c r="B637" s="24" t="n"/>
      <c r="C637" s="24" t="n"/>
      <c r="D637" s="24" t="n"/>
      <c r="E637" s="24" t="n"/>
      <c r="F637" s="24" t="n"/>
      <c r="G637" s="34" t="n"/>
      <c r="H637" s="24" t="n"/>
    </row>
    <row r="638" ht="15" customHeight="1" s="21">
      <c r="A638" s="35" t="n"/>
      <c r="B638" s="24" t="n"/>
      <c r="C638" s="24" t="n"/>
      <c r="D638" s="24" t="n"/>
      <c r="E638" s="24" t="n"/>
      <c r="F638" s="24" t="n"/>
      <c r="G638" s="34" t="n"/>
      <c r="H638" s="24" t="n"/>
    </row>
    <row r="639" ht="15" customHeight="1" s="21">
      <c r="A639" s="35" t="n"/>
      <c r="B639" s="24" t="n"/>
      <c r="C639" s="24" t="n"/>
      <c r="D639" s="24" t="n"/>
      <c r="E639" s="24" t="n"/>
      <c r="F639" s="24" t="n"/>
      <c r="G639" s="34" t="n"/>
      <c r="H639" s="24" t="n"/>
    </row>
    <row r="640" ht="15" customHeight="1" s="21">
      <c r="A640" s="35" t="n"/>
      <c r="B640" s="24" t="n"/>
      <c r="C640" s="24" t="n"/>
      <c r="D640" s="24" t="n"/>
      <c r="E640" s="24" t="n"/>
      <c r="F640" s="24" t="n"/>
      <c r="G640" s="34" t="n"/>
      <c r="H640" s="24" t="n"/>
    </row>
    <row r="641" ht="15" customHeight="1" s="21">
      <c r="A641" s="35" t="n"/>
      <c r="B641" s="24" t="n"/>
      <c r="C641" s="24" t="n"/>
      <c r="D641" s="24" t="n"/>
      <c r="E641" s="24" t="n"/>
      <c r="F641" s="24" t="n"/>
      <c r="G641" s="34" t="n"/>
      <c r="H641" s="24" t="n"/>
    </row>
    <row r="642" ht="15" customHeight="1" s="21">
      <c r="A642" s="35" t="n"/>
      <c r="B642" s="24" t="n"/>
      <c r="C642" s="24" t="n"/>
      <c r="D642" s="24" t="n"/>
      <c r="E642" s="24" t="n"/>
      <c r="F642" s="24" t="n"/>
      <c r="G642" s="34" t="n"/>
      <c r="H642" s="24" t="n"/>
    </row>
    <row r="643" ht="15" customHeight="1" s="21">
      <c r="A643" s="35" t="n"/>
      <c r="B643" s="24" t="n"/>
      <c r="C643" s="24" t="n"/>
      <c r="D643" s="24" t="n"/>
      <c r="E643" s="24" t="n"/>
      <c r="F643" s="24" t="n"/>
      <c r="G643" s="34" t="n"/>
      <c r="H643" s="24" t="n"/>
    </row>
    <row r="644" ht="15" customHeight="1" s="21">
      <c r="A644" s="35" t="n"/>
      <c r="B644" s="24" t="n"/>
      <c r="C644" s="24" t="n"/>
      <c r="D644" s="24" t="n"/>
      <c r="E644" s="24" t="n"/>
      <c r="F644" s="24" t="n"/>
      <c r="G644" s="34" t="n"/>
      <c r="H644" s="24" t="n"/>
    </row>
    <row r="645" ht="15" customHeight="1" s="21">
      <c r="A645" s="35" t="n"/>
      <c r="B645" s="24" t="n"/>
      <c r="C645" s="24" t="n"/>
      <c r="D645" s="24" t="n"/>
      <c r="E645" s="24" t="n"/>
      <c r="F645" s="24" t="n"/>
      <c r="G645" s="34" t="n"/>
      <c r="H645" s="24" t="n"/>
    </row>
    <row r="646" ht="15" customHeight="1" s="21">
      <c r="A646" s="35" t="n"/>
      <c r="B646" s="24" t="n"/>
      <c r="C646" s="24" t="n"/>
      <c r="D646" s="24" t="n"/>
      <c r="E646" s="24" t="n"/>
      <c r="F646" s="24" t="n"/>
      <c r="G646" s="34" t="n"/>
      <c r="H646" s="24" t="n"/>
    </row>
    <row r="647" ht="15" customHeight="1" s="21">
      <c r="A647" s="35" t="n"/>
      <c r="B647" s="24" t="n"/>
      <c r="C647" s="24" t="n"/>
      <c r="D647" s="24" t="n"/>
      <c r="E647" s="24" t="n"/>
      <c r="F647" s="24" t="n"/>
      <c r="G647" s="34" t="n"/>
      <c r="H647" s="24" t="n"/>
    </row>
    <row r="648" ht="15" customHeight="1" s="21">
      <c r="A648" s="35" t="n"/>
      <c r="B648" s="24" t="n"/>
      <c r="C648" s="24" t="n"/>
      <c r="D648" s="24" t="n"/>
      <c r="E648" s="24" t="n"/>
      <c r="F648" s="24" t="n"/>
      <c r="G648" s="34" t="n"/>
      <c r="H648" s="24" t="n"/>
    </row>
    <row r="649" ht="15" customHeight="1" s="21">
      <c r="A649" s="35" t="n"/>
      <c r="B649" s="24" t="n"/>
      <c r="C649" s="24" t="n"/>
      <c r="D649" s="24" t="n"/>
      <c r="E649" s="24" t="n"/>
      <c r="F649" s="24" t="n"/>
      <c r="G649" s="34" t="n"/>
      <c r="H649" s="24" t="n"/>
    </row>
    <row r="650" ht="15" customHeight="1" s="21">
      <c r="A650" s="35" t="n"/>
      <c r="B650" s="24" t="n"/>
      <c r="C650" s="24" t="n"/>
      <c r="D650" s="24" t="n"/>
      <c r="E650" s="24" t="n"/>
      <c r="F650" s="24" t="n"/>
      <c r="G650" s="34" t="n"/>
      <c r="H650" s="24" t="n"/>
    </row>
    <row r="651" ht="15" customHeight="1" s="21">
      <c r="A651" s="35" t="n"/>
      <c r="B651" s="24" t="n"/>
      <c r="C651" s="24" t="n"/>
      <c r="D651" s="24" t="n"/>
      <c r="E651" s="24" t="n"/>
      <c r="F651" s="24" t="n"/>
      <c r="G651" s="34" t="n"/>
      <c r="H651" s="24" t="n"/>
    </row>
    <row r="652" ht="15" customHeight="1" s="21">
      <c r="A652" s="35" t="n"/>
      <c r="B652" s="24" t="n"/>
      <c r="C652" s="24" t="n"/>
      <c r="D652" s="24" t="n"/>
      <c r="E652" s="24" t="n"/>
      <c r="F652" s="24" t="n"/>
      <c r="G652" s="34" t="n"/>
      <c r="H652" s="24" t="n"/>
    </row>
    <row r="653" ht="15" customHeight="1" s="21">
      <c r="A653" s="35" t="n"/>
      <c r="B653" s="24" t="n"/>
      <c r="C653" s="24" t="n"/>
      <c r="D653" s="24" t="n"/>
      <c r="E653" s="24" t="n"/>
      <c r="F653" s="24" t="n"/>
      <c r="G653" s="34" t="n"/>
      <c r="H653" s="24" t="n"/>
    </row>
    <row r="654" ht="15" customHeight="1" s="21">
      <c r="A654" s="35" t="n"/>
      <c r="B654" s="24" t="n"/>
      <c r="C654" s="24" t="n"/>
      <c r="D654" s="24" t="n"/>
      <c r="E654" s="24" t="n"/>
      <c r="F654" s="24" t="n"/>
      <c r="G654" s="34" t="n"/>
      <c r="H654" s="24" t="n"/>
    </row>
    <row r="655" ht="15" customHeight="1" s="21">
      <c r="A655" s="35" t="n"/>
      <c r="B655" s="24" t="n"/>
      <c r="C655" s="24" t="n"/>
      <c r="D655" s="24" t="n"/>
      <c r="E655" s="24" t="n"/>
      <c r="F655" s="24" t="n"/>
      <c r="G655" s="34" t="n"/>
      <c r="H655" s="24" t="n"/>
    </row>
    <row r="656" ht="15" customHeight="1" s="21">
      <c r="A656" s="35" t="n"/>
      <c r="B656" s="24" t="n"/>
      <c r="C656" s="24" t="n"/>
      <c r="D656" s="24" t="n"/>
      <c r="E656" s="24" t="n"/>
      <c r="F656" s="24" t="n"/>
      <c r="G656" s="34" t="n"/>
      <c r="H656" s="24" t="n"/>
    </row>
    <row r="657" ht="15" customHeight="1" s="21">
      <c r="A657" s="35" t="n"/>
      <c r="B657" s="24" t="n"/>
      <c r="C657" s="24" t="n"/>
      <c r="D657" s="24" t="n"/>
      <c r="E657" s="24" t="n"/>
      <c r="F657" s="24" t="n"/>
      <c r="G657" s="34" t="n"/>
      <c r="H657" s="24" t="n"/>
    </row>
    <row r="658" ht="15" customHeight="1" s="21">
      <c r="A658" s="35" t="n"/>
      <c r="B658" s="24" t="n"/>
      <c r="C658" s="24" t="n"/>
      <c r="D658" s="24" t="n"/>
      <c r="E658" s="24" t="n"/>
      <c r="F658" s="24" t="n"/>
      <c r="G658" s="34" t="n"/>
      <c r="H658" s="24" t="n"/>
    </row>
    <row r="659" ht="15" customHeight="1" s="21">
      <c r="A659" s="35" t="n"/>
      <c r="B659" s="24" t="n"/>
      <c r="C659" s="24" t="n"/>
      <c r="D659" s="24" t="n"/>
      <c r="E659" s="24" t="n"/>
      <c r="F659" s="24" t="n"/>
      <c r="G659" s="34" t="n"/>
      <c r="H659" s="24" t="n"/>
    </row>
    <row r="660" ht="15" customHeight="1" s="21">
      <c r="A660" s="35" t="n"/>
      <c r="B660" s="24" t="n"/>
      <c r="C660" s="24" t="n"/>
      <c r="D660" s="24" t="n"/>
      <c r="E660" s="24" t="n"/>
      <c r="F660" s="24" t="n"/>
      <c r="G660" s="34" t="n"/>
      <c r="H660" s="24" t="n"/>
    </row>
    <row r="661" ht="15" customHeight="1" s="21">
      <c r="A661" s="35" t="n"/>
      <c r="B661" s="24" t="n"/>
      <c r="C661" s="24" t="n"/>
      <c r="D661" s="24" t="n"/>
      <c r="E661" s="24" t="n"/>
      <c r="F661" s="24" t="n"/>
      <c r="G661" s="34" t="n"/>
      <c r="H661" s="24" t="n"/>
    </row>
    <row r="662" ht="15" customHeight="1" s="21">
      <c r="A662" s="35" t="n"/>
      <c r="B662" s="24" t="n"/>
      <c r="C662" s="24" t="n"/>
      <c r="D662" s="24" t="n"/>
      <c r="E662" s="24" t="n"/>
      <c r="F662" s="24" t="n"/>
      <c r="G662" s="34" t="n"/>
      <c r="H662" s="24" t="n"/>
    </row>
    <row r="663" ht="15" customHeight="1" s="21">
      <c r="A663" s="35" t="n"/>
      <c r="B663" s="24" t="n"/>
      <c r="C663" s="24" t="n"/>
      <c r="D663" s="24" t="n"/>
      <c r="E663" s="24" t="n"/>
      <c r="F663" s="24" t="n"/>
      <c r="G663" s="34" t="n"/>
      <c r="H663" s="24" t="n"/>
    </row>
    <row r="664" ht="15" customHeight="1" s="21">
      <c r="A664" s="35" t="n"/>
      <c r="B664" s="24" t="n"/>
      <c r="C664" s="24" t="n"/>
      <c r="D664" s="24" t="n"/>
      <c r="E664" s="24" t="n"/>
      <c r="F664" s="24" t="n"/>
      <c r="G664" s="34" t="n"/>
      <c r="H664" s="24" t="n"/>
    </row>
    <row r="665" ht="15" customHeight="1" s="21">
      <c r="A665" s="35" t="n"/>
      <c r="B665" s="24" t="n"/>
      <c r="C665" s="24" t="n"/>
      <c r="D665" s="24" t="n"/>
      <c r="E665" s="24" t="n"/>
      <c r="F665" s="24" t="n"/>
      <c r="G665" s="34" t="n"/>
      <c r="H665" s="24" t="n"/>
    </row>
    <row r="666" ht="15" customHeight="1" s="21">
      <c r="A666" s="35" t="n"/>
      <c r="B666" s="24" t="n"/>
      <c r="C666" s="24" t="n"/>
      <c r="D666" s="24" t="n"/>
      <c r="E666" s="24" t="n"/>
      <c r="F666" s="24" t="n"/>
      <c r="G666" s="34" t="n"/>
      <c r="H666" s="24" t="n"/>
    </row>
    <row r="667" ht="15" customHeight="1" s="21">
      <c r="A667" s="35" t="n"/>
      <c r="B667" s="24" t="n"/>
      <c r="C667" s="24" t="n"/>
      <c r="D667" s="24" t="n"/>
      <c r="E667" s="24" t="n"/>
      <c r="F667" s="24" t="n"/>
      <c r="G667" s="34" t="n"/>
      <c r="H667" s="24" t="n"/>
    </row>
    <row r="668" ht="15" customHeight="1" s="21">
      <c r="A668" s="35" t="n"/>
      <c r="B668" s="24" t="n"/>
      <c r="C668" s="24" t="n"/>
      <c r="D668" s="24" t="n"/>
      <c r="E668" s="24" t="n"/>
      <c r="F668" s="24" t="n"/>
      <c r="G668" s="34" t="n"/>
      <c r="H668" s="24" t="n"/>
    </row>
    <row r="669" ht="15" customHeight="1" s="21">
      <c r="A669" s="35" t="n"/>
      <c r="B669" s="24" t="n"/>
      <c r="C669" s="24" t="n"/>
      <c r="D669" s="24" t="n"/>
      <c r="E669" s="24" t="n"/>
      <c r="F669" s="24" t="n"/>
      <c r="G669" s="34" t="n"/>
      <c r="H669" s="24" t="n"/>
    </row>
    <row r="670" ht="15" customHeight="1" s="21">
      <c r="A670" s="35" t="n"/>
      <c r="B670" s="24" t="n"/>
      <c r="C670" s="24" t="n"/>
      <c r="D670" s="24" t="n"/>
      <c r="E670" s="24" t="n"/>
      <c r="F670" s="24" t="n"/>
      <c r="G670" s="34" t="n"/>
      <c r="H670" s="24" t="n"/>
    </row>
    <row r="671" ht="15" customHeight="1" s="21">
      <c r="A671" s="35" t="n"/>
      <c r="B671" s="24" t="n"/>
      <c r="C671" s="24" t="n"/>
      <c r="D671" s="24" t="n"/>
      <c r="E671" s="24" t="n"/>
      <c r="F671" s="24" t="n"/>
      <c r="G671" s="34" t="n"/>
      <c r="H671" s="24" t="n"/>
    </row>
    <row r="672" ht="15" customHeight="1" s="21">
      <c r="A672" s="35" t="n"/>
      <c r="B672" s="24" t="n"/>
      <c r="C672" s="24" t="n"/>
      <c r="D672" s="24" t="n"/>
      <c r="E672" s="24" t="n"/>
      <c r="F672" s="24" t="n"/>
      <c r="G672" s="34" t="n"/>
      <c r="H672" s="24" t="n"/>
    </row>
    <row r="673" ht="15" customHeight="1" s="21">
      <c r="A673" s="35" t="n"/>
      <c r="B673" s="24" t="n"/>
      <c r="C673" s="24" t="n"/>
      <c r="D673" s="24" t="n"/>
      <c r="E673" s="24" t="n"/>
      <c r="F673" s="24" t="n"/>
      <c r="G673" s="34" t="n"/>
      <c r="H673" s="24" t="n"/>
    </row>
    <row r="674" ht="15" customHeight="1" s="21">
      <c r="A674" s="35" t="n"/>
      <c r="B674" s="24" t="n"/>
      <c r="C674" s="24" t="n"/>
      <c r="D674" s="24" t="n"/>
      <c r="E674" s="24" t="n"/>
      <c r="F674" s="24" t="n"/>
      <c r="G674" s="34" t="n"/>
      <c r="H674" s="24" t="n"/>
    </row>
    <row r="675" ht="15" customHeight="1" s="21">
      <c r="A675" s="35" t="n"/>
      <c r="B675" s="24" t="n"/>
      <c r="C675" s="24" t="n"/>
      <c r="D675" s="24" t="n"/>
      <c r="E675" s="24" t="n"/>
      <c r="F675" s="24" t="n"/>
      <c r="G675" s="34" t="n"/>
      <c r="H675" s="24" t="n"/>
    </row>
    <row r="676" ht="15" customHeight="1" s="21">
      <c r="A676" s="35" t="n"/>
      <c r="B676" s="24" t="n"/>
      <c r="C676" s="24" t="n"/>
      <c r="D676" s="24" t="n"/>
      <c r="E676" s="24" t="n"/>
      <c r="F676" s="24" t="n"/>
      <c r="G676" s="34" t="n"/>
      <c r="H676" s="24" t="n"/>
    </row>
    <row r="677" ht="15" customHeight="1" s="21">
      <c r="A677" s="35" t="n"/>
      <c r="B677" s="24" t="n"/>
      <c r="C677" s="24" t="n"/>
      <c r="D677" s="24" t="n"/>
      <c r="E677" s="24" t="n"/>
      <c r="F677" s="24" t="n"/>
      <c r="G677" s="34" t="n"/>
      <c r="H677" s="24" t="n"/>
    </row>
    <row r="678" ht="15" customHeight="1" s="21">
      <c r="A678" s="35" t="n"/>
      <c r="B678" s="24" t="n"/>
      <c r="C678" s="24" t="n"/>
      <c r="D678" s="24" t="n"/>
      <c r="E678" s="24" t="n"/>
      <c r="F678" s="24" t="n"/>
      <c r="G678" s="34" t="n"/>
      <c r="H678" s="24" t="n"/>
    </row>
    <row r="679" ht="15" customHeight="1" s="21">
      <c r="A679" s="35" t="n"/>
      <c r="B679" s="24" t="n"/>
      <c r="C679" s="24" t="n"/>
      <c r="D679" s="24" t="n"/>
      <c r="E679" s="24" t="n"/>
      <c r="F679" s="24" t="n"/>
      <c r="G679" s="34" t="n"/>
      <c r="H679" s="24" t="n"/>
    </row>
    <row r="680" ht="15" customHeight="1" s="21">
      <c r="A680" s="35" t="n"/>
      <c r="B680" s="24" t="n"/>
      <c r="C680" s="24" t="n"/>
      <c r="D680" s="24" t="n"/>
      <c r="E680" s="24" t="n"/>
      <c r="F680" s="24" t="n"/>
      <c r="G680" s="34" t="n"/>
      <c r="H680" s="24" t="n"/>
    </row>
    <row r="681" ht="15" customHeight="1" s="21">
      <c r="A681" s="35" t="n"/>
      <c r="B681" s="24" t="n"/>
      <c r="C681" s="24" t="n"/>
      <c r="D681" s="24" t="n"/>
      <c r="E681" s="24" t="n"/>
      <c r="F681" s="24" t="n"/>
      <c r="G681" s="34" t="n"/>
      <c r="H681" s="24" t="n"/>
    </row>
    <row r="682" ht="15" customHeight="1" s="21">
      <c r="A682" s="35" t="n"/>
      <c r="B682" s="24" t="n"/>
      <c r="C682" s="24" t="n"/>
      <c r="D682" s="24" t="n"/>
      <c r="E682" s="24" t="n"/>
      <c r="F682" s="24" t="n"/>
      <c r="G682" s="34" t="n"/>
      <c r="H682" s="24" t="n"/>
    </row>
    <row r="683" ht="15" customHeight="1" s="21">
      <c r="A683" s="35" t="n"/>
      <c r="B683" s="24" t="n"/>
      <c r="C683" s="24" t="n"/>
      <c r="D683" s="24" t="n"/>
      <c r="E683" s="24" t="n"/>
      <c r="F683" s="24" t="n"/>
      <c r="G683" s="34" t="n"/>
      <c r="H683" s="24" t="n"/>
    </row>
    <row r="684" ht="15" customHeight="1" s="21">
      <c r="A684" s="35" t="n"/>
      <c r="B684" s="24" t="n"/>
      <c r="C684" s="24" t="n"/>
      <c r="D684" s="24" t="n"/>
      <c r="E684" s="24" t="n"/>
      <c r="F684" s="24" t="n"/>
      <c r="G684" s="34" t="n"/>
      <c r="H684" s="24" t="n"/>
    </row>
    <row r="685" ht="15" customHeight="1" s="21">
      <c r="A685" s="35" t="n"/>
      <c r="B685" s="24" t="n"/>
      <c r="C685" s="24" t="n"/>
      <c r="D685" s="24" t="n"/>
      <c r="E685" s="24" t="n"/>
      <c r="F685" s="24" t="n"/>
      <c r="G685" s="34" t="n"/>
      <c r="H685" s="24" t="n"/>
    </row>
    <row r="686" ht="15" customHeight="1" s="21">
      <c r="A686" s="35" t="n"/>
      <c r="B686" s="24" t="n"/>
      <c r="C686" s="24" t="n"/>
      <c r="D686" s="24" t="n"/>
      <c r="E686" s="24" t="n"/>
      <c r="F686" s="24" t="n"/>
      <c r="G686" s="34" t="n"/>
      <c r="H686" s="24" t="n"/>
    </row>
    <row r="687" ht="15" customHeight="1" s="21">
      <c r="A687" s="35" t="n"/>
      <c r="B687" s="24" t="n"/>
      <c r="C687" s="24" t="n"/>
      <c r="D687" s="24" t="n"/>
      <c r="E687" s="24" t="n"/>
      <c r="F687" s="24" t="n"/>
      <c r="G687" s="34" t="n"/>
      <c r="H687" s="24" t="n"/>
    </row>
    <row r="688" ht="15" customHeight="1" s="21">
      <c r="A688" s="35" t="n"/>
      <c r="B688" s="24" t="n"/>
      <c r="C688" s="24" t="n"/>
      <c r="D688" s="24" t="n"/>
      <c r="E688" s="24" t="n"/>
      <c r="F688" s="24" t="n"/>
      <c r="G688" s="34" t="n"/>
      <c r="H688" s="24" t="n"/>
    </row>
    <row r="689" ht="15" customHeight="1" s="21">
      <c r="A689" s="35" t="n"/>
      <c r="B689" s="24" t="n"/>
      <c r="C689" s="24" t="n"/>
      <c r="D689" s="24" t="n"/>
      <c r="E689" s="24" t="n"/>
      <c r="F689" s="24" t="n"/>
      <c r="G689" s="34" t="n"/>
      <c r="H689" s="24" t="n"/>
    </row>
    <row r="690" ht="15" customHeight="1" s="21">
      <c r="A690" s="35" t="n"/>
      <c r="B690" s="24" t="n"/>
      <c r="C690" s="24" t="n"/>
      <c r="D690" s="24" t="n"/>
      <c r="E690" s="24" t="n"/>
      <c r="F690" s="24" t="n"/>
      <c r="G690" s="34" t="n"/>
      <c r="H690" s="24" t="n"/>
    </row>
    <row r="691" ht="15" customHeight="1" s="21">
      <c r="A691" s="35" t="n"/>
      <c r="B691" s="24" t="n"/>
      <c r="C691" s="24" t="n"/>
      <c r="D691" s="24" t="n"/>
      <c r="E691" s="24" t="n"/>
      <c r="F691" s="24" t="n"/>
      <c r="G691" s="34" t="n"/>
      <c r="H691" s="24" t="n"/>
    </row>
    <row r="692" ht="15" customHeight="1" s="21">
      <c r="A692" s="35" t="n"/>
      <c r="B692" s="24" t="n"/>
      <c r="C692" s="24" t="n"/>
      <c r="D692" s="24" t="n"/>
      <c r="E692" s="24" t="n"/>
      <c r="F692" s="24" t="n"/>
      <c r="G692" s="34" t="n"/>
      <c r="H692" s="24" t="n"/>
    </row>
    <row r="693" ht="15" customHeight="1" s="21">
      <c r="A693" s="35" t="n"/>
      <c r="B693" s="24" t="n"/>
      <c r="C693" s="24" t="n"/>
      <c r="D693" s="24" t="n"/>
      <c r="E693" s="24" t="n"/>
      <c r="F693" s="24" t="n"/>
      <c r="G693" s="34" t="n"/>
      <c r="H693" s="24" t="n"/>
    </row>
    <row r="694" ht="15" customHeight="1" s="21">
      <c r="A694" s="35" t="n"/>
      <c r="B694" s="24" t="n"/>
      <c r="C694" s="24" t="n"/>
      <c r="D694" s="24" t="n"/>
      <c r="E694" s="24" t="n"/>
      <c r="F694" s="24" t="n"/>
      <c r="G694" s="34" t="n"/>
      <c r="H694" s="24" t="n"/>
    </row>
    <row r="695" ht="15" customHeight="1" s="21">
      <c r="A695" s="35" t="n"/>
      <c r="B695" s="24" t="n"/>
      <c r="C695" s="24" t="n"/>
      <c r="D695" s="24" t="n"/>
      <c r="E695" s="24" t="n"/>
      <c r="F695" s="24" t="n"/>
      <c r="G695" s="34" t="n"/>
      <c r="H695" s="24" t="n"/>
    </row>
    <row r="696" ht="15" customHeight="1" s="21">
      <c r="A696" s="35" t="n"/>
      <c r="B696" s="24" t="n"/>
      <c r="C696" s="24" t="n"/>
      <c r="D696" s="24" t="n"/>
      <c r="E696" s="24" t="n"/>
      <c r="F696" s="24" t="n"/>
      <c r="G696" s="34" t="n"/>
      <c r="H696" s="24" t="n"/>
    </row>
    <row r="697" ht="15" customHeight="1" s="21">
      <c r="A697" s="35" t="n"/>
      <c r="B697" s="24" t="n"/>
      <c r="C697" s="24" t="n"/>
      <c r="D697" s="24" t="n"/>
      <c r="E697" s="24" t="n"/>
      <c r="F697" s="24" t="n"/>
      <c r="G697" s="34" t="n"/>
      <c r="H697" s="24" t="n"/>
    </row>
    <row r="698" ht="15" customHeight="1" s="21">
      <c r="A698" s="35" t="n"/>
      <c r="B698" s="24" t="n"/>
      <c r="C698" s="24" t="n"/>
      <c r="D698" s="24" t="n"/>
      <c r="E698" s="24" t="n"/>
      <c r="F698" s="24" t="n"/>
      <c r="G698" s="34" t="n"/>
      <c r="H698" s="24" t="n"/>
    </row>
    <row r="699" ht="15" customHeight="1" s="21">
      <c r="A699" s="35" t="n"/>
      <c r="B699" s="24" t="n"/>
      <c r="C699" s="24" t="n"/>
      <c r="D699" s="24" t="n"/>
      <c r="E699" s="24" t="n"/>
      <c r="F699" s="24" t="n"/>
      <c r="G699" s="34" t="n"/>
      <c r="H699" s="24" t="n"/>
    </row>
    <row r="700" ht="15" customHeight="1" s="21">
      <c r="A700" s="35" t="n"/>
      <c r="B700" s="24" t="n"/>
      <c r="C700" s="24" t="n"/>
      <c r="D700" s="24" t="n"/>
      <c r="E700" s="24" t="n"/>
      <c r="F700" s="24" t="n"/>
      <c r="G700" s="34" t="n"/>
      <c r="H700" s="24" t="n"/>
    </row>
    <row r="701" ht="15" customHeight="1" s="21">
      <c r="A701" s="35" t="n"/>
      <c r="B701" s="24" t="n"/>
      <c r="C701" s="24" t="n"/>
      <c r="D701" s="24" t="n"/>
      <c r="E701" s="24" t="n"/>
      <c r="F701" s="24" t="n"/>
      <c r="G701" s="34" t="n"/>
      <c r="H701" s="24" t="n"/>
    </row>
    <row r="702" ht="15" customHeight="1" s="21">
      <c r="A702" s="35" t="n"/>
      <c r="B702" s="24" t="n"/>
      <c r="C702" s="24" t="n"/>
      <c r="D702" s="24" t="n"/>
      <c r="E702" s="24" t="n"/>
      <c r="F702" s="24" t="n"/>
      <c r="G702" s="34" t="n"/>
      <c r="H702" s="24" t="n"/>
    </row>
    <row r="703" ht="15" customHeight="1" s="21">
      <c r="A703" s="35" t="n"/>
      <c r="B703" s="24" t="n"/>
      <c r="C703" s="24" t="n"/>
      <c r="D703" s="24" t="n"/>
      <c r="E703" s="24" t="n"/>
      <c r="F703" s="24" t="n"/>
      <c r="G703" s="34" t="n"/>
      <c r="H703" s="24" t="n"/>
    </row>
    <row r="704" ht="15" customHeight="1" s="21">
      <c r="A704" s="35" t="n"/>
      <c r="B704" s="24" t="n"/>
      <c r="C704" s="24" t="n"/>
      <c r="D704" s="24" t="n"/>
      <c r="E704" s="24" t="n"/>
      <c r="F704" s="24" t="n"/>
      <c r="G704" s="34" t="n"/>
      <c r="H704" s="24" t="n"/>
    </row>
    <row r="705" ht="15" customHeight="1" s="21">
      <c r="A705" s="35" t="n"/>
      <c r="B705" s="24" t="n"/>
      <c r="C705" s="24" t="n"/>
      <c r="D705" s="24" t="n"/>
      <c r="E705" s="24" t="n"/>
      <c r="F705" s="24" t="n"/>
      <c r="G705" s="34" t="n"/>
      <c r="H705" s="24" t="n"/>
    </row>
    <row r="706" ht="15" customHeight="1" s="21">
      <c r="A706" s="35" t="n"/>
      <c r="B706" s="24" t="n"/>
      <c r="C706" s="24" t="n"/>
      <c r="D706" s="24" t="n"/>
      <c r="E706" s="24" t="n"/>
      <c r="F706" s="24" t="n"/>
      <c r="G706" s="34" t="n"/>
      <c r="H706" s="24" t="n"/>
    </row>
    <row r="707" ht="15" customHeight="1" s="21">
      <c r="A707" s="35" t="n"/>
      <c r="B707" s="24" t="n"/>
      <c r="C707" s="24" t="n"/>
      <c r="D707" s="24" t="n"/>
      <c r="E707" s="24" t="n"/>
      <c r="F707" s="24" t="n"/>
      <c r="G707" s="34" t="n"/>
      <c r="H707" s="24" t="n"/>
    </row>
    <row r="708" ht="15" customHeight="1" s="21">
      <c r="A708" s="35" t="n"/>
      <c r="B708" s="24" t="n"/>
      <c r="C708" s="24" t="n"/>
      <c r="D708" s="24" t="n"/>
      <c r="E708" s="24" t="n"/>
      <c r="F708" s="24" t="n"/>
      <c r="G708" s="34" t="n"/>
      <c r="H708" s="24" t="n"/>
    </row>
    <row r="709" ht="15" customHeight="1" s="21">
      <c r="A709" s="35" t="n"/>
      <c r="B709" s="24" t="n"/>
      <c r="C709" s="24" t="n"/>
      <c r="D709" s="24" t="n"/>
      <c r="E709" s="24" t="n"/>
      <c r="F709" s="24" t="n"/>
      <c r="G709" s="34" t="n"/>
      <c r="H709" s="24" t="n"/>
    </row>
    <row r="710" ht="15" customHeight="1" s="21">
      <c r="A710" s="35" t="n"/>
      <c r="B710" s="24" t="n"/>
      <c r="C710" s="24" t="n"/>
      <c r="D710" s="24" t="n"/>
      <c r="E710" s="24" t="n"/>
      <c r="F710" s="24" t="n"/>
      <c r="G710" s="34" t="n"/>
      <c r="H710" s="24" t="n"/>
    </row>
    <row r="711" ht="15" customHeight="1" s="21">
      <c r="A711" s="35" t="n"/>
      <c r="B711" s="24" t="n"/>
      <c r="C711" s="24" t="n"/>
      <c r="D711" s="24" t="n"/>
      <c r="E711" s="24" t="n"/>
      <c r="F711" s="24" t="n"/>
      <c r="G711" s="34" t="n"/>
      <c r="H711" s="24" t="n"/>
    </row>
    <row r="712" ht="15" customHeight="1" s="21">
      <c r="A712" s="35" t="n"/>
      <c r="B712" s="24" t="n"/>
      <c r="C712" s="24" t="n"/>
      <c r="D712" s="24" t="n"/>
      <c r="E712" s="24" t="n"/>
      <c r="F712" s="24" t="n"/>
      <c r="G712" s="34" t="n"/>
      <c r="H712" s="24" t="n"/>
    </row>
    <row r="713" ht="15" customHeight="1" s="21">
      <c r="A713" s="35" t="n"/>
      <c r="B713" s="24" t="n"/>
      <c r="C713" s="24" t="n"/>
      <c r="D713" s="24" t="n"/>
      <c r="E713" s="24" t="n"/>
      <c r="F713" s="24" t="n"/>
      <c r="G713" s="34" t="n"/>
      <c r="H713" s="24" t="n"/>
    </row>
    <row r="714" ht="15" customHeight="1" s="21">
      <c r="A714" s="35" t="n"/>
      <c r="B714" s="24" t="n"/>
      <c r="C714" s="24" t="n"/>
      <c r="D714" s="24" t="n"/>
      <c r="E714" s="24" t="n"/>
      <c r="F714" s="24" t="n"/>
      <c r="G714" s="34" t="n"/>
      <c r="H714" s="24" t="n"/>
    </row>
    <row r="715" ht="15" customHeight="1" s="21">
      <c r="A715" s="35" t="n"/>
      <c r="B715" s="24" t="n"/>
      <c r="C715" s="24" t="n"/>
      <c r="D715" s="24" t="n"/>
      <c r="E715" s="24" t="n"/>
      <c r="F715" s="24" t="n"/>
      <c r="G715" s="34" t="n"/>
      <c r="H715" s="24" t="n"/>
    </row>
    <row r="716" ht="15" customHeight="1" s="21">
      <c r="A716" s="35" t="n"/>
      <c r="B716" s="24" t="n"/>
      <c r="C716" s="24" t="n"/>
      <c r="D716" s="24" t="n"/>
      <c r="E716" s="24" t="n"/>
      <c r="F716" s="24" t="n"/>
      <c r="G716" s="34" t="n"/>
      <c r="H716" s="24" t="n"/>
    </row>
    <row r="717" ht="15" customHeight="1" s="21">
      <c r="A717" s="35" t="n"/>
      <c r="B717" s="24" t="n"/>
      <c r="C717" s="24" t="n"/>
      <c r="D717" s="24" t="n"/>
      <c r="E717" s="24" t="n"/>
      <c r="F717" s="24" t="n"/>
      <c r="G717" s="34" t="n"/>
      <c r="H717" s="24" t="n"/>
    </row>
    <row r="718" ht="15" customHeight="1" s="21">
      <c r="A718" s="35" t="n"/>
      <c r="B718" s="24" t="n"/>
      <c r="C718" s="24" t="n"/>
      <c r="D718" s="24" t="n"/>
      <c r="E718" s="24" t="n"/>
      <c r="F718" s="24" t="n"/>
      <c r="G718" s="34" t="n"/>
      <c r="H718" s="24" t="n"/>
    </row>
    <row r="719" ht="15" customHeight="1" s="21">
      <c r="A719" s="35" t="n"/>
      <c r="B719" s="24" t="n"/>
      <c r="C719" s="24" t="n"/>
      <c r="D719" s="24" t="n"/>
      <c r="E719" s="24" t="n"/>
      <c r="F719" s="24" t="n"/>
      <c r="G719" s="34" t="n"/>
      <c r="H719" s="24" t="n"/>
    </row>
    <row r="720" ht="15" customHeight="1" s="21">
      <c r="A720" s="35" t="n"/>
      <c r="B720" s="24" t="n"/>
      <c r="C720" s="24" t="n"/>
      <c r="D720" s="24" t="n"/>
      <c r="E720" s="24" t="n"/>
      <c r="F720" s="24" t="n"/>
      <c r="G720" s="34" t="n"/>
      <c r="H720" s="24" t="n"/>
    </row>
    <row r="721" ht="15" customHeight="1" s="21">
      <c r="A721" s="35" t="n"/>
      <c r="B721" s="24" t="n"/>
      <c r="C721" s="24" t="n"/>
      <c r="D721" s="24" t="n"/>
      <c r="E721" s="24" t="n"/>
      <c r="F721" s="24" t="n"/>
      <c r="G721" s="34" t="n"/>
      <c r="H721" s="24" t="n"/>
    </row>
    <row r="722" ht="15" customHeight="1" s="21">
      <c r="A722" s="35" t="n"/>
      <c r="B722" s="24" t="n"/>
      <c r="C722" s="24" t="n"/>
      <c r="D722" s="24" t="n"/>
      <c r="E722" s="24" t="n"/>
      <c r="F722" s="24" t="n"/>
      <c r="G722" s="34" t="n"/>
      <c r="H722" s="24" t="n"/>
    </row>
    <row r="723" ht="15" customHeight="1" s="21">
      <c r="A723" s="35" t="n"/>
      <c r="B723" s="24" t="n"/>
      <c r="C723" s="24" t="n"/>
      <c r="D723" s="24" t="n"/>
      <c r="E723" s="24" t="n"/>
      <c r="F723" s="24" t="n"/>
      <c r="G723" s="34" t="n"/>
      <c r="H723" s="24" t="n"/>
    </row>
    <row r="724" ht="15" customHeight="1" s="21">
      <c r="A724" s="35" t="n"/>
      <c r="B724" s="24" t="n"/>
      <c r="C724" s="24" t="n"/>
      <c r="D724" s="24" t="n"/>
      <c r="E724" s="24" t="n"/>
      <c r="F724" s="24" t="n"/>
      <c r="G724" s="34" t="n"/>
      <c r="H724" s="24" t="n"/>
    </row>
    <row r="725" ht="15" customHeight="1" s="21">
      <c r="A725" s="35" t="n"/>
      <c r="B725" s="24" t="n"/>
      <c r="C725" s="24" t="n"/>
      <c r="D725" s="24" t="n"/>
      <c r="E725" s="24" t="n"/>
      <c r="F725" s="24" t="n"/>
      <c r="G725" s="34" t="n"/>
      <c r="H725" s="24" t="n"/>
    </row>
    <row r="726" ht="15" customHeight="1" s="21">
      <c r="A726" s="35" t="n"/>
      <c r="B726" s="24" t="n"/>
      <c r="C726" s="24" t="n"/>
      <c r="D726" s="24" t="n"/>
      <c r="E726" s="24" t="n"/>
      <c r="F726" s="24" t="n"/>
      <c r="G726" s="34" t="n"/>
      <c r="H726" s="24" t="n"/>
    </row>
    <row r="727" ht="15" customHeight="1" s="21">
      <c r="A727" s="35" t="n"/>
      <c r="B727" s="24" t="n"/>
      <c r="C727" s="24" t="n"/>
      <c r="D727" s="24" t="n"/>
      <c r="E727" s="24" t="n"/>
      <c r="F727" s="24" t="n"/>
      <c r="G727" s="34" t="n"/>
      <c r="H727" s="24" t="n"/>
    </row>
    <row r="728" ht="15" customHeight="1" s="21">
      <c r="A728" s="35" t="n"/>
      <c r="B728" s="24" t="n"/>
      <c r="C728" s="24" t="n"/>
      <c r="D728" s="24" t="n"/>
      <c r="E728" s="24" t="n"/>
      <c r="F728" s="24" t="n"/>
      <c r="G728" s="34" t="n"/>
      <c r="H728" s="24" t="n"/>
    </row>
    <row r="729" ht="15" customHeight="1" s="21">
      <c r="A729" s="35" t="n"/>
      <c r="B729" s="24" t="n"/>
      <c r="C729" s="24" t="n"/>
      <c r="D729" s="24" t="n"/>
      <c r="E729" s="24" t="n"/>
      <c r="F729" s="24" t="n"/>
      <c r="G729" s="34" t="n"/>
      <c r="H729" s="24" t="n"/>
    </row>
    <row r="730" ht="15" customHeight="1" s="21">
      <c r="A730" s="35" t="n"/>
      <c r="B730" s="24" t="n"/>
      <c r="C730" s="24" t="n"/>
      <c r="D730" s="24" t="n"/>
      <c r="E730" s="24" t="n"/>
      <c r="F730" s="24" t="n"/>
      <c r="G730" s="34" t="n"/>
      <c r="H730" s="24" t="n"/>
    </row>
    <row r="731" ht="15" customHeight="1" s="21">
      <c r="A731" s="35" t="n"/>
      <c r="B731" s="24" t="n"/>
      <c r="C731" s="24" t="n"/>
      <c r="D731" s="24" t="n"/>
      <c r="E731" s="24" t="n"/>
      <c r="F731" s="24" t="n"/>
      <c r="G731" s="34" t="n"/>
      <c r="H731" s="24" t="n"/>
    </row>
    <row r="732" ht="15" customHeight="1" s="21">
      <c r="A732" s="35" t="n"/>
      <c r="B732" s="24" t="n"/>
      <c r="C732" s="24" t="n"/>
      <c r="D732" s="24" t="n"/>
      <c r="E732" s="24" t="n"/>
      <c r="F732" s="24" t="n"/>
      <c r="G732" s="34" t="n"/>
      <c r="H732" s="24" t="n"/>
    </row>
    <row r="733" ht="15" customHeight="1" s="21">
      <c r="A733" s="35" t="n"/>
      <c r="B733" s="24" t="n"/>
      <c r="C733" s="24" t="n"/>
      <c r="D733" s="24" t="n"/>
      <c r="E733" s="24" t="n"/>
      <c r="F733" s="24" t="n"/>
      <c r="G733" s="34" t="n"/>
      <c r="H733" s="24" t="n"/>
    </row>
    <row r="734" ht="15" customHeight="1" s="21">
      <c r="A734" s="35" t="n"/>
      <c r="B734" s="24" t="n"/>
      <c r="C734" s="24" t="n"/>
      <c r="D734" s="24" t="n"/>
      <c r="E734" s="24" t="n"/>
      <c r="F734" s="24" t="n"/>
      <c r="G734" s="34" t="n"/>
      <c r="H734" s="24" t="n"/>
    </row>
    <row r="735" ht="15" customHeight="1" s="21">
      <c r="A735" s="35" t="n"/>
      <c r="B735" s="24" t="n"/>
      <c r="C735" s="24" t="n"/>
      <c r="D735" s="24" t="n"/>
      <c r="E735" s="24" t="n"/>
      <c r="F735" s="24" t="n"/>
      <c r="G735" s="34" t="n"/>
      <c r="H735" s="24" t="n"/>
    </row>
    <row r="736" ht="15" customHeight="1" s="21">
      <c r="A736" s="35" t="n"/>
      <c r="B736" s="24" t="n"/>
      <c r="C736" s="24" t="n"/>
      <c r="D736" s="24" t="n"/>
      <c r="E736" s="24" t="n"/>
      <c r="F736" s="24" t="n"/>
      <c r="G736" s="34" t="n"/>
      <c r="H736" s="24" t="n"/>
    </row>
    <row r="737" ht="15" customHeight="1" s="21">
      <c r="A737" s="35" t="n"/>
      <c r="B737" s="24" t="n"/>
      <c r="C737" s="24" t="n"/>
      <c r="D737" s="24" t="n"/>
      <c r="E737" s="24" t="n"/>
      <c r="F737" s="24" t="n"/>
      <c r="G737" s="34" t="n"/>
      <c r="H737" s="24" t="n"/>
    </row>
    <row r="738" ht="15" customHeight="1" s="21">
      <c r="A738" s="35" t="n"/>
      <c r="B738" s="24" t="n"/>
      <c r="C738" s="24" t="n"/>
      <c r="D738" s="24" t="n"/>
      <c r="E738" s="24" t="n"/>
      <c r="F738" s="24" t="n"/>
      <c r="G738" s="34" t="n"/>
      <c r="H738" s="24" t="n"/>
    </row>
    <row r="739" ht="15" customHeight="1" s="21">
      <c r="A739" s="35" t="n"/>
      <c r="B739" s="24" t="n"/>
      <c r="C739" s="24" t="n"/>
      <c r="D739" s="24" t="n"/>
      <c r="E739" s="24" t="n"/>
      <c r="F739" s="24" t="n"/>
      <c r="G739" s="34" t="n"/>
      <c r="H739" s="24" t="n"/>
    </row>
    <row r="740" ht="15" customHeight="1" s="21">
      <c r="A740" s="35" t="n"/>
      <c r="B740" s="24" t="n"/>
      <c r="C740" s="24" t="n"/>
      <c r="D740" s="24" t="n"/>
      <c r="E740" s="24" t="n"/>
      <c r="F740" s="24" t="n"/>
      <c r="G740" s="34" t="n"/>
      <c r="H740" s="24" t="n"/>
    </row>
    <row r="741" ht="15" customHeight="1" s="21">
      <c r="A741" s="35" t="n"/>
      <c r="B741" s="24" t="n"/>
      <c r="C741" s="24" t="n"/>
      <c r="D741" s="24" t="n"/>
      <c r="E741" s="24" t="n"/>
      <c r="F741" s="24" t="n"/>
      <c r="G741" s="34" t="n"/>
      <c r="H741" s="24" t="n"/>
    </row>
    <row r="742" ht="15" customHeight="1" s="21">
      <c r="A742" s="35" t="n"/>
      <c r="B742" s="24" t="n"/>
      <c r="C742" s="24" t="n"/>
      <c r="D742" s="24" t="n"/>
      <c r="E742" s="24" t="n"/>
      <c r="F742" s="24" t="n"/>
      <c r="G742" s="34" t="n"/>
      <c r="H742" s="24" t="n"/>
    </row>
    <row r="743" ht="15" customHeight="1" s="21">
      <c r="A743" s="35" t="n"/>
      <c r="B743" s="24" t="n"/>
      <c r="C743" s="24" t="n"/>
      <c r="D743" s="24" t="n"/>
      <c r="E743" s="24" t="n"/>
      <c r="F743" s="24" t="n"/>
      <c r="G743" s="34" t="n"/>
      <c r="H743" s="24" t="n"/>
    </row>
    <row r="744" ht="15" customHeight="1" s="21">
      <c r="A744" s="35" t="n"/>
      <c r="B744" s="24" t="n"/>
      <c r="C744" s="24" t="n"/>
      <c r="D744" s="24" t="n"/>
      <c r="E744" s="24" t="n"/>
      <c r="F744" s="24" t="n"/>
      <c r="G744" s="34" t="n"/>
      <c r="H744" s="24" t="n"/>
    </row>
    <row r="745" ht="15" customHeight="1" s="21">
      <c r="A745" s="35" t="n"/>
      <c r="B745" s="24" t="n"/>
      <c r="C745" s="24" t="n"/>
      <c r="D745" s="24" t="n"/>
      <c r="E745" s="24" t="n"/>
      <c r="F745" s="24" t="n"/>
      <c r="G745" s="34" t="n"/>
      <c r="H745" s="24" t="n"/>
    </row>
    <row r="746" ht="15" customHeight="1" s="21">
      <c r="A746" s="35" t="n"/>
      <c r="B746" s="24" t="n"/>
      <c r="C746" s="24" t="n"/>
      <c r="D746" s="24" t="n"/>
      <c r="E746" s="24" t="n"/>
      <c r="F746" s="24" t="n"/>
      <c r="G746" s="34" t="n"/>
      <c r="H746" s="24" t="n"/>
    </row>
    <row r="747" ht="15" customHeight="1" s="21">
      <c r="A747" s="35" t="n"/>
      <c r="B747" s="24" t="n"/>
      <c r="C747" s="24" t="n"/>
      <c r="D747" s="24" t="n"/>
      <c r="E747" s="24" t="n"/>
      <c r="F747" s="24" t="n"/>
      <c r="G747" s="34" t="n"/>
      <c r="H747" s="24" t="n"/>
    </row>
    <row r="748" ht="15" customHeight="1" s="21">
      <c r="A748" s="35" t="n"/>
      <c r="B748" s="24" t="n"/>
      <c r="C748" s="24" t="n"/>
      <c r="D748" s="24" t="n"/>
      <c r="E748" s="24" t="n"/>
      <c r="F748" s="24" t="n"/>
      <c r="G748" s="34" t="n"/>
      <c r="H748" s="24" t="n"/>
    </row>
    <row r="749" ht="15" customHeight="1" s="21">
      <c r="A749" s="35" t="n"/>
      <c r="B749" s="24" t="n"/>
      <c r="C749" s="24" t="n"/>
      <c r="D749" s="24" t="n"/>
      <c r="E749" s="24" t="n"/>
      <c r="F749" s="24" t="n"/>
      <c r="G749" s="34" t="n"/>
      <c r="H749" s="24" t="n"/>
    </row>
    <row r="750" ht="15" customHeight="1" s="21">
      <c r="A750" s="35" t="n"/>
      <c r="B750" s="24" t="n"/>
      <c r="C750" s="24" t="n"/>
      <c r="D750" s="24" t="n"/>
      <c r="E750" s="24" t="n"/>
      <c r="F750" s="24" t="n"/>
      <c r="G750" s="34" t="n"/>
      <c r="H750" s="24" t="n"/>
    </row>
    <row r="751" ht="15" customHeight="1" s="21">
      <c r="A751" s="35" t="n"/>
      <c r="B751" s="24" t="n"/>
      <c r="C751" s="24" t="n"/>
      <c r="D751" s="24" t="n"/>
      <c r="E751" s="24" t="n"/>
      <c r="F751" s="24" t="n"/>
      <c r="G751" s="34" t="n"/>
      <c r="H751" s="24" t="n"/>
    </row>
    <row r="752" ht="15" customHeight="1" s="21">
      <c r="A752" s="35" t="n"/>
      <c r="B752" s="24" t="n"/>
      <c r="C752" s="24" t="n"/>
      <c r="D752" s="24" t="n"/>
      <c r="E752" s="24" t="n"/>
      <c r="F752" s="24" t="n"/>
      <c r="G752" s="34" t="n"/>
      <c r="H752" s="24" t="n"/>
    </row>
    <row r="753" ht="15" customHeight="1" s="21">
      <c r="A753" s="35" t="n"/>
      <c r="B753" s="24" t="n"/>
      <c r="C753" s="24" t="n"/>
      <c r="D753" s="24" t="n"/>
      <c r="E753" s="24" t="n"/>
      <c r="F753" s="24" t="n"/>
      <c r="G753" s="34" t="n"/>
      <c r="H753" s="24" t="n"/>
    </row>
    <row r="754" ht="15" customHeight="1" s="21">
      <c r="A754" s="35" t="n"/>
      <c r="B754" s="24" t="n"/>
      <c r="C754" s="24" t="n"/>
      <c r="D754" s="24" t="n"/>
      <c r="E754" s="24" t="n"/>
      <c r="F754" s="24" t="n"/>
      <c r="G754" s="34" t="n"/>
      <c r="H754" s="24" t="n"/>
    </row>
    <row r="755" ht="15" customHeight="1" s="21">
      <c r="A755" s="35" t="n"/>
      <c r="B755" s="24" t="n"/>
      <c r="C755" s="24" t="n"/>
      <c r="D755" s="24" t="n"/>
      <c r="E755" s="24" t="n"/>
      <c r="F755" s="24" t="n"/>
      <c r="G755" s="34" t="n"/>
      <c r="H755" s="24" t="n"/>
    </row>
    <row r="756" ht="15" customHeight="1" s="21">
      <c r="A756" s="35" t="n"/>
      <c r="B756" s="24" t="n"/>
      <c r="C756" s="24" t="n"/>
      <c r="D756" s="24" t="n"/>
      <c r="E756" s="24" t="n"/>
      <c r="F756" s="24" t="n"/>
      <c r="G756" s="34" t="n"/>
      <c r="H756" s="24" t="n"/>
    </row>
    <row r="757" ht="15" customHeight="1" s="21">
      <c r="A757" s="35" t="n"/>
      <c r="B757" s="24" t="n"/>
      <c r="C757" s="24" t="n"/>
      <c r="D757" s="24" t="n"/>
      <c r="E757" s="24" t="n"/>
      <c r="F757" s="24" t="n"/>
      <c r="G757" s="34" t="n"/>
      <c r="H757" s="24" t="n"/>
    </row>
    <row r="758" ht="15" customHeight="1" s="21">
      <c r="A758" s="35" t="n"/>
      <c r="B758" s="24" t="n"/>
      <c r="C758" s="24" t="n"/>
      <c r="D758" s="24" t="n"/>
      <c r="E758" s="24" t="n"/>
      <c r="F758" s="24" t="n"/>
      <c r="G758" s="34" t="n"/>
      <c r="H758" s="24" t="n"/>
    </row>
    <row r="759" ht="15" customHeight="1" s="21">
      <c r="A759" s="35" t="n"/>
      <c r="B759" s="24" t="n"/>
      <c r="C759" s="24" t="n"/>
      <c r="D759" s="24" t="n"/>
      <c r="E759" s="24" t="n"/>
      <c r="F759" s="24" t="n"/>
      <c r="G759" s="34" t="n"/>
      <c r="H759" s="24" t="n"/>
    </row>
    <row r="760" ht="15" customHeight="1" s="21">
      <c r="A760" s="35" t="n"/>
      <c r="B760" s="24" t="n"/>
      <c r="C760" s="24" t="n"/>
      <c r="D760" s="24" t="n"/>
      <c r="E760" s="24" t="n"/>
      <c r="F760" s="24" t="n"/>
      <c r="G760" s="34" t="n"/>
      <c r="H760" s="24" t="n"/>
    </row>
    <row r="761" ht="15" customHeight="1" s="21">
      <c r="A761" s="35" t="n"/>
      <c r="B761" s="24" t="n"/>
      <c r="C761" s="24" t="n"/>
      <c r="D761" s="24" t="n"/>
      <c r="E761" s="24" t="n"/>
      <c r="F761" s="24" t="n"/>
      <c r="G761" s="34" t="n"/>
      <c r="H761" s="24" t="n"/>
    </row>
    <row r="762" ht="15" customHeight="1" s="21">
      <c r="A762" s="35" t="n"/>
      <c r="B762" s="24" t="n"/>
      <c r="C762" s="24" t="n"/>
      <c r="D762" s="24" t="n"/>
      <c r="E762" s="24" t="n"/>
      <c r="F762" s="24" t="n"/>
      <c r="G762" s="34" t="n"/>
      <c r="H762" s="24" t="n"/>
    </row>
    <row r="763" ht="15" customHeight="1" s="21">
      <c r="A763" s="35" t="n"/>
      <c r="B763" s="24" t="n"/>
      <c r="C763" s="24" t="n"/>
      <c r="D763" s="24" t="n"/>
      <c r="E763" s="24" t="n"/>
      <c r="F763" s="24" t="n"/>
      <c r="G763" s="34" t="n"/>
      <c r="H763" s="24" t="n"/>
    </row>
    <row r="764" ht="15" customHeight="1" s="21">
      <c r="A764" s="35" t="n"/>
      <c r="B764" s="24" t="n"/>
      <c r="C764" s="24" t="n"/>
      <c r="D764" s="24" t="n"/>
      <c r="E764" s="24" t="n"/>
      <c r="F764" s="24" t="n"/>
      <c r="G764" s="34" t="n"/>
      <c r="H764" s="24" t="n"/>
    </row>
    <row r="765" ht="15" customHeight="1" s="21">
      <c r="A765" s="35" t="n"/>
      <c r="B765" s="24" t="n"/>
      <c r="C765" s="24" t="n"/>
      <c r="D765" s="24" t="n"/>
      <c r="E765" s="24" t="n"/>
      <c r="F765" s="24" t="n"/>
      <c r="G765" s="34" t="n"/>
      <c r="H765" s="24" t="n"/>
    </row>
    <row r="766" ht="15" customHeight="1" s="21">
      <c r="A766" s="35" t="n"/>
      <c r="B766" s="24" t="n"/>
      <c r="C766" s="24" t="n"/>
      <c r="D766" s="24" t="n"/>
      <c r="E766" s="24" t="n"/>
      <c r="F766" s="24" t="n"/>
      <c r="G766" s="34" t="n"/>
      <c r="H766" s="24" t="n"/>
    </row>
    <row r="767" ht="15" customHeight="1" s="21">
      <c r="A767" s="35" t="n"/>
      <c r="B767" s="24" t="n"/>
      <c r="C767" s="24" t="n"/>
      <c r="D767" s="24" t="n"/>
      <c r="E767" s="24" t="n"/>
      <c r="F767" s="24" t="n"/>
      <c r="G767" s="34" t="n"/>
      <c r="H767" s="24" t="n"/>
    </row>
    <row r="768" ht="15" customHeight="1" s="21">
      <c r="A768" s="35" t="n"/>
      <c r="B768" s="24" t="n"/>
      <c r="C768" s="24" t="n"/>
      <c r="D768" s="24" t="n"/>
      <c r="E768" s="24" t="n"/>
      <c r="F768" s="24" t="n"/>
      <c r="G768" s="34" t="n"/>
      <c r="H768" s="24" t="n"/>
    </row>
    <row r="769" ht="15" customHeight="1" s="21">
      <c r="A769" s="35" t="n"/>
      <c r="B769" s="24" t="n"/>
      <c r="C769" s="24" t="n"/>
      <c r="D769" s="24" t="n"/>
      <c r="E769" s="24" t="n"/>
      <c r="F769" s="24" t="n"/>
      <c r="G769" s="34" t="n"/>
      <c r="H769" s="24" t="n"/>
    </row>
    <row r="770" ht="15" customHeight="1" s="21">
      <c r="A770" s="35" t="n"/>
      <c r="B770" s="24" t="n"/>
      <c r="C770" s="24" t="n"/>
      <c r="D770" s="24" t="n"/>
      <c r="E770" s="24" t="n"/>
      <c r="F770" s="24" t="n"/>
      <c r="G770" s="34" t="n"/>
      <c r="H770" s="24" t="n"/>
    </row>
    <row r="771" ht="15" customHeight="1" s="21">
      <c r="A771" s="35" t="n"/>
      <c r="B771" s="24" t="n"/>
      <c r="C771" s="24" t="n"/>
      <c r="D771" s="24" t="n"/>
      <c r="E771" s="24" t="n"/>
      <c r="F771" s="24" t="n"/>
      <c r="G771" s="34" t="n"/>
      <c r="H771" s="24" t="n"/>
    </row>
    <row r="772" ht="15" customHeight="1" s="21">
      <c r="A772" s="35" t="n"/>
      <c r="B772" s="24" t="n"/>
      <c r="C772" s="24" t="n"/>
      <c r="D772" s="24" t="n"/>
      <c r="E772" s="24" t="n"/>
      <c r="F772" s="24" t="n"/>
      <c r="G772" s="34" t="n"/>
      <c r="H772" s="24" t="n"/>
    </row>
    <row r="773" ht="15" customHeight="1" s="21">
      <c r="A773" s="35" t="n"/>
      <c r="B773" s="24" t="n"/>
      <c r="C773" s="24" t="n"/>
      <c r="D773" s="24" t="n"/>
      <c r="E773" s="24" t="n"/>
      <c r="F773" s="24" t="n"/>
      <c r="G773" s="34" t="n"/>
      <c r="H773" s="24" t="n"/>
    </row>
    <row r="774" ht="15" customHeight="1" s="21">
      <c r="A774" s="35" t="n"/>
      <c r="B774" s="24" t="n"/>
      <c r="C774" s="24" t="n"/>
      <c r="D774" s="24" t="n"/>
      <c r="E774" s="24" t="n"/>
      <c r="F774" s="24" t="n"/>
      <c r="G774" s="34" t="n"/>
      <c r="H774" s="24" t="n"/>
    </row>
    <row r="775" ht="15" customHeight="1" s="21">
      <c r="A775" s="35" t="n"/>
      <c r="B775" s="24" t="n"/>
      <c r="C775" s="24" t="n"/>
      <c r="D775" s="24" t="n"/>
      <c r="E775" s="24" t="n"/>
      <c r="F775" s="24" t="n"/>
      <c r="G775" s="34" t="n"/>
      <c r="H775" s="24" t="n"/>
    </row>
    <row r="776" ht="15" customHeight="1" s="21">
      <c r="A776" s="35" t="n"/>
      <c r="B776" s="24" t="n"/>
      <c r="C776" s="24" t="n"/>
      <c r="D776" s="24" t="n"/>
      <c r="E776" s="24" t="n"/>
      <c r="F776" s="24" t="n"/>
      <c r="G776" s="34" t="n"/>
      <c r="H776" s="24" t="n"/>
    </row>
    <row r="777" ht="15" customHeight="1" s="21">
      <c r="A777" s="35" t="n"/>
      <c r="B777" s="24" t="n"/>
      <c r="C777" s="24" t="n"/>
      <c r="D777" s="24" t="n"/>
      <c r="E777" s="24" t="n"/>
      <c r="F777" s="24" t="n"/>
      <c r="G777" s="34" t="n"/>
      <c r="H777" s="24" t="n"/>
    </row>
    <row r="778" ht="15" customHeight="1" s="21">
      <c r="A778" s="35" t="n"/>
      <c r="B778" s="24" t="n"/>
      <c r="C778" s="24" t="n"/>
      <c r="D778" s="24" t="n"/>
      <c r="E778" s="24" t="n"/>
      <c r="F778" s="24" t="n"/>
      <c r="G778" s="34" t="n"/>
      <c r="H778" s="24" t="n"/>
    </row>
    <row r="779" ht="15" customHeight="1" s="21">
      <c r="A779" s="35" t="n"/>
      <c r="B779" s="24" t="n"/>
      <c r="C779" s="24" t="n"/>
      <c r="D779" s="24" t="n"/>
      <c r="E779" s="24" t="n"/>
      <c r="F779" s="24" t="n"/>
      <c r="G779" s="34" t="n"/>
      <c r="H779" s="24" t="n"/>
    </row>
    <row r="780" ht="15" customHeight="1" s="21">
      <c r="A780" s="35" t="n"/>
      <c r="B780" s="24" t="n"/>
      <c r="C780" s="24" t="n"/>
      <c r="D780" s="24" t="n"/>
      <c r="E780" s="24" t="n"/>
      <c r="F780" s="24" t="n"/>
      <c r="G780" s="34" t="n"/>
      <c r="H780" s="24" t="n"/>
    </row>
    <row r="781" ht="15" customHeight="1" s="21">
      <c r="A781" s="35" t="n"/>
      <c r="B781" s="24" t="n"/>
      <c r="C781" s="24" t="n"/>
      <c r="D781" s="24" t="n"/>
      <c r="E781" s="24" t="n"/>
      <c r="F781" s="24" t="n"/>
      <c r="G781" s="34" t="n"/>
      <c r="H781" s="24" t="n"/>
    </row>
    <row r="782" ht="15" customHeight="1" s="21">
      <c r="A782" s="35" t="n"/>
      <c r="B782" s="24" t="n"/>
      <c r="C782" s="24" t="n"/>
      <c r="D782" s="24" t="n"/>
      <c r="E782" s="24" t="n"/>
      <c r="F782" s="24" t="n"/>
      <c r="G782" s="34" t="n"/>
      <c r="H782" s="24" t="n"/>
    </row>
    <row r="783" ht="15" customHeight="1" s="21">
      <c r="A783" s="35" t="n"/>
      <c r="B783" s="24" t="n"/>
      <c r="C783" s="24" t="n"/>
      <c r="D783" s="24" t="n"/>
      <c r="E783" s="24" t="n"/>
      <c r="F783" s="24" t="n"/>
      <c r="G783" s="34" t="n"/>
      <c r="H783" s="24" t="n"/>
    </row>
    <row r="784" ht="15" customHeight="1" s="21">
      <c r="A784" s="35" t="n"/>
      <c r="B784" s="24" t="n"/>
      <c r="C784" s="24" t="n"/>
      <c r="D784" s="24" t="n"/>
      <c r="E784" s="24" t="n"/>
      <c r="F784" s="24" t="n"/>
      <c r="G784" s="34" t="n"/>
      <c r="H784" s="24" t="n"/>
    </row>
    <row r="785" ht="15" customHeight="1" s="21">
      <c r="A785" s="35" t="n"/>
      <c r="B785" s="24" t="n"/>
      <c r="C785" s="24" t="n"/>
      <c r="D785" s="24" t="n"/>
      <c r="E785" s="24" t="n"/>
      <c r="F785" s="24" t="n"/>
      <c r="G785" s="34" t="n"/>
      <c r="H785" s="24" t="n"/>
    </row>
    <row r="786" ht="15" customHeight="1" s="21">
      <c r="A786" s="35" t="n"/>
      <c r="B786" s="24" t="n"/>
      <c r="C786" s="24" t="n"/>
      <c r="D786" s="24" t="n"/>
      <c r="E786" s="24" t="n"/>
      <c r="F786" s="24" t="n"/>
      <c r="G786" s="34" t="n"/>
      <c r="H786" s="24" t="n"/>
    </row>
    <row r="787" ht="15" customHeight="1" s="21">
      <c r="A787" s="35" t="n"/>
      <c r="B787" s="24" t="n"/>
      <c r="C787" s="24" t="n"/>
      <c r="D787" s="24" t="n"/>
      <c r="E787" s="24" t="n"/>
      <c r="F787" s="24" t="n"/>
      <c r="G787" s="34" t="n"/>
      <c r="H787" s="24" t="n"/>
    </row>
    <row r="788" ht="15" customHeight="1" s="21">
      <c r="A788" s="35" t="n"/>
      <c r="B788" s="24" t="n"/>
      <c r="C788" s="24" t="n"/>
      <c r="D788" s="24" t="n"/>
      <c r="E788" s="24" t="n"/>
      <c r="F788" s="24" t="n"/>
      <c r="G788" s="34" t="n"/>
      <c r="H788" s="24" t="n"/>
    </row>
    <row r="789" ht="15" customHeight="1" s="21">
      <c r="A789" s="35" t="n"/>
      <c r="B789" s="24" t="n"/>
      <c r="C789" s="24" t="n"/>
      <c r="D789" s="24" t="n"/>
      <c r="E789" s="24" t="n"/>
      <c r="F789" s="24" t="n"/>
      <c r="G789" s="34" t="n"/>
      <c r="H789" s="24" t="n"/>
    </row>
    <row r="790" ht="15" customHeight="1" s="21">
      <c r="A790" s="35" t="n"/>
      <c r="B790" s="24" t="n"/>
      <c r="C790" s="24" t="n"/>
      <c r="D790" s="24" t="n"/>
      <c r="E790" s="24" t="n"/>
      <c r="F790" s="24" t="n"/>
      <c r="G790" s="34" t="n"/>
      <c r="H790" s="24" t="n"/>
    </row>
    <row r="791" ht="15" customHeight="1" s="21">
      <c r="A791" s="35" t="n"/>
      <c r="B791" s="24" t="n"/>
      <c r="C791" s="24" t="n"/>
      <c r="D791" s="24" t="n"/>
      <c r="E791" s="24" t="n"/>
      <c r="F791" s="24" t="n"/>
      <c r="G791" s="34" t="n"/>
      <c r="H791" s="24" t="n"/>
    </row>
    <row r="792" ht="15" customHeight="1" s="21">
      <c r="A792" s="35" t="n"/>
      <c r="B792" s="24" t="n"/>
      <c r="C792" s="24" t="n"/>
      <c r="D792" s="24" t="n"/>
      <c r="E792" s="24" t="n"/>
      <c r="F792" s="24" t="n"/>
      <c r="G792" s="34" t="n"/>
      <c r="H792" s="24" t="n"/>
    </row>
    <row r="793" ht="15" customHeight="1" s="21">
      <c r="A793" s="35" t="n"/>
      <c r="B793" s="24" t="n"/>
      <c r="C793" s="24" t="n"/>
      <c r="D793" s="24" t="n"/>
      <c r="E793" s="24" t="n"/>
      <c r="F793" s="24" t="n"/>
      <c r="G793" s="34" t="n"/>
      <c r="H793" s="24" t="n"/>
    </row>
    <row r="794" ht="15" customHeight="1" s="21">
      <c r="A794" s="35" t="n"/>
      <c r="B794" s="24" t="n"/>
      <c r="C794" s="24" t="n"/>
      <c r="D794" s="24" t="n"/>
      <c r="E794" s="24" t="n"/>
      <c r="F794" s="24" t="n"/>
      <c r="G794" s="34" t="n"/>
      <c r="H794" s="24" t="n"/>
    </row>
    <row r="795" ht="15" customHeight="1" s="21">
      <c r="A795" s="35" t="n"/>
      <c r="B795" s="24" t="n"/>
      <c r="C795" s="24" t="n"/>
      <c r="D795" s="24" t="n"/>
      <c r="E795" s="24" t="n"/>
      <c r="F795" s="24" t="n"/>
      <c r="G795" s="34" t="n"/>
      <c r="H795" s="24" t="n"/>
    </row>
    <row r="796" ht="15" customHeight="1" s="21">
      <c r="A796" s="35" t="n"/>
      <c r="B796" s="24" t="n"/>
      <c r="C796" s="24" t="n"/>
      <c r="D796" s="24" t="n"/>
      <c r="E796" s="24" t="n"/>
      <c r="F796" s="24" t="n"/>
      <c r="G796" s="34" t="n"/>
      <c r="H796" s="24" t="n"/>
    </row>
    <row r="797" ht="15" customHeight="1" s="21">
      <c r="A797" s="35" t="n"/>
      <c r="B797" s="24" t="n"/>
      <c r="C797" s="24" t="n"/>
      <c r="D797" s="24" t="n"/>
      <c r="E797" s="24" t="n"/>
      <c r="F797" s="24" t="n"/>
      <c r="G797" s="34" t="n"/>
      <c r="H797" s="24" t="n"/>
    </row>
    <row r="798" ht="15" customHeight="1" s="21">
      <c r="A798" s="35" t="n"/>
      <c r="B798" s="24" t="n"/>
      <c r="C798" s="24" t="n"/>
      <c r="D798" s="24" t="n"/>
      <c r="E798" s="24" t="n"/>
      <c r="F798" s="24" t="n"/>
      <c r="G798" s="34" t="n"/>
      <c r="H798" s="24" t="n"/>
    </row>
    <row r="799" ht="15" customHeight="1" s="21">
      <c r="A799" s="35" t="n"/>
      <c r="B799" s="24" t="n"/>
      <c r="C799" s="24" t="n"/>
      <c r="D799" s="24" t="n"/>
      <c r="E799" s="24" t="n"/>
      <c r="F799" s="24" t="n"/>
      <c r="G799" s="34" t="n"/>
      <c r="H799" s="24" t="n"/>
    </row>
    <row r="800" ht="15" customHeight="1" s="21">
      <c r="A800" s="35" t="n"/>
      <c r="B800" s="24" t="n"/>
      <c r="C800" s="24" t="n"/>
      <c r="D800" s="24" t="n"/>
      <c r="E800" s="24" t="n"/>
      <c r="F800" s="24" t="n"/>
      <c r="G800" s="34" t="n"/>
      <c r="H800" s="24" t="n"/>
    </row>
  </sheetData>
  <autoFilter ref="A1:H800"/>
  <printOptions horizontalCentered="0" verticalCentered="0" headings="0" gridLines="0" gridLinesSet="1"/>
  <pageMargins left="0.75" right="0.75" top="1" bottom="1" header="0.511811023622047" footer="0.511811023622047"/>
  <pageSetup orientation="landscape" paperSize="1" scale="100" fitToHeight="0" fitToWidth="1" pageOrder="downThenOver" blackAndWhite="0" draft="0" horizontalDpi="300" verticalDpi="300" copies="1"/>
  <legacyDrawing xmlns:r="http://schemas.openxmlformats.org/officeDocument/2006/relationships" r:id="anysvml"/>
</worksheet>
</file>

<file path=xl/worksheets/sheet6.xml><?xml version="1.0" encoding="utf-8"?>
<worksheet xmlns="http://schemas.openxmlformats.org/spreadsheetml/2006/main">
  <sheetPr filterMode="0">
    <tabColor rgb="FF86B6EF"/>
    <outlinePr summaryBelow="1" summaryRight="1"/>
    <pageSetUpPr fitToPage="1"/>
  </sheetPr>
  <dimension ref="A1:A1"/>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2" customWidth="1" style="20" min="1" max="19"/>
  </cols>
  <sheetData>
    <row r="1" ht="15" customHeight="1" s="21">
      <c r="A1" s="24" t="n"/>
    </row>
  </sheetData>
  <printOptions horizontalCentered="0" verticalCentered="0" headings="0" gridLines="0" gridLinesSet="1"/>
  <pageMargins left="0.75" right="0.75" top="1" bottom="1" header="0.511811023622047" footer="0.511811023622047"/>
  <pageSetup orientation="landscape" paperSize="1" scale="100" fitToHeight="0" fitToWidth="1" pageOrder="downThenOver" blackAndWhite="0" draft="0" horizontalDpi="300" verticalDpi="300" copies="1"/>
  <legacyDrawing xmlns:r="http://schemas.openxmlformats.org/officeDocument/2006/relationships" r:id="anysvml"/>
</worksheet>
</file>

<file path=xl/worksheets/sheet7.xml><?xml version="1.0" encoding="utf-8"?>
<worksheet xmlns="http://schemas.openxmlformats.org/spreadsheetml/2006/main">
  <sheetPr filterMode="0">
    <tabColor rgb="FF6DB83D"/>
    <outlinePr summaryBelow="1" summaryRight="1"/>
    <pageSetUpPr fitToPage="1"/>
  </sheetPr>
  <dimension ref="A1:B600"/>
  <sheetViews>
    <sheetView showFormulas="0" showGridLines="0"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34" customWidth="1" style="20" min="1" max="1"/>
    <col width="30" customWidth="1" style="20" min="2" max="2"/>
  </cols>
  <sheetData>
    <row r="1" ht="30" customHeight="1" s="21">
      <c r="A1" s="28" t="inlineStr">
        <is>
          <t>Campus</t>
        </is>
      </c>
      <c r="B1" s="28" t="inlineStr">
        <is>
          <t>C1 Coordinator</t>
        </is>
      </c>
    </row>
    <row r="2" ht="15" customHeight="1" s="21">
      <c r="A2" s="31" t="n"/>
      <c r="B2" s="31" t="n"/>
    </row>
    <row r="3" ht="15" customHeight="1" s="21">
      <c r="A3" s="31" t="n"/>
      <c r="B3" s="31" t="n"/>
    </row>
    <row r="4" ht="15" customHeight="1" s="21">
      <c r="A4" s="31" t="n"/>
      <c r="B4" s="31" t="n"/>
    </row>
    <row r="5" ht="15" customHeight="1" s="21">
      <c r="A5" s="31" t="n"/>
      <c r="B5" s="31" t="n"/>
    </row>
    <row r="6" ht="15" customHeight="1" s="21">
      <c r="A6" s="31" t="n"/>
      <c r="B6" s="31" t="n"/>
    </row>
    <row r="7" ht="15" customHeight="1" s="21">
      <c r="A7" s="31" t="n"/>
      <c r="B7" s="31" t="n"/>
    </row>
    <row r="8" ht="15" customHeight="1" s="21">
      <c r="A8" s="31" t="n"/>
      <c r="B8" s="31" t="n"/>
    </row>
    <row r="9" ht="15" customHeight="1" s="21">
      <c r="A9" s="31" t="n"/>
      <c r="B9" s="31" t="n"/>
    </row>
    <row r="10" ht="15" customHeight="1" s="21">
      <c r="A10" s="31" t="n"/>
      <c r="B10" s="31" t="n"/>
    </row>
    <row r="11" ht="15" customHeight="1" s="21">
      <c r="A11" s="31" t="n"/>
      <c r="B11" s="31" t="n"/>
    </row>
    <row r="12" ht="15" customHeight="1" s="21">
      <c r="A12" s="31" t="n"/>
      <c r="B12" s="31" t="n"/>
    </row>
    <row r="13" ht="15" customHeight="1" s="21">
      <c r="A13" s="31" t="n"/>
      <c r="B13" s="31" t="n"/>
    </row>
    <row r="14" ht="15" customHeight="1" s="21">
      <c r="A14" s="31" t="n"/>
      <c r="B14" s="31" t="n"/>
    </row>
    <row r="15" ht="15" customHeight="1" s="21">
      <c r="A15" s="31" t="n"/>
      <c r="B15" s="31" t="n"/>
    </row>
    <row r="16" ht="15" customHeight="1" s="21">
      <c r="A16" s="31" t="n"/>
      <c r="B16" s="31" t="n"/>
    </row>
    <row r="17" ht="15" customHeight="1" s="21">
      <c r="A17" s="31" t="n"/>
      <c r="B17" s="31" t="n"/>
    </row>
    <row r="18" ht="15" customHeight="1" s="21">
      <c r="A18" s="31" t="n"/>
      <c r="B18" s="31" t="n"/>
    </row>
    <row r="19" ht="15" customHeight="1" s="21">
      <c r="A19" s="31" t="n"/>
      <c r="B19" s="31" t="n"/>
    </row>
    <row r="20" ht="15" customHeight="1" s="21">
      <c r="A20" s="31" t="n"/>
      <c r="B20" s="31" t="n"/>
    </row>
    <row r="21" ht="15" customHeight="1" s="21">
      <c r="A21" s="31" t="n"/>
      <c r="B21" s="31" t="n"/>
    </row>
    <row r="22" ht="15" customHeight="1" s="21">
      <c r="A22" s="31" t="n"/>
      <c r="B22" s="31" t="n"/>
    </row>
    <row r="23" ht="15" customHeight="1" s="21">
      <c r="A23" s="31" t="n"/>
      <c r="B23" s="31" t="n"/>
    </row>
    <row r="24" ht="15" customHeight="1" s="21">
      <c r="A24" s="31" t="n"/>
      <c r="B24" s="31" t="n"/>
    </row>
    <row r="25" ht="15" customHeight="1" s="21">
      <c r="A25" s="31" t="n"/>
      <c r="B25" s="31" t="n"/>
    </row>
    <row r="26" ht="15" customHeight="1" s="21">
      <c r="A26" s="31" t="n"/>
      <c r="B26" s="31" t="n"/>
    </row>
    <row r="27" ht="15" customHeight="1" s="21">
      <c r="A27" s="31" t="n"/>
      <c r="B27" s="31" t="n"/>
    </row>
    <row r="28" ht="15" customHeight="1" s="21">
      <c r="A28" s="31" t="n"/>
      <c r="B28" s="31" t="n"/>
    </row>
    <row r="29" ht="15" customHeight="1" s="21">
      <c r="A29" s="31" t="n"/>
      <c r="B29" s="31" t="n"/>
    </row>
    <row r="30" ht="15" customHeight="1" s="21">
      <c r="A30" s="31" t="n"/>
      <c r="B30" s="31" t="n"/>
    </row>
    <row r="31" ht="15" customHeight="1" s="21">
      <c r="A31" s="31" t="n"/>
      <c r="B31" s="31" t="n"/>
    </row>
    <row r="32" ht="15" customHeight="1" s="21">
      <c r="A32" s="31" t="n"/>
      <c r="B32" s="31" t="n"/>
    </row>
    <row r="33" ht="15" customHeight="1" s="21">
      <c r="A33" s="31" t="n"/>
      <c r="B33" s="31" t="n"/>
    </row>
    <row r="34" ht="15" customHeight="1" s="21">
      <c r="A34" s="31" t="n"/>
      <c r="B34" s="31" t="n"/>
    </row>
    <row r="35" ht="15" customHeight="1" s="21">
      <c r="A35" s="31" t="n"/>
      <c r="B35" s="31" t="n"/>
    </row>
    <row r="36" ht="15" customHeight="1" s="21">
      <c r="A36" s="31" t="n"/>
      <c r="B36" s="31" t="n"/>
    </row>
    <row r="37" ht="15" customHeight="1" s="21">
      <c r="A37" s="31" t="n"/>
      <c r="B37" s="31" t="n"/>
    </row>
    <row r="38" ht="15" customHeight="1" s="21">
      <c r="A38" s="31" t="n"/>
      <c r="B38" s="31" t="n"/>
    </row>
    <row r="39" ht="15" customHeight="1" s="21">
      <c r="A39" s="31" t="n"/>
      <c r="B39" s="31" t="n"/>
    </row>
    <row r="40" ht="15" customHeight="1" s="21">
      <c r="A40" s="31" t="n"/>
      <c r="B40" s="31" t="n"/>
    </row>
    <row r="41" ht="15" customHeight="1" s="21">
      <c r="A41" s="31" t="n"/>
      <c r="B41" s="31" t="n"/>
    </row>
    <row r="42" ht="15" customHeight="1" s="21">
      <c r="A42" s="31" t="n"/>
      <c r="B42" s="31" t="n"/>
    </row>
    <row r="43" ht="15" customHeight="1" s="21">
      <c r="A43" s="31" t="n"/>
      <c r="B43" s="31" t="n"/>
    </row>
    <row r="44" ht="15" customHeight="1" s="21">
      <c r="A44" s="31" t="n"/>
      <c r="B44" s="31" t="n"/>
    </row>
    <row r="45" ht="15" customHeight="1" s="21">
      <c r="A45" s="31" t="n"/>
      <c r="B45" s="31" t="n"/>
    </row>
    <row r="46" ht="15" customHeight="1" s="21">
      <c r="A46" s="31" t="n"/>
      <c r="B46" s="31" t="n"/>
    </row>
    <row r="47" ht="15" customHeight="1" s="21">
      <c r="A47" s="31" t="n"/>
      <c r="B47" s="31" t="n"/>
    </row>
    <row r="48" ht="15" customHeight="1" s="21">
      <c r="A48" s="31" t="n"/>
      <c r="B48" s="31" t="n"/>
    </row>
    <row r="49" ht="15" customHeight="1" s="21">
      <c r="A49" s="31" t="n"/>
      <c r="B49" s="31" t="n"/>
    </row>
    <row r="50" ht="15" customHeight="1" s="21">
      <c r="A50" s="31" t="n"/>
      <c r="B50" s="31" t="n"/>
    </row>
    <row r="51" ht="15" customHeight="1" s="21">
      <c r="A51" s="31" t="n"/>
      <c r="B51" s="31" t="n"/>
    </row>
    <row r="52" ht="15" customHeight="1" s="21">
      <c r="A52" s="31" t="n"/>
      <c r="B52" s="31" t="n"/>
    </row>
    <row r="53" ht="15" customHeight="1" s="21">
      <c r="A53" s="31" t="n"/>
      <c r="B53" s="31" t="n"/>
    </row>
    <row r="54" ht="15" customHeight="1" s="21">
      <c r="A54" s="31" t="n"/>
      <c r="B54" s="31" t="n"/>
    </row>
    <row r="55" ht="15" customHeight="1" s="21">
      <c r="A55" s="31" t="n"/>
      <c r="B55" s="31" t="n"/>
    </row>
    <row r="56" ht="15" customHeight="1" s="21">
      <c r="A56" s="31" t="n"/>
      <c r="B56" s="31" t="n"/>
    </row>
    <row r="57" ht="15" customHeight="1" s="21">
      <c r="A57" s="31" t="n"/>
      <c r="B57" s="31" t="n"/>
    </row>
    <row r="58" ht="15" customHeight="1" s="21">
      <c r="A58" s="31" t="n"/>
      <c r="B58" s="31" t="n"/>
    </row>
    <row r="59" ht="15" customHeight="1" s="21">
      <c r="A59" s="31" t="n"/>
      <c r="B59" s="31" t="n"/>
    </row>
    <row r="60" ht="15" customHeight="1" s="21">
      <c r="A60" s="31" t="n"/>
      <c r="B60" s="31" t="n"/>
    </row>
    <row r="61" ht="15" customHeight="1" s="21">
      <c r="A61" s="31" t="n"/>
      <c r="B61" s="31" t="n"/>
    </row>
    <row r="62" ht="15" customHeight="1" s="21">
      <c r="A62" s="31" t="n"/>
      <c r="B62" s="31" t="n"/>
    </row>
    <row r="63" ht="15" customHeight="1" s="21">
      <c r="A63" s="31" t="n"/>
      <c r="B63" s="31" t="n"/>
    </row>
    <row r="64" ht="15" customHeight="1" s="21">
      <c r="A64" s="31" t="n"/>
      <c r="B64" s="31" t="n"/>
    </row>
    <row r="65" ht="15" customHeight="1" s="21">
      <c r="A65" s="31" t="n"/>
      <c r="B65" s="31" t="n"/>
    </row>
    <row r="66" ht="15" customHeight="1" s="21">
      <c r="A66" s="31" t="n"/>
      <c r="B66" s="31" t="n"/>
    </row>
    <row r="67" ht="15" customHeight="1" s="21">
      <c r="A67" s="31" t="n"/>
      <c r="B67" s="31" t="n"/>
    </row>
    <row r="68" ht="15" customHeight="1" s="21">
      <c r="A68" s="31" t="n"/>
      <c r="B68" s="31" t="n"/>
    </row>
    <row r="69" ht="15" customHeight="1" s="21">
      <c r="A69" s="31" t="n"/>
      <c r="B69" s="31" t="n"/>
    </row>
    <row r="70" ht="15" customHeight="1" s="21">
      <c r="A70" s="31" t="n"/>
      <c r="B70" s="31" t="n"/>
    </row>
    <row r="71" ht="15" customHeight="1" s="21">
      <c r="A71" s="31" t="n"/>
      <c r="B71" s="31" t="n"/>
    </row>
    <row r="72" ht="15" customHeight="1" s="21">
      <c r="A72" s="31" t="n"/>
      <c r="B72" s="31" t="n"/>
    </row>
    <row r="73" ht="15" customHeight="1" s="21">
      <c r="A73" s="31" t="n"/>
      <c r="B73" s="31" t="n"/>
    </row>
    <row r="74" ht="15" customHeight="1" s="21">
      <c r="A74" s="31" t="n"/>
      <c r="B74" s="31" t="n"/>
    </row>
    <row r="75" ht="15" customHeight="1" s="21">
      <c r="A75" s="31" t="n"/>
      <c r="B75" s="31" t="n"/>
    </row>
    <row r="76" ht="15" customHeight="1" s="21">
      <c r="A76" s="31" t="n"/>
      <c r="B76" s="31" t="n"/>
    </row>
    <row r="77" ht="15" customHeight="1" s="21">
      <c r="A77" s="31" t="n"/>
      <c r="B77" s="31" t="n"/>
    </row>
    <row r="78" ht="15" customHeight="1" s="21">
      <c r="A78" s="31" t="n"/>
      <c r="B78" s="31" t="n"/>
    </row>
    <row r="79" ht="15" customHeight="1" s="21">
      <c r="A79" s="31" t="n"/>
      <c r="B79" s="31" t="n"/>
    </row>
    <row r="80" ht="15" customHeight="1" s="21">
      <c r="A80" s="31" t="n"/>
      <c r="B80" s="31" t="n"/>
    </row>
    <row r="81" ht="15" customHeight="1" s="21">
      <c r="A81" s="31" t="n"/>
      <c r="B81" s="31" t="n"/>
    </row>
    <row r="82" ht="15" customHeight="1" s="21">
      <c r="A82" s="31" t="n"/>
      <c r="B82" s="31" t="n"/>
    </row>
    <row r="83" ht="15" customHeight="1" s="21">
      <c r="A83" s="31" t="n"/>
      <c r="B83" s="31" t="n"/>
    </row>
    <row r="84" ht="15" customHeight="1" s="21">
      <c r="A84" s="31" t="n"/>
      <c r="B84" s="31" t="n"/>
    </row>
    <row r="85" ht="15" customHeight="1" s="21">
      <c r="A85" s="31" t="n"/>
      <c r="B85" s="31" t="n"/>
    </row>
    <row r="86" ht="15" customHeight="1" s="21">
      <c r="A86" s="31" t="n"/>
      <c r="B86" s="31" t="n"/>
    </row>
    <row r="87" ht="15" customHeight="1" s="21">
      <c r="A87" s="31" t="n"/>
      <c r="B87" s="31" t="n"/>
    </row>
    <row r="88" ht="15" customHeight="1" s="21">
      <c r="A88" s="31" t="n"/>
      <c r="B88" s="31" t="n"/>
    </row>
    <row r="89" ht="15" customHeight="1" s="21">
      <c r="A89" s="31" t="n"/>
      <c r="B89" s="31" t="n"/>
    </row>
    <row r="90" ht="15" customHeight="1" s="21">
      <c r="A90" s="31" t="n"/>
      <c r="B90" s="31" t="n"/>
    </row>
    <row r="91" ht="15" customHeight="1" s="21">
      <c r="A91" s="31" t="n"/>
      <c r="B91" s="31" t="n"/>
    </row>
    <row r="92" ht="15" customHeight="1" s="21">
      <c r="A92" s="31" t="n"/>
      <c r="B92" s="31" t="n"/>
    </row>
    <row r="93" ht="15" customHeight="1" s="21">
      <c r="A93" s="31" t="n"/>
      <c r="B93" s="31" t="n"/>
    </row>
    <row r="94" ht="15" customHeight="1" s="21">
      <c r="A94" s="31" t="n"/>
      <c r="B94" s="31" t="n"/>
    </row>
    <row r="95" ht="15" customHeight="1" s="21">
      <c r="A95" s="31" t="n"/>
      <c r="B95" s="31" t="n"/>
    </row>
    <row r="96" ht="15" customHeight="1" s="21">
      <c r="A96" s="31" t="n"/>
      <c r="B96" s="31" t="n"/>
    </row>
    <row r="97" ht="15" customHeight="1" s="21">
      <c r="A97" s="31" t="n"/>
      <c r="B97" s="31" t="n"/>
    </row>
    <row r="98" ht="15" customHeight="1" s="21">
      <c r="A98" s="31" t="n"/>
      <c r="B98" s="31" t="n"/>
    </row>
    <row r="99" ht="15" customHeight="1" s="21">
      <c r="A99" s="31" t="n"/>
      <c r="B99" s="31" t="n"/>
    </row>
    <row r="100" ht="15" customHeight="1" s="21">
      <c r="A100" s="31" t="n"/>
      <c r="B100" s="31" t="n"/>
    </row>
    <row r="101" ht="15" customHeight="1" s="21">
      <c r="A101" s="31" t="n"/>
      <c r="B101" s="31" t="n"/>
    </row>
    <row r="102" ht="15" customHeight="1" s="21">
      <c r="A102" s="31" t="n"/>
      <c r="B102" s="31" t="n"/>
    </row>
    <row r="103" ht="15" customHeight="1" s="21">
      <c r="A103" s="31" t="n"/>
      <c r="B103" s="31" t="n"/>
    </row>
    <row r="104" ht="15" customHeight="1" s="21">
      <c r="A104" s="31" t="n"/>
      <c r="B104" s="31" t="n"/>
    </row>
    <row r="105" ht="15" customHeight="1" s="21">
      <c r="A105" s="31" t="n"/>
      <c r="B105" s="31" t="n"/>
    </row>
    <row r="106" ht="15" customHeight="1" s="21">
      <c r="A106" s="31" t="n"/>
      <c r="B106" s="31" t="n"/>
    </row>
    <row r="107" ht="15" customHeight="1" s="21">
      <c r="A107" s="31" t="n"/>
      <c r="B107" s="31" t="n"/>
    </row>
    <row r="108" ht="15" customHeight="1" s="21">
      <c r="A108" s="31" t="n"/>
      <c r="B108" s="31" t="n"/>
    </row>
    <row r="109" ht="15" customHeight="1" s="21">
      <c r="A109" s="31" t="n"/>
      <c r="B109" s="31" t="n"/>
    </row>
    <row r="110" ht="15" customHeight="1" s="21">
      <c r="A110" s="31" t="n"/>
      <c r="B110" s="31" t="n"/>
    </row>
    <row r="111" ht="15" customHeight="1" s="21">
      <c r="A111" s="31" t="n"/>
      <c r="B111" s="31" t="n"/>
    </row>
    <row r="112" ht="15" customHeight="1" s="21">
      <c r="A112" s="31" t="n"/>
      <c r="B112" s="31" t="n"/>
    </row>
    <row r="113" ht="15" customHeight="1" s="21">
      <c r="A113" s="31" t="n"/>
      <c r="B113" s="31" t="n"/>
    </row>
    <row r="114" ht="15" customHeight="1" s="21">
      <c r="A114" s="31" t="n"/>
      <c r="B114" s="31" t="n"/>
    </row>
    <row r="115" ht="15" customHeight="1" s="21">
      <c r="A115" s="31" t="n"/>
      <c r="B115" s="31" t="n"/>
    </row>
    <row r="116" ht="15" customHeight="1" s="21">
      <c r="A116" s="31" t="n"/>
      <c r="B116" s="31" t="n"/>
    </row>
    <row r="117" ht="15" customHeight="1" s="21">
      <c r="A117" s="31" t="n"/>
      <c r="B117" s="31" t="n"/>
    </row>
    <row r="118" ht="15" customHeight="1" s="21">
      <c r="A118" s="31" t="n"/>
      <c r="B118" s="31" t="n"/>
    </row>
    <row r="119" ht="15" customHeight="1" s="21">
      <c r="A119" s="31" t="n"/>
      <c r="B119" s="31" t="n"/>
    </row>
    <row r="120" ht="15" customHeight="1" s="21">
      <c r="A120" s="31" t="n"/>
      <c r="B120" s="31" t="n"/>
    </row>
    <row r="121" ht="15" customHeight="1" s="21">
      <c r="A121" s="31" t="n"/>
      <c r="B121" s="31" t="n"/>
    </row>
    <row r="122" ht="15" customHeight="1" s="21">
      <c r="A122" s="31" t="n"/>
      <c r="B122" s="31" t="n"/>
    </row>
    <row r="123" ht="15" customHeight="1" s="21">
      <c r="A123" s="31" t="n"/>
      <c r="B123" s="31" t="n"/>
    </row>
    <row r="124" ht="15" customHeight="1" s="21">
      <c r="A124" s="31" t="n"/>
      <c r="B124" s="31" t="n"/>
    </row>
    <row r="125" ht="15" customHeight="1" s="21">
      <c r="A125" s="31" t="n"/>
      <c r="B125" s="31" t="n"/>
    </row>
    <row r="126" ht="15" customHeight="1" s="21">
      <c r="A126" s="31" t="n"/>
      <c r="B126" s="31" t="n"/>
    </row>
    <row r="127" ht="15" customHeight="1" s="21">
      <c r="A127" s="31" t="n"/>
      <c r="B127" s="31" t="n"/>
    </row>
    <row r="128" ht="15" customHeight="1" s="21">
      <c r="A128" s="31" t="n"/>
      <c r="B128" s="31" t="n"/>
    </row>
    <row r="129" ht="15" customHeight="1" s="21">
      <c r="A129" s="31" t="n"/>
      <c r="B129" s="31" t="n"/>
    </row>
    <row r="130" ht="15" customHeight="1" s="21">
      <c r="A130" s="31" t="n"/>
      <c r="B130" s="31" t="n"/>
    </row>
    <row r="131" ht="15" customHeight="1" s="21">
      <c r="A131" s="31" t="n"/>
      <c r="B131" s="31" t="n"/>
    </row>
    <row r="132" ht="15" customHeight="1" s="21">
      <c r="A132" s="31" t="n"/>
      <c r="B132" s="31" t="n"/>
    </row>
    <row r="133" ht="15" customHeight="1" s="21">
      <c r="A133" s="31" t="n"/>
      <c r="B133" s="31" t="n"/>
    </row>
    <row r="134" ht="15" customHeight="1" s="21">
      <c r="A134" s="31" t="n"/>
      <c r="B134" s="31" t="n"/>
    </row>
    <row r="135" ht="15" customHeight="1" s="21">
      <c r="A135" s="31" t="n"/>
      <c r="B135" s="31" t="n"/>
    </row>
    <row r="136" ht="15" customHeight="1" s="21">
      <c r="A136" s="31" t="n"/>
      <c r="B136" s="31" t="n"/>
    </row>
    <row r="137" ht="15" customHeight="1" s="21">
      <c r="A137" s="31" t="n"/>
      <c r="B137" s="31" t="n"/>
    </row>
    <row r="138" ht="15" customHeight="1" s="21">
      <c r="A138" s="31" t="n"/>
      <c r="B138" s="31" t="n"/>
    </row>
    <row r="139" ht="15" customHeight="1" s="21">
      <c r="A139" s="31" t="n"/>
      <c r="B139" s="31" t="n"/>
    </row>
    <row r="140" ht="15" customHeight="1" s="21">
      <c r="A140" s="31" t="n"/>
      <c r="B140" s="31" t="n"/>
    </row>
    <row r="141" ht="15" customHeight="1" s="21">
      <c r="A141" s="31" t="n"/>
      <c r="B141" s="31" t="n"/>
    </row>
    <row r="142" ht="15" customHeight="1" s="21">
      <c r="A142" s="31" t="n"/>
      <c r="B142" s="31" t="n"/>
    </row>
    <row r="143" ht="15" customHeight="1" s="21">
      <c r="A143" s="31" t="n"/>
      <c r="B143" s="31" t="n"/>
    </row>
    <row r="144" ht="15" customHeight="1" s="21">
      <c r="A144" s="31" t="n"/>
      <c r="B144" s="31" t="n"/>
    </row>
    <row r="145" ht="15" customHeight="1" s="21">
      <c r="A145" s="31" t="n"/>
      <c r="B145" s="31" t="n"/>
    </row>
    <row r="146" ht="15" customHeight="1" s="21">
      <c r="A146" s="31" t="n"/>
      <c r="B146" s="31" t="n"/>
    </row>
    <row r="147" ht="15" customHeight="1" s="21">
      <c r="A147" s="31" t="n"/>
      <c r="B147" s="31" t="n"/>
    </row>
    <row r="148" ht="15" customHeight="1" s="21">
      <c r="A148" s="31" t="n"/>
      <c r="B148" s="31" t="n"/>
    </row>
    <row r="149" ht="15" customHeight="1" s="21">
      <c r="A149" s="31" t="n"/>
      <c r="B149" s="31" t="n"/>
    </row>
    <row r="150" ht="15" customHeight="1" s="21">
      <c r="A150" s="31" t="n"/>
      <c r="B150" s="31" t="n"/>
    </row>
    <row r="151" ht="15" customHeight="1" s="21">
      <c r="A151" s="31" t="n"/>
      <c r="B151" s="31" t="n"/>
    </row>
    <row r="152" ht="15" customHeight="1" s="21">
      <c r="A152" s="31" t="n"/>
      <c r="B152" s="31" t="n"/>
    </row>
    <row r="153" ht="15" customHeight="1" s="21">
      <c r="A153" s="31" t="n"/>
      <c r="B153" s="31" t="n"/>
    </row>
    <row r="154" ht="15" customHeight="1" s="21">
      <c r="A154" s="31" t="n"/>
      <c r="B154" s="31" t="n"/>
    </row>
    <row r="155" ht="15" customHeight="1" s="21">
      <c r="A155" s="31" t="n"/>
      <c r="B155" s="31" t="n"/>
    </row>
    <row r="156" ht="15" customHeight="1" s="21">
      <c r="A156" s="31" t="n"/>
      <c r="B156" s="31" t="n"/>
    </row>
    <row r="157" ht="15" customHeight="1" s="21">
      <c r="A157" s="31" t="n"/>
      <c r="B157" s="31" t="n"/>
    </row>
    <row r="158" ht="15" customHeight="1" s="21">
      <c r="A158" s="31" t="n"/>
      <c r="B158" s="31" t="n"/>
    </row>
    <row r="159" ht="15" customHeight="1" s="21">
      <c r="A159" s="31" t="n"/>
      <c r="B159" s="31" t="n"/>
    </row>
    <row r="160" ht="15" customHeight="1" s="21">
      <c r="A160" s="31" t="n"/>
      <c r="B160" s="31" t="n"/>
    </row>
    <row r="161" ht="15" customHeight="1" s="21">
      <c r="A161" s="31" t="n"/>
      <c r="B161" s="31" t="n"/>
    </row>
    <row r="162" ht="15" customHeight="1" s="21">
      <c r="A162" s="31" t="n"/>
      <c r="B162" s="31" t="n"/>
    </row>
    <row r="163" ht="15" customHeight="1" s="21">
      <c r="A163" s="31" t="n"/>
      <c r="B163" s="31" t="n"/>
    </row>
    <row r="164" ht="15" customHeight="1" s="21">
      <c r="A164" s="31" t="n"/>
      <c r="B164" s="31" t="n"/>
    </row>
    <row r="165" ht="15" customHeight="1" s="21">
      <c r="A165" s="31" t="n"/>
      <c r="B165" s="31" t="n"/>
    </row>
    <row r="166" ht="15" customHeight="1" s="21">
      <c r="A166" s="31" t="n"/>
      <c r="B166" s="31" t="n"/>
    </row>
    <row r="167" ht="15" customHeight="1" s="21">
      <c r="A167" s="31" t="n"/>
      <c r="B167" s="31" t="n"/>
    </row>
    <row r="168" ht="15" customHeight="1" s="21">
      <c r="A168" s="31" t="n"/>
      <c r="B168" s="31" t="n"/>
    </row>
    <row r="169" ht="15" customHeight="1" s="21">
      <c r="A169" s="31" t="n"/>
      <c r="B169" s="31" t="n"/>
    </row>
    <row r="170" ht="15" customHeight="1" s="21">
      <c r="A170" s="31" t="n"/>
      <c r="B170" s="31" t="n"/>
    </row>
    <row r="171" ht="15" customHeight="1" s="21">
      <c r="A171" s="31" t="n"/>
      <c r="B171" s="31" t="n"/>
    </row>
    <row r="172" ht="15" customHeight="1" s="21">
      <c r="A172" s="31" t="n"/>
      <c r="B172" s="31" t="n"/>
    </row>
    <row r="173" ht="15" customHeight="1" s="21">
      <c r="A173" s="31" t="n"/>
      <c r="B173" s="31" t="n"/>
    </row>
    <row r="174" ht="15" customHeight="1" s="21">
      <c r="A174" s="31" t="n"/>
      <c r="B174" s="31" t="n"/>
    </row>
    <row r="175" ht="15" customHeight="1" s="21">
      <c r="A175" s="31" t="n"/>
      <c r="B175" s="31" t="n"/>
    </row>
    <row r="176" ht="15" customHeight="1" s="21">
      <c r="A176" s="31" t="n"/>
      <c r="B176" s="31" t="n"/>
    </row>
    <row r="177" ht="15" customHeight="1" s="21">
      <c r="A177" s="31" t="n"/>
      <c r="B177" s="31" t="n"/>
    </row>
    <row r="178" ht="15" customHeight="1" s="21">
      <c r="A178" s="31" t="n"/>
      <c r="B178" s="31" t="n"/>
    </row>
    <row r="179" ht="15" customHeight="1" s="21">
      <c r="A179" s="31" t="n"/>
      <c r="B179" s="31" t="n"/>
    </row>
    <row r="180" ht="15" customHeight="1" s="21">
      <c r="A180" s="31" t="n"/>
      <c r="B180" s="31" t="n"/>
    </row>
    <row r="181" ht="15" customHeight="1" s="21">
      <c r="A181" s="31" t="n"/>
      <c r="B181" s="31" t="n"/>
    </row>
    <row r="182" ht="15" customHeight="1" s="21">
      <c r="A182" s="31" t="n"/>
      <c r="B182" s="31" t="n"/>
    </row>
    <row r="183" ht="15" customHeight="1" s="21">
      <c r="A183" s="31" t="n"/>
      <c r="B183" s="31" t="n"/>
    </row>
    <row r="184" ht="15" customHeight="1" s="21">
      <c r="A184" s="31" t="n"/>
      <c r="B184" s="31" t="n"/>
    </row>
    <row r="185" ht="15" customHeight="1" s="21">
      <c r="A185" s="31" t="n"/>
      <c r="B185" s="31" t="n"/>
    </row>
    <row r="186" ht="15" customHeight="1" s="21">
      <c r="A186" s="31" t="n"/>
      <c r="B186" s="31" t="n"/>
    </row>
    <row r="187" ht="15" customHeight="1" s="21">
      <c r="A187" s="31" t="n"/>
      <c r="B187" s="31" t="n"/>
    </row>
    <row r="188" ht="15" customHeight="1" s="21">
      <c r="A188" s="31" t="n"/>
      <c r="B188" s="31" t="n"/>
    </row>
    <row r="189" ht="15" customHeight="1" s="21">
      <c r="A189" s="31" t="n"/>
      <c r="B189" s="31" t="n"/>
    </row>
    <row r="190" ht="15" customHeight="1" s="21">
      <c r="A190" s="31" t="n"/>
      <c r="B190" s="31" t="n"/>
    </row>
    <row r="191" ht="15" customHeight="1" s="21">
      <c r="A191" s="31" t="n"/>
      <c r="B191" s="31" t="n"/>
    </row>
    <row r="192" ht="15" customHeight="1" s="21">
      <c r="A192" s="31" t="n"/>
      <c r="B192" s="31" t="n"/>
    </row>
    <row r="193" ht="15" customHeight="1" s="21">
      <c r="A193" s="31" t="n"/>
      <c r="B193" s="31" t="n"/>
    </row>
    <row r="194" ht="15" customHeight="1" s="21">
      <c r="A194" s="31" t="n"/>
      <c r="B194" s="31" t="n"/>
    </row>
    <row r="195" ht="15" customHeight="1" s="21">
      <c r="A195" s="31" t="n"/>
      <c r="B195" s="31" t="n"/>
    </row>
    <row r="196" ht="15" customHeight="1" s="21">
      <c r="A196" s="31" t="n"/>
      <c r="B196" s="31" t="n"/>
    </row>
    <row r="197" ht="15" customHeight="1" s="21">
      <c r="A197" s="31" t="n"/>
      <c r="B197" s="31" t="n"/>
    </row>
    <row r="198" ht="15" customHeight="1" s="21">
      <c r="A198" s="31" t="n"/>
      <c r="B198" s="31" t="n"/>
    </row>
    <row r="199" ht="15" customHeight="1" s="21">
      <c r="A199" s="31" t="n"/>
      <c r="B199" s="31" t="n"/>
    </row>
    <row r="200" ht="15" customHeight="1" s="21">
      <c r="A200" s="31" t="n"/>
      <c r="B200" s="31" t="n"/>
    </row>
    <row r="201" ht="15" customHeight="1" s="21">
      <c r="A201" s="31" t="n"/>
      <c r="B201" s="31" t="n"/>
    </row>
    <row r="202" ht="15" customHeight="1" s="21">
      <c r="A202" s="31" t="n"/>
      <c r="B202" s="31" t="n"/>
    </row>
    <row r="203" ht="15" customHeight="1" s="21">
      <c r="A203" s="31" t="n"/>
      <c r="B203" s="31" t="n"/>
    </row>
    <row r="204" ht="15" customHeight="1" s="21">
      <c r="A204" s="31" t="n"/>
      <c r="B204" s="31" t="n"/>
    </row>
    <row r="205" ht="15" customHeight="1" s="21">
      <c r="A205" s="31" t="n"/>
      <c r="B205" s="31" t="n"/>
    </row>
    <row r="206" ht="15" customHeight="1" s="21">
      <c r="A206" s="31" t="n"/>
      <c r="B206" s="31" t="n"/>
    </row>
    <row r="207" ht="15" customHeight="1" s="21">
      <c r="A207" s="31" t="n"/>
      <c r="B207" s="31" t="n"/>
    </row>
    <row r="208" ht="15" customHeight="1" s="21">
      <c r="A208" s="31" t="n"/>
      <c r="B208" s="31" t="n"/>
    </row>
    <row r="209" ht="15" customHeight="1" s="21">
      <c r="A209" s="31" t="n"/>
      <c r="B209" s="31" t="n"/>
    </row>
    <row r="210" ht="15" customHeight="1" s="21">
      <c r="A210" s="31" t="n"/>
      <c r="B210" s="31" t="n"/>
    </row>
    <row r="211" ht="15" customHeight="1" s="21">
      <c r="A211" s="31" t="n"/>
      <c r="B211" s="31" t="n"/>
    </row>
    <row r="212" ht="15" customHeight="1" s="21">
      <c r="A212" s="31" t="n"/>
      <c r="B212" s="31" t="n"/>
    </row>
    <row r="213" ht="15" customHeight="1" s="21">
      <c r="A213" s="31" t="n"/>
      <c r="B213" s="31" t="n"/>
    </row>
    <row r="214" ht="15" customHeight="1" s="21">
      <c r="A214" s="31" t="n"/>
      <c r="B214" s="31" t="n"/>
    </row>
    <row r="215" ht="15" customHeight="1" s="21">
      <c r="A215" s="31" t="n"/>
      <c r="B215" s="31" t="n"/>
    </row>
    <row r="216" ht="15" customHeight="1" s="21">
      <c r="A216" s="31" t="n"/>
      <c r="B216" s="31" t="n"/>
    </row>
    <row r="217" ht="15" customHeight="1" s="21">
      <c r="A217" s="31" t="n"/>
      <c r="B217" s="31" t="n"/>
    </row>
    <row r="218" ht="15" customHeight="1" s="21">
      <c r="A218" s="31" t="n"/>
      <c r="B218" s="31" t="n"/>
    </row>
    <row r="219" ht="15" customHeight="1" s="21">
      <c r="A219" s="31" t="n"/>
      <c r="B219" s="31" t="n"/>
    </row>
    <row r="220" ht="15" customHeight="1" s="21">
      <c r="A220" s="31" t="n"/>
      <c r="B220" s="31" t="n"/>
    </row>
    <row r="221" ht="15" customHeight="1" s="21">
      <c r="A221" s="31" t="n"/>
      <c r="B221" s="31" t="n"/>
    </row>
    <row r="222" ht="15" customHeight="1" s="21">
      <c r="A222" s="31" t="n"/>
      <c r="B222" s="31" t="n"/>
    </row>
    <row r="223" ht="15" customHeight="1" s="21">
      <c r="A223" s="31" t="n"/>
      <c r="B223" s="31" t="n"/>
    </row>
    <row r="224" ht="15" customHeight="1" s="21">
      <c r="A224" s="31" t="n"/>
      <c r="B224" s="31" t="n"/>
    </row>
    <row r="225" ht="15" customHeight="1" s="21">
      <c r="A225" s="31" t="n"/>
      <c r="B225" s="31" t="n"/>
    </row>
    <row r="226" ht="15" customHeight="1" s="21">
      <c r="A226" s="31" t="n"/>
      <c r="B226" s="31" t="n"/>
    </row>
    <row r="227" ht="15" customHeight="1" s="21">
      <c r="A227" s="31" t="n"/>
      <c r="B227" s="31" t="n"/>
    </row>
    <row r="228" ht="15" customHeight="1" s="21">
      <c r="A228" s="31" t="n"/>
      <c r="B228" s="31" t="n"/>
    </row>
    <row r="229" ht="15" customHeight="1" s="21">
      <c r="A229" s="31" t="n"/>
      <c r="B229" s="31" t="n"/>
    </row>
    <row r="230" ht="15" customHeight="1" s="21">
      <c r="A230" s="31" t="n"/>
      <c r="B230" s="31" t="n"/>
    </row>
    <row r="231" ht="15" customHeight="1" s="21">
      <c r="A231" s="31" t="n"/>
      <c r="B231" s="31" t="n"/>
    </row>
    <row r="232" ht="15" customHeight="1" s="21">
      <c r="A232" s="31" t="n"/>
      <c r="B232" s="31" t="n"/>
    </row>
    <row r="233" ht="15" customHeight="1" s="21">
      <c r="A233" s="31" t="n"/>
      <c r="B233" s="31" t="n"/>
    </row>
    <row r="234" ht="15" customHeight="1" s="21">
      <c r="A234" s="31" t="n"/>
      <c r="B234" s="31" t="n"/>
    </row>
    <row r="235" ht="15" customHeight="1" s="21">
      <c r="A235" s="31" t="n"/>
      <c r="B235" s="31" t="n"/>
    </row>
    <row r="236" ht="15" customHeight="1" s="21">
      <c r="A236" s="31" t="n"/>
      <c r="B236" s="31" t="n"/>
    </row>
    <row r="237" ht="15" customHeight="1" s="21">
      <c r="A237" s="31" t="n"/>
      <c r="B237" s="31" t="n"/>
    </row>
    <row r="238" ht="15" customHeight="1" s="21">
      <c r="A238" s="31" t="n"/>
      <c r="B238" s="31" t="n"/>
    </row>
    <row r="239" ht="15" customHeight="1" s="21">
      <c r="A239" s="31" t="n"/>
      <c r="B239" s="31" t="n"/>
    </row>
    <row r="240" ht="15" customHeight="1" s="21">
      <c r="A240" s="31" t="n"/>
      <c r="B240" s="31" t="n"/>
    </row>
    <row r="241" ht="15" customHeight="1" s="21">
      <c r="A241" s="31" t="n"/>
      <c r="B241" s="31" t="n"/>
    </row>
    <row r="242" ht="15" customHeight="1" s="21">
      <c r="A242" s="31" t="n"/>
      <c r="B242" s="31" t="n"/>
    </row>
    <row r="243" ht="15" customHeight="1" s="21">
      <c r="A243" s="31" t="n"/>
      <c r="B243" s="31" t="n"/>
    </row>
    <row r="244" ht="15" customHeight="1" s="21">
      <c r="A244" s="31" t="n"/>
      <c r="B244" s="31" t="n"/>
    </row>
    <row r="245" ht="15" customHeight="1" s="21">
      <c r="A245" s="31" t="n"/>
      <c r="B245" s="31" t="n"/>
    </row>
    <row r="246" ht="15" customHeight="1" s="21">
      <c r="A246" s="31" t="n"/>
      <c r="B246" s="31" t="n"/>
    </row>
    <row r="247" ht="15" customHeight="1" s="21">
      <c r="A247" s="31" t="n"/>
      <c r="B247" s="31" t="n"/>
    </row>
    <row r="248" ht="15" customHeight="1" s="21">
      <c r="A248" s="31" t="n"/>
      <c r="B248" s="31" t="n"/>
    </row>
    <row r="249" ht="15" customHeight="1" s="21">
      <c r="A249" s="31" t="n"/>
      <c r="B249" s="31" t="n"/>
    </row>
    <row r="250" ht="15" customHeight="1" s="21">
      <c r="A250" s="31" t="n"/>
      <c r="B250" s="31" t="n"/>
    </row>
    <row r="251" ht="15" customHeight="1" s="21">
      <c r="A251" s="31" t="n"/>
      <c r="B251" s="31" t="n"/>
    </row>
    <row r="252" ht="15" customHeight="1" s="21">
      <c r="A252" s="31" t="n"/>
      <c r="B252" s="31" t="n"/>
    </row>
    <row r="253" ht="15" customHeight="1" s="21">
      <c r="A253" s="31" t="n"/>
      <c r="B253" s="31" t="n"/>
    </row>
    <row r="254" ht="15" customHeight="1" s="21">
      <c r="A254" s="31" t="n"/>
      <c r="B254" s="31" t="n"/>
    </row>
    <row r="255" ht="15" customHeight="1" s="21">
      <c r="A255" s="31" t="n"/>
      <c r="B255" s="31" t="n"/>
    </row>
    <row r="256" ht="15" customHeight="1" s="21">
      <c r="A256" s="31" t="n"/>
      <c r="B256" s="31" t="n"/>
    </row>
    <row r="257" ht="15" customHeight="1" s="21">
      <c r="A257" s="31" t="n"/>
      <c r="B257" s="31" t="n"/>
    </row>
    <row r="258" ht="15" customHeight="1" s="21">
      <c r="A258" s="31" t="n"/>
      <c r="B258" s="31" t="n"/>
    </row>
    <row r="259" ht="15" customHeight="1" s="21">
      <c r="A259" s="31" t="n"/>
      <c r="B259" s="31" t="n"/>
    </row>
    <row r="260" ht="15" customHeight="1" s="21">
      <c r="A260" s="31" t="n"/>
      <c r="B260" s="31" t="n"/>
    </row>
    <row r="261" ht="15" customHeight="1" s="21">
      <c r="A261" s="31" t="n"/>
      <c r="B261" s="31" t="n"/>
    </row>
    <row r="262" ht="15" customHeight="1" s="21">
      <c r="A262" s="31" t="n"/>
      <c r="B262" s="31" t="n"/>
    </row>
    <row r="263" ht="15" customHeight="1" s="21">
      <c r="A263" s="31" t="n"/>
      <c r="B263" s="31" t="n"/>
    </row>
    <row r="264" ht="15" customHeight="1" s="21">
      <c r="A264" s="31" t="n"/>
      <c r="B264" s="31" t="n"/>
    </row>
    <row r="265" ht="15" customHeight="1" s="21">
      <c r="A265" s="31" t="n"/>
      <c r="B265" s="31" t="n"/>
    </row>
    <row r="266" ht="15" customHeight="1" s="21">
      <c r="A266" s="31" t="n"/>
      <c r="B266" s="31" t="n"/>
    </row>
    <row r="267" ht="15" customHeight="1" s="21">
      <c r="A267" s="31" t="n"/>
      <c r="B267" s="31" t="n"/>
    </row>
    <row r="268" ht="15" customHeight="1" s="21">
      <c r="A268" s="31" t="n"/>
      <c r="B268" s="31" t="n"/>
    </row>
    <row r="269" ht="15" customHeight="1" s="21">
      <c r="A269" s="31" t="n"/>
      <c r="B269" s="31" t="n"/>
    </row>
    <row r="270" ht="15" customHeight="1" s="21">
      <c r="A270" s="31" t="n"/>
      <c r="B270" s="31" t="n"/>
    </row>
    <row r="271" ht="15" customHeight="1" s="21">
      <c r="A271" s="31" t="n"/>
      <c r="B271" s="31" t="n"/>
    </row>
    <row r="272" ht="15" customHeight="1" s="21">
      <c r="A272" s="31" t="n"/>
      <c r="B272" s="31" t="n"/>
    </row>
    <row r="273" ht="15" customHeight="1" s="21">
      <c r="A273" s="31" t="n"/>
      <c r="B273" s="31" t="n"/>
    </row>
    <row r="274" ht="15" customHeight="1" s="21">
      <c r="A274" s="31" t="n"/>
      <c r="B274" s="31" t="n"/>
    </row>
    <row r="275" ht="15" customHeight="1" s="21">
      <c r="A275" s="31" t="n"/>
      <c r="B275" s="31" t="n"/>
    </row>
    <row r="276" ht="15" customHeight="1" s="21">
      <c r="A276" s="31" t="n"/>
      <c r="B276" s="31" t="n"/>
    </row>
    <row r="277" ht="15" customHeight="1" s="21">
      <c r="A277" s="31" t="n"/>
      <c r="B277" s="31" t="n"/>
    </row>
    <row r="278" ht="15" customHeight="1" s="21">
      <c r="A278" s="31" t="n"/>
      <c r="B278" s="31" t="n"/>
    </row>
    <row r="279" ht="15" customHeight="1" s="21">
      <c r="A279" s="31" t="n"/>
      <c r="B279" s="31" t="n"/>
    </row>
    <row r="280" ht="15" customHeight="1" s="21">
      <c r="A280" s="31" t="n"/>
      <c r="B280" s="31" t="n"/>
    </row>
    <row r="281" ht="15" customHeight="1" s="21">
      <c r="A281" s="31" t="n"/>
      <c r="B281" s="31" t="n"/>
    </row>
    <row r="282" ht="15" customHeight="1" s="21">
      <c r="A282" s="31" t="n"/>
      <c r="B282" s="31" t="n"/>
    </row>
    <row r="283" ht="15" customHeight="1" s="21">
      <c r="A283" s="31" t="n"/>
      <c r="B283" s="31" t="n"/>
    </row>
    <row r="284" ht="15" customHeight="1" s="21">
      <c r="A284" s="31" t="n"/>
      <c r="B284" s="31" t="n"/>
    </row>
    <row r="285" ht="15" customHeight="1" s="21">
      <c r="A285" s="31" t="n"/>
      <c r="B285" s="31" t="n"/>
    </row>
    <row r="286" ht="15" customHeight="1" s="21">
      <c r="A286" s="31" t="n"/>
      <c r="B286" s="31" t="n"/>
    </row>
    <row r="287" ht="15" customHeight="1" s="21">
      <c r="A287" s="31" t="n"/>
      <c r="B287" s="31" t="n"/>
    </row>
    <row r="288" ht="15" customHeight="1" s="21">
      <c r="A288" s="31" t="n"/>
      <c r="B288" s="31" t="n"/>
    </row>
    <row r="289" ht="15" customHeight="1" s="21">
      <c r="A289" s="31" t="n"/>
      <c r="B289" s="31" t="n"/>
    </row>
    <row r="290" ht="15" customHeight="1" s="21">
      <c r="A290" s="31" t="n"/>
      <c r="B290" s="31" t="n"/>
    </row>
    <row r="291" ht="15" customHeight="1" s="21">
      <c r="A291" s="31" t="n"/>
      <c r="B291" s="31" t="n"/>
    </row>
    <row r="292" ht="15" customHeight="1" s="21">
      <c r="A292" s="31" t="n"/>
      <c r="B292" s="31" t="n"/>
    </row>
    <row r="293" ht="15" customHeight="1" s="21">
      <c r="A293" s="31" t="n"/>
      <c r="B293" s="31" t="n"/>
    </row>
    <row r="294" ht="15" customHeight="1" s="21">
      <c r="A294" s="31" t="n"/>
      <c r="B294" s="31" t="n"/>
    </row>
    <row r="295" ht="15" customHeight="1" s="21">
      <c r="A295" s="31" t="n"/>
      <c r="B295" s="31" t="n"/>
    </row>
    <row r="296" ht="15" customHeight="1" s="21">
      <c r="A296" s="31" t="n"/>
      <c r="B296" s="31" t="n"/>
    </row>
    <row r="297" ht="15" customHeight="1" s="21">
      <c r="A297" s="31" t="n"/>
      <c r="B297" s="31" t="n"/>
    </row>
    <row r="298" ht="15" customHeight="1" s="21">
      <c r="A298" s="31" t="n"/>
      <c r="B298" s="31" t="n"/>
    </row>
    <row r="299" ht="15" customHeight="1" s="21">
      <c r="A299" s="31" t="n"/>
      <c r="B299" s="31" t="n"/>
    </row>
    <row r="300" ht="15" customHeight="1" s="21">
      <c r="A300" s="31" t="n"/>
      <c r="B300" s="31" t="n"/>
    </row>
    <row r="301" ht="15" customHeight="1" s="21">
      <c r="A301" s="31" t="n"/>
      <c r="B301" s="31" t="n"/>
    </row>
    <row r="302" ht="15" customHeight="1" s="21">
      <c r="A302" s="31" t="n"/>
      <c r="B302" s="31" t="n"/>
    </row>
    <row r="303" ht="15" customHeight="1" s="21">
      <c r="A303" s="31" t="n"/>
      <c r="B303" s="31" t="n"/>
    </row>
    <row r="304" ht="15" customHeight="1" s="21">
      <c r="A304" s="31" t="n"/>
      <c r="B304" s="31" t="n"/>
    </row>
    <row r="305" ht="15" customHeight="1" s="21">
      <c r="A305" s="31" t="n"/>
      <c r="B305" s="31" t="n"/>
    </row>
    <row r="306" ht="15" customHeight="1" s="21">
      <c r="A306" s="31" t="n"/>
      <c r="B306" s="31" t="n"/>
    </row>
    <row r="307" ht="15" customHeight="1" s="21">
      <c r="A307" s="31" t="n"/>
      <c r="B307" s="31" t="n"/>
    </row>
    <row r="308" ht="15" customHeight="1" s="21">
      <c r="A308" s="31" t="n"/>
      <c r="B308" s="31" t="n"/>
    </row>
    <row r="309" ht="15" customHeight="1" s="21">
      <c r="A309" s="31" t="n"/>
      <c r="B309" s="31" t="n"/>
    </row>
    <row r="310" ht="15" customHeight="1" s="21">
      <c r="A310" s="31" t="n"/>
      <c r="B310" s="31" t="n"/>
    </row>
    <row r="311" ht="15" customHeight="1" s="21">
      <c r="A311" s="31" t="n"/>
      <c r="B311" s="31" t="n"/>
    </row>
    <row r="312" ht="15" customHeight="1" s="21">
      <c r="A312" s="31" t="n"/>
      <c r="B312" s="31" t="n"/>
    </row>
    <row r="313" ht="15" customHeight="1" s="21">
      <c r="A313" s="31" t="n"/>
      <c r="B313" s="31" t="n"/>
    </row>
    <row r="314" ht="15" customHeight="1" s="21">
      <c r="A314" s="31" t="n"/>
      <c r="B314" s="31" t="n"/>
    </row>
    <row r="315" ht="15" customHeight="1" s="21">
      <c r="A315" s="31" t="n"/>
      <c r="B315" s="31" t="n"/>
    </row>
    <row r="316" ht="15" customHeight="1" s="21">
      <c r="A316" s="31" t="n"/>
      <c r="B316" s="31" t="n"/>
    </row>
    <row r="317" ht="15" customHeight="1" s="21">
      <c r="A317" s="31" t="n"/>
      <c r="B317" s="31" t="n"/>
    </row>
    <row r="318" ht="15" customHeight="1" s="21">
      <c r="A318" s="31" t="n"/>
      <c r="B318" s="31" t="n"/>
    </row>
    <row r="319" ht="15" customHeight="1" s="21">
      <c r="A319" s="31" t="n"/>
      <c r="B319" s="31" t="n"/>
    </row>
    <row r="320" ht="15" customHeight="1" s="21">
      <c r="A320" s="31" t="n"/>
      <c r="B320" s="31" t="n"/>
    </row>
    <row r="321" ht="15" customHeight="1" s="21">
      <c r="A321" s="31" t="n"/>
      <c r="B321" s="31" t="n"/>
    </row>
    <row r="322" ht="15" customHeight="1" s="21">
      <c r="A322" s="31" t="n"/>
      <c r="B322" s="31" t="n"/>
    </row>
    <row r="323" ht="15" customHeight="1" s="21">
      <c r="A323" s="31" t="n"/>
      <c r="B323" s="31" t="n"/>
    </row>
    <row r="324" ht="15" customHeight="1" s="21">
      <c r="A324" s="31" t="n"/>
      <c r="B324" s="31" t="n"/>
    </row>
    <row r="325" ht="15" customHeight="1" s="21">
      <c r="A325" s="31" t="n"/>
      <c r="B325" s="31" t="n"/>
    </row>
    <row r="326" ht="15" customHeight="1" s="21">
      <c r="A326" s="31" t="n"/>
      <c r="B326" s="31" t="n"/>
    </row>
    <row r="327" ht="15" customHeight="1" s="21">
      <c r="A327" s="31" t="n"/>
      <c r="B327" s="31" t="n"/>
    </row>
    <row r="328" ht="15" customHeight="1" s="21">
      <c r="A328" s="31" t="n"/>
      <c r="B328" s="31" t="n"/>
    </row>
    <row r="329" ht="15" customHeight="1" s="21">
      <c r="A329" s="31" t="n"/>
      <c r="B329" s="31" t="n"/>
    </row>
    <row r="330" ht="15" customHeight="1" s="21">
      <c r="A330" s="31" t="n"/>
      <c r="B330" s="31" t="n"/>
    </row>
    <row r="331" ht="15" customHeight="1" s="21">
      <c r="A331" s="31" t="n"/>
      <c r="B331" s="31" t="n"/>
    </row>
    <row r="332" ht="15" customHeight="1" s="21">
      <c r="A332" s="31" t="n"/>
      <c r="B332" s="31" t="n"/>
    </row>
    <row r="333" ht="15" customHeight="1" s="21">
      <c r="A333" s="31" t="n"/>
      <c r="B333" s="31" t="n"/>
    </row>
    <row r="334" ht="15" customHeight="1" s="21">
      <c r="A334" s="31" t="n"/>
      <c r="B334" s="31" t="n"/>
    </row>
    <row r="335" ht="15" customHeight="1" s="21">
      <c r="A335" s="31" t="n"/>
      <c r="B335" s="31" t="n"/>
    </row>
    <row r="336" ht="15" customHeight="1" s="21">
      <c r="A336" s="31" t="n"/>
      <c r="B336" s="31" t="n"/>
    </row>
    <row r="337" ht="15" customHeight="1" s="21">
      <c r="A337" s="31" t="n"/>
      <c r="B337" s="31" t="n"/>
    </row>
    <row r="338" ht="15" customHeight="1" s="21">
      <c r="A338" s="31" t="n"/>
      <c r="B338" s="31" t="n"/>
    </row>
    <row r="339" ht="15" customHeight="1" s="21">
      <c r="A339" s="31" t="n"/>
      <c r="B339" s="31" t="n"/>
    </row>
    <row r="340" ht="15" customHeight="1" s="21">
      <c r="A340" s="31" t="n"/>
      <c r="B340" s="31" t="n"/>
    </row>
    <row r="341" ht="15" customHeight="1" s="21">
      <c r="A341" s="31" t="n"/>
      <c r="B341" s="31" t="n"/>
    </row>
    <row r="342" ht="15" customHeight="1" s="21">
      <c r="A342" s="31" t="n"/>
      <c r="B342" s="31" t="n"/>
    </row>
    <row r="343" ht="15" customHeight="1" s="21">
      <c r="A343" s="31" t="n"/>
      <c r="B343" s="31" t="n"/>
    </row>
    <row r="344" ht="15" customHeight="1" s="21">
      <c r="A344" s="31" t="n"/>
      <c r="B344" s="31" t="n"/>
    </row>
    <row r="345" ht="15" customHeight="1" s="21">
      <c r="A345" s="31" t="n"/>
      <c r="B345" s="31" t="n"/>
    </row>
    <row r="346" ht="15" customHeight="1" s="21">
      <c r="A346" s="31" t="n"/>
      <c r="B346" s="31" t="n"/>
    </row>
    <row r="347" ht="15" customHeight="1" s="21">
      <c r="A347" s="31" t="n"/>
      <c r="B347" s="31" t="n"/>
    </row>
    <row r="348" ht="15" customHeight="1" s="21">
      <c r="A348" s="31" t="n"/>
      <c r="B348" s="31" t="n"/>
    </row>
    <row r="349" ht="15" customHeight="1" s="21">
      <c r="A349" s="31" t="n"/>
      <c r="B349" s="31" t="n"/>
    </row>
    <row r="350" ht="15" customHeight="1" s="21">
      <c r="A350" s="31" t="n"/>
      <c r="B350" s="31" t="n"/>
    </row>
    <row r="351" ht="15" customHeight="1" s="21">
      <c r="A351" s="31" t="n"/>
      <c r="B351" s="31" t="n"/>
    </row>
    <row r="352" ht="15" customHeight="1" s="21">
      <c r="A352" s="31" t="n"/>
      <c r="B352" s="31" t="n"/>
    </row>
    <row r="353" ht="15" customHeight="1" s="21">
      <c r="A353" s="31" t="n"/>
      <c r="B353" s="31" t="n"/>
    </row>
    <row r="354" ht="15" customHeight="1" s="21">
      <c r="A354" s="31" t="n"/>
      <c r="B354" s="31" t="n"/>
    </row>
    <row r="355" ht="15" customHeight="1" s="21">
      <c r="A355" s="31" t="n"/>
      <c r="B355" s="31" t="n"/>
    </row>
    <row r="356" ht="15" customHeight="1" s="21">
      <c r="A356" s="31" t="n"/>
      <c r="B356" s="31" t="n"/>
    </row>
    <row r="357" ht="15" customHeight="1" s="21">
      <c r="A357" s="31" t="n"/>
      <c r="B357" s="31" t="n"/>
    </row>
    <row r="358" ht="15" customHeight="1" s="21">
      <c r="A358" s="31" t="n"/>
      <c r="B358" s="31" t="n"/>
    </row>
    <row r="359" ht="15" customHeight="1" s="21">
      <c r="A359" s="31" t="n"/>
      <c r="B359" s="31" t="n"/>
    </row>
    <row r="360" ht="15" customHeight="1" s="21">
      <c r="A360" s="31" t="n"/>
      <c r="B360" s="31" t="n"/>
    </row>
    <row r="361" ht="15" customHeight="1" s="21">
      <c r="A361" s="31" t="n"/>
      <c r="B361" s="31" t="n"/>
    </row>
    <row r="362" ht="15" customHeight="1" s="21">
      <c r="A362" s="31" t="n"/>
      <c r="B362" s="31" t="n"/>
    </row>
    <row r="363" ht="15" customHeight="1" s="21">
      <c r="A363" s="31" t="n"/>
      <c r="B363" s="31" t="n"/>
    </row>
    <row r="364" ht="15" customHeight="1" s="21">
      <c r="A364" s="31" t="n"/>
      <c r="B364" s="31" t="n"/>
    </row>
    <row r="365" ht="15" customHeight="1" s="21">
      <c r="A365" s="31" t="n"/>
      <c r="B365" s="31" t="n"/>
    </row>
    <row r="366" ht="15" customHeight="1" s="21">
      <c r="A366" s="31" t="n"/>
      <c r="B366" s="31" t="n"/>
    </row>
    <row r="367" ht="15" customHeight="1" s="21">
      <c r="A367" s="31" t="n"/>
      <c r="B367" s="31" t="n"/>
    </row>
    <row r="368" ht="15" customHeight="1" s="21">
      <c r="A368" s="31" t="n"/>
      <c r="B368" s="31" t="n"/>
    </row>
    <row r="369" ht="15" customHeight="1" s="21">
      <c r="A369" s="31" t="n"/>
      <c r="B369" s="31" t="n"/>
    </row>
    <row r="370" ht="15" customHeight="1" s="21">
      <c r="A370" s="31" t="n"/>
      <c r="B370" s="31" t="n"/>
    </row>
    <row r="371" ht="15" customHeight="1" s="21">
      <c r="A371" s="31" t="n"/>
      <c r="B371" s="31" t="n"/>
    </row>
    <row r="372" ht="15" customHeight="1" s="21">
      <c r="A372" s="31" t="n"/>
      <c r="B372" s="31" t="n"/>
    </row>
    <row r="373" ht="15" customHeight="1" s="21">
      <c r="A373" s="31" t="n"/>
      <c r="B373" s="31" t="n"/>
    </row>
    <row r="374" ht="15" customHeight="1" s="21">
      <c r="A374" s="31" t="n"/>
      <c r="B374" s="31" t="n"/>
    </row>
    <row r="375" ht="15" customHeight="1" s="21">
      <c r="A375" s="31" t="n"/>
      <c r="B375" s="31" t="n"/>
    </row>
    <row r="376" ht="15" customHeight="1" s="21">
      <c r="A376" s="31" t="n"/>
      <c r="B376" s="31" t="n"/>
    </row>
    <row r="377" ht="15" customHeight="1" s="21">
      <c r="A377" s="31" t="n"/>
      <c r="B377" s="31" t="n"/>
    </row>
    <row r="378" ht="15" customHeight="1" s="21">
      <c r="A378" s="31" t="n"/>
      <c r="B378" s="31" t="n"/>
    </row>
    <row r="379" ht="15" customHeight="1" s="21">
      <c r="A379" s="31" t="n"/>
      <c r="B379" s="31" t="n"/>
    </row>
    <row r="380" ht="15" customHeight="1" s="21">
      <c r="A380" s="31" t="n"/>
      <c r="B380" s="31" t="n"/>
    </row>
    <row r="381" ht="15" customHeight="1" s="21">
      <c r="A381" s="31" t="n"/>
      <c r="B381" s="31" t="n"/>
    </row>
    <row r="382" ht="15" customHeight="1" s="21">
      <c r="A382" s="31" t="n"/>
      <c r="B382" s="31" t="n"/>
    </row>
    <row r="383" ht="15" customHeight="1" s="21">
      <c r="A383" s="31" t="n"/>
      <c r="B383" s="31" t="n"/>
    </row>
    <row r="384" ht="15" customHeight="1" s="21">
      <c r="A384" s="31" t="n"/>
      <c r="B384" s="31" t="n"/>
    </row>
    <row r="385" ht="15" customHeight="1" s="21">
      <c r="A385" s="31" t="n"/>
      <c r="B385" s="31" t="n"/>
    </row>
    <row r="386" ht="15" customHeight="1" s="21">
      <c r="A386" s="31" t="n"/>
      <c r="B386" s="31" t="n"/>
    </row>
    <row r="387" ht="15" customHeight="1" s="21">
      <c r="A387" s="31" t="n"/>
      <c r="B387" s="31" t="n"/>
    </row>
    <row r="388" ht="15" customHeight="1" s="21">
      <c r="A388" s="31" t="n"/>
      <c r="B388" s="31" t="n"/>
    </row>
    <row r="389" ht="15" customHeight="1" s="21">
      <c r="A389" s="31" t="n"/>
      <c r="B389" s="31" t="n"/>
    </row>
    <row r="390" ht="15" customHeight="1" s="21">
      <c r="A390" s="31" t="n"/>
      <c r="B390" s="31" t="n"/>
    </row>
    <row r="391" ht="15" customHeight="1" s="21">
      <c r="A391" s="31" t="n"/>
      <c r="B391" s="31" t="n"/>
    </row>
    <row r="392" ht="15" customHeight="1" s="21">
      <c r="A392" s="31" t="n"/>
      <c r="B392" s="31" t="n"/>
    </row>
    <row r="393" ht="15" customHeight="1" s="21">
      <c r="A393" s="31" t="n"/>
      <c r="B393" s="31" t="n"/>
    </row>
    <row r="394" ht="15" customHeight="1" s="21">
      <c r="A394" s="31" t="n"/>
      <c r="B394" s="31" t="n"/>
    </row>
    <row r="395" ht="15" customHeight="1" s="21">
      <c r="A395" s="31" t="n"/>
      <c r="B395" s="31" t="n"/>
    </row>
    <row r="396" ht="15" customHeight="1" s="21">
      <c r="A396" s="31" t="n"/>
      <c r="B396" s="31" t="n"/>
    </row>
    <row r="397" ht="15" customHeight="1" s="21">
      <c r="A397" s="31" t="n"/>
      <c r="B397" s="31" t="n"/>
    </row>
    <row r="398" ht="15" customHeight="1" s="21">
      <c r="A398" s="31" t="n"/>
      <c r="B398" s="31" t="n"/>
    </row>
    <row r="399" ht="15" customHeight="1" s="21">
      <c r="A399" s="31" t="n"/>
      <c r="B399" s="31" t="n"/>
    </row>
    <row r="400" ht="15" customHeight="1" s="21">
      <c r="A400" s="31" t="n"/>
      <c r="B400" s="31" t="n"/>
    </row>
    <row r="401" ht="15" customHeight="1" s="21">
      <c r="A401" s="31" t="n"/>
      <c r="B401" s="31" t="n"/>
    </row>
    <row r="402" ht="15" customHeight="1" s="21">
      <c r="A402" s="31" t="n"/>
      <c r="B402" s="31" t="n"/>
    </row>
    <row r="403" ht="15" customHeight="1" s="21">
      <c r="A403" s="31" t="n"/>
      <c r="B403" s="31" t="n"/>
    </row>
    <row r="404" ht="15" customHeight="1" s="21">
      <c r="A404" s="31" t="n"/>
      <c r="B404" s="31" t="n"/>
    </row>
    <row r="405" ht="15" customHeight="1" s="21">
      <c r="A405" s="31" t="n"/>
      <c r="B405" s="31" t="n"/>
    </row>
    <row r="406" ht="15" customHeight="1" s="21">
      <c r="A406" s="31" t="n"/>
      <c r="B406" s="31" t="n"/>
    </row>
    <row r="407" ht="15" customHeight="1" s="21">
      <c r="A407" s="31" t="n"/>
      <c r="B407" s="31" t="n"/>
    </row>
    <row r="408" ht="15" customHeight="1" s="21">
      <c r="A408" s="31" t="n"/>
      <c r="B408" s="31" t="n"/>
    </row>
    <row r="409" ht="15" customHeight="1" s="21">
      <c r="A409" s="31" t="n"/>
      <c r="B409" s="31" t="n"/>
    </row>
    <row r="410" ht="15" customHeight="1" s="21">
      <c r="A410" s="31" t="n"/>
      <c r="B410" s="31" t="n"/>
    </row>
    <row r="411" ht="15" customHeight="1" s="21">
      <c r="A411" s="31" t="n"/>
      <c r="B411" s="31" t="n"/>
    </row>
    <row r="412" ht="15" customHeight="1" s="21">
      <c r="A412" s="31" t="n"/>
      <c r="B412" s="31" t="n"/>
    </row>
    <row r="413" ht="15" customHeight="1" s="21">
      <c r="A413" s="31" t="n"/>
      <c r="B413" s="31" t="n"/>
    </row>
    <row r="414" ht="15" customHeight="1" s="21">
      <c r="A414" s="31" t="n"/>
      <c r="B414" s="31" t="n"/>
    </row>
    <row r="415" ht="15" customHeight="1" s="21">
      <c r="A415" s="31" t="n"/>
      <c r="B415" s="31" t="n"/>
    </row>
    <row r="416" ht="15" customHeight="1" s="21">
      <c r="A416" s="31" t="n"/>
      <c r="B416" s="31" t="n"/>
    </row>
    <row r="417" ht="15" customHeight="1" s="21">
      <c r="A417" s="31" t="n"/>
      <c r="B417" s="31" t="n"/>
    </row>
    <row r="418" ht="15" customHeight="1" s="21">
      <c r="A418" s="31" t="n"/>
      <c r="B418" s="31" t="n"/>
    </row>
    <row r="419" ht="15" customHeight="1" s="21">
      <c r="A419" s="31" t="n"/>
      <c r="B419" s="31" t="n"/>
    </row>
    <row r="420" ht="15" customHeight="1" s="21">
      <c r="A420" s="31" t="n"/>
      <c r="B420" s="31" t="n"/>
    </row>
    <row r="421" ht="15" customHeight="1" s="21">
      <c r="A421" s="31" t="n"/>
      <c r="B421" s="31" t="n"/>
    </row>
    <row r="422" ht="15" customHeight="1" s="21">
      <c r="A422" s="31" t="n"/>
      <c r="B422" s="31" t="n"/>
    </row>
    <row r="423" ht="15" customHeight="1" s="21">
      <c r="A423" s="31" t="n"/>
      <c r="B423" s="31" t="n"/>
    </row>
    <row r="424" ht="15" customHeight="1" s="21">
      <c r="A424" s="31" t="n"/>
      <c r="B424" s="31" t="n"/>
    </row>
    <row r="425" ht="15" customHeight="1" s="21">
      <c r="A425" s="31" t="n"/>
      <c r="B425" s="31" t="n"/>
    </row>
    <row r="426" ht="15" customHeight="1" s="21">
      <c r="A426" s="31" t="n"/>
      <c r="B426" s="31" t="n"/>
    </row>
    <row r="427" ht="15" customHeight="1" s="21">
      <c r="A427" s="31" t="n"/>
      <c r="B427" s="31" t="n"/>
    </row>
    <row r="428" ht="15" customHeight="1" s="21">
      <c r="A428" s="31" t="n"/>
      <c r="B428" s="31" t="n"/>
    </row>
    <row r="429" ht="15" customHeight="1" s="21">
      <c r="A429" s="31" t="n"/>
      <c r="B429" s="31" t="n"/>
    </row>
    <row r="430" ht="15" customHeight="1" s="21">
      <c r="A430" s="31" t="n"/>
      <c r="B430" s="31" t="n"/>
    </row>
    <row r="431" ht="15" customHeight="1" s="21">
      <c r="A431" s="31" t="n"/>
      <c r="B431" s="31" t="n"/>
    </row>
    <row r="432" ht="15" customHeight="1" s="21">
      <c r="A432" s="31" t="n"/>
      <c r="B432" s="31" t="n"/>
    </row>
    <row r="433" ht="15" customHeight="1" s="21">
      <c r="A433" s="31" t="n"/>
      <c r="B433" s="31" t="n"/>
    </row>
    <row r="434" ht="15" customHeight="1" s="21">
      <c r="A434" s="31" t="n"/>
      <c r="B434" s="31" t="n"/>
    </row>
    <row r="435" ht="15" customHeight="1" s="21">
      <c r="A435" s="31" t="n"/>
      <c r="B435" s="31" t="n"/>
    </row>
    <row r="436" ht="15" customHeight="1" s="21">
      <c r="A436" s="31" t="n"/>
      <c r="B436" s="31" t="n"/>
    </row>
    <row r="437" ht="15" customHeight="1" s="21">
      <c r="A437" s="31" t="n"/>
      <c r="B437" s="31" t="n"/>
    </row>
    <row r="438" ht="15" customHeight="1" s="21">
      <c r="A438" s="31" t="n"/>
      <c r="B438" s="31" t="n"/>
    </row>
    <row r="439" ht="15" customHeight="1" s="21">
      <c r="A439" s="31" t="n"/>
      <c r="B439" s="31" t="n"/>
    </row>
    <row r="440" ht="15" customHeight="1" s="21">
      <c r="A440" s="31" t="n"/>
      <c r="B440" s="31" t="n"/>
    </row>
    <row r="441" ht="15" customHeight="1" s="21">
      <c r="A441" s="31" t="n"/>
      <c r="B441" s="31" t="n"/>
    </row>
    <row r="442" ht="15" customHeight="1" s="21">
      <c r="A442" s="31" t="n"/>
      <c r="B442" s="31" t="n"/>
    </row>
    <row r="443" ht="15" customHeight="1" s="21">
      <c r="A443" s="31" t="n"/>
      <c r="B443" s="31" t="n"/>
    </row>
    <row r="444" ht="15" customHeight="1" s="21">
      <c r="A444" s="31" t="n"/>
      <c r="B444" s="31" t="n"/>
    </row>
    <row r="445" ht="15" customHeight="1" s="21">
      <c r="A445" s="31" t="n"/>
      <c r="B445" s="31" t="n"/>
    </row>
    <row r="446" ht="15" customHeight="1" s="21">
      <c r="A446" s="31" t="n"/>
      <c r="B446" s="31" t="n"/>
    </row>
    <row r="447" ht="15" customHeight="1" s="21">
      <c r="A447" s="31" t="n"/>
      <c r="B447" s="31" t="n"/>
    </row>
    <row r="448" ht="15" customHeight="1" s="21">
      <c r="A448" s="31" t="n"/>
      <c r="B448" s="31" t="n"/>
    </row>
    <row r="449" ht="15" customHeight="1" s="21">
      <c r="A449" s="31" t="n"/>
      <c r="B449" s="31" t="n"/>
    </row>
    <row r="450" ht="15" customHeight="1" s="21">
      <c r="A450" s="31" t="n"/>
      <c r="B450" s="31" t="n"/>
    </row>
    <row r="451" ht="15" customHeight="1" s="21">
      <c r="A451" s="31" t="n"/>
      <c r="B451" s="31" t="n"/>
    </row>
    <row r="452" ht="15" customHeight="1" s="21">
      <c r="A452" s="31" t="n"/>
      <c r="B452" s="31" t="n"/>
    </row>
    <row r="453" ht="15" customHeight="1" s="21">
      <c r="A453" s="31" t="n"/>
      <c r="B453" s="31" t="n"/>
    </row>
    <row r="454" ht="15" customHeight="1" s="21">
      <c r="A454" s="31" t="n"/>
      <c r="B454" s="31" t="n"/>
    </row>
    <row r="455" ht="15" customHeight="1" s="21">
      <c r="A455" s="31" t="n"/>
      <c r="B455" s="31" t="n"/>
    </row>
    <row r="456" ht="15" customHeight="1" s="21">
      <c r="A456" s="31" t="n"/>
      <c r="B456" s="31" t="n"/>
    </row>
    <row r="457" ht="15" customHeight="1" s="21">
      <c r="A457" s="31" t="n"/>
      <c r="B457" s="31" t="n"/>
    </row>
    <row r="458" ht="15" customHeight="1" s="21">
      <c r="A458" s="31" t="n"/>
      <c r="B458" s="31" t="n"/>
    </row>
    <row r="459" ht="15" customHeight="1" s="21">
      <c r="A459" s="31" t="n"/>
      <c r="B459" s="31" t="n"/>
    </row>
    <row r="460" ht="15" customHeight="1" s="21">
      <c r="A460" s="31" t="n"/>
      <c r="B460" s="31" t="n"/>
    </row>
    <row r="461" ht="15" customHeight="1" s="21">
      <c r="A461" s="31" t="n"/>
      <c r="B461" s="31" t="n"/>
    </row>
    <row r="462" ht="15" customHeight="1" s="21">
      <c r="A462" s="31" t="n"/>
      <c r="B462" s="31" t="n"/>
    </row>
    <row r="463" ht="15" customHeight="1" s="21">
      <c r="A463" s="31" t="n"/>
      <c r="B463" s="31" t="n"/>
    </row>
    <row r="464" ht="15" customHeight="1" s="21">
      <c r="A464" s="31" t="n"/>
      <c r="B464" s="31" t="n"/>
    </row>
    <row r="465" ht="15" customHeight="1" s="21">
      <c r="A465" s="31" t="n"/>
      <c r="B465" s="31" t="n"/>
    </row>
    <row r="466" ht="15" customHeight="1" s="21">
      <c r="A466" s="31" t="n"/>
      <c r="B466" s="31" t="n"/>
    </row>
    <row r="467" ht="15" customHeight="1" s="21">
      <c r="A467" s="31" t="n"/>
      <c r="B467" s="31" t="n"/>
    </row>
    <row r="468" ht="15" customHeight="1" s="21">
      <c r="A468" s="31" t="n"/>
      <c r="B468" s="31" t="n"/>
    </row>
    <row r="469" ht="15" customHeight="1" s="21">
      <c r="A469" s="31" t="n"/>
      <c r="B469" s="31" t="n"/>
    </row>
    <row r="470" ht="15" customHeight="1" s="21">
      <c r="A470" s="31" t="n"/>
      <c r="B470" s="31" t="n"/>
    </row>
    <row r="471" ht="15" customHeight="1" s="21">
      <c r="A471" s="31" t="n"/>
      <c r="B471" s="31" t="n"/>
    </row>
    <row r="472" ht="15" customHeight="1" s="21">
      <c r="A472" s="31" t="n"/>
      <c r="B472" s="31" t="n"/>
    </row>
    <row r="473" ht="15" customHeight="1" s="21">
      <c r="A473" s="31" t="n"/>
      <c r="B473" s="31" t="n"/>
    </row>
    <row r="474" ht="15" customHeight="1" s="21">
      <c r="A474" s="31" t="n"/>
      <c r="B474" s="31" t="n"/>
    </row>
    <row r="475" ht="15" customHeight="1" s="21">
      <c r="A475" s="31" t="n"/>
      <c r="B475" s="31" t="n"/>
    </row>
    <row r="476" ht="15" customHeight="1" s="21">
      <c r="A476" s="31" t="n"/>
      <c r="B476" s="31" t="n"/>
    </row>
    <row r="477" ht="15" customHeight="1" s="21">
      <c r="A477" s="31" t="n"/>
      <c r="B477" s="31" t="n"/>
    </row>
    <row r="478" ht="15" customHeight="1" s="21">
      <c r="A478" s="31" t="n"/>
      <c r="B478" s="31" t="n"/>
    </row>
    <row r="479" ht="15" customHeight="1" s="21">
      <c r="A479" s="31" t="n"/>
      <c r="B479" s="31" t="n"/>
    </row>
    <row r="480" ht="15" customHeight="1" s="21">
      <c r="A480" s="31" t="n"/>
      <c r="B480" s="31" t="n"/>
    </row>
    <row r="481" ht="15" customHeight="1" s="21">
      <c r="A481" s="31" t="n"/>
      <c r="B481" s="31" t="n"/>
    </row>
    <row r="482" ht="15" customHeight="1" s="21">
      <c r="A482" s="31" t="n"/>
      <c r="B482" s="31" t="n"/>
    </row>
    <row r="483" ht="15" customHeight="1" s="21">
      <c r="A483" s="31" t="n"/>
      <c r="B483" s="31" t="n"/>
    </row>
    <row r="484" ht="15" customHeight="1" s="21">
      <c r="A484" s="31" t="n"/>
      <c r="B484" s="31" t="n"/>
    </row>
    <row r="485" ht="15" customHeight="1" s="21">
      <c r="A485" s="31" t="n"/>
      <c r="B485" s="31" t="n"/>
    </row>
    <row r="486" ht="15" customHeight="1" s="21">
      <c r="A486" s="31" t="n"/>
      <c r="B486" s="31" t="n"/>
    </row>
    <row r="487" ht="15" customHeight="1" s="21">
      <c r="A487" s="31" t="n"/>
      <c r="B487" s="31" t="n"/>
    </row>
    <row r="488" ht="15" customHeight="1" s="21">
      <c r="A488" s="31" t="n"/>
      <c r="B488" s="31" t="n"/>
    </row>
    <row r="489" ht="15" customHeight="1" s="21">
      <c r="A489" s="31" t="n"/>
      <c r="B489" s="31" t="n"/>
    </row>
    <row r="490" ht="15" customHeight="1" s="21">
      <c r="A490" s="31" t="n"/>
      <c r="B490" s="31" t="n"/>
    </row>
    <row r="491" ht="15" customHeight="1" s="21">
      <c r="A491" s="31" t="n"/>
      <c r="B491" s="31" t="n"/>
    </row>
    <row r="492" ht="15" customHeight="1" s="21">
      <c r="A492" s="31" t="n"/>
      <c r="B492" s="31" t="n"/>
    </row>
    <row r="493" ht="15" customHeight="1" s="21">
      <c r="A493" s="31" t="n"/>
      <c r="B493" s="31" t="n"/>
    </row>
    <row r="494" ht="15" customHeight="1" s="21">
      <c r="A494" s="31" t="n"/>
      <c r="B494" s="31" t="n"/>
    </row>
    <row r="495" ht="15" customHeight="1" s="21">
      <c r="A495" s="31" t="n"/>
      <c r="B495" s="31" t="n"/>
    </row>
    <row r="496" ht="15" customHeight="1" s="21">
      <c r="A496" s="31" t="n"/>
      <c r="B496" s="31" t="n"/>
    </row>
    <row r="497" ht="15" customHeight="1" s="21">
      <c r="A497" s="31" t="n"/>
      <c r="B497" s="31" t="n"/>
    </row>
    <row r="498" ht="15" customHeight="1" s="21">
      <c r="A498" s="31" t="n"/>
      <c r="B498" s="31" t="n"/>
    </row>
    <row r="499" ht="15" customHeight="1" s="21">
      <c r="A499" s="31" t="n"/>
      <c r="B499" s="31" t="n"/>
    </row>
    <row r="500" ht="15" customHeight="1" s="21">
      <c r="A500" s="31" t="n"/>
      <c r="B500" s="31" t="n"/>
    </row>
    <row r="501" ht="15" customHeight="1" s="21">
      <c r="A501" s="31" t="n"/>
      <c r="B501" s="31" t="n"/>
    </row>
    <row r="502" ht="15" customHeight="1" s="21">
      <c r="A502" s="31" t="n"/>
      <c r="B502" s="31" t="n"/>
    </row>
    <row r="503" ht="15" customHeight="1" s="21">
      <c r="A503" s="31" t="n"/>
      <c r="B503" s="31" t="n"/>
    </row>
    <row r="504" ht="15" customHeight="1" s="21">
      <c r="A504" s="31" t="n"/>
      <c r="B504" s="31" t="n"/>
    </row>
    <row r="505" ht="15" customHeight="1" s="21">
      <c r="A505" s="31" t="n"/>
      <c r="B505" s="31" t="n"/>
    </row>
    <row r="506" ht="15" customHeight="1" s="21">
      <c r="A506" s="31" t="n"/>
      <c r="B506" s="31" t="n"/>
    </row>
    <row r="507" ht="15" customHeight="1" s="21">
      <c r="A507" s="31" t="n"/>
      <c r="B507" s="31" t="n"/>
    </row>
    <row r="508" ht="15" customHeight="1" s="21">
      <c r="A508" s="31" t="n"/>
      <c r="B508" s="31" t="n"/>
    </row>
    <row r="509" ht="15" customHeight="1" s="21">
      <c r="A509" s="31" t="n"/>
      <c r="B509" s="31" t="n"/>
    </row>
    <row r="510" ht="15" customHeight="1" s="21">
      <c r="A510" s="31" t="n"/>
      <c r="B510" s="31" t="n"/>
    </row>
    <row r="511" ht="15" customHeight="1" s="21">
      <c r="A511" s="31" t="n"/>
      <c r="B511" s="31" t="n"/>
    </row>
    <row r="512" ht="15" customHeight="1" s="21">
      <c r="A512" s="31" t="n"/>
      <c r="B512" s="31" t="n"/>
    </row>
    <row r="513" ht="15" customHeight="1" s="21">
      <c r="A513" s="31" t="n"/>
      <c r="B513" s="31" t="n"/>
    </row>
    <row r="514" ht="15" customHeight="1" s="21">
      <c r="A514" s="31" t="n"/>
      <c r="B514" s="31" t="n"/>
    </row>
    <row r="515" ht="15" customHeight="1" s="21">
      <c r="A515" s="31" t="n"/>
      <c r="B515" s="31" t="n"/>
    </row>
    <row r="516" ht="15" customHeight="1" s="21">
      <c r="A516" s="31" t="n"/>
      <c r="B516" s="31" t="n"/>
    </row>
    <row r="517" ht="15" customHeight="1" s="21">
      <c r="A517" s="31" t="n"/>
      <c r="B517" s="31" t="n"/>
    </row>
    <row r="518" ht="15" customHeight="1" s="21">
      <c r="A518" s="31" t="n"/>
      <c r="B518" s="31" t="n"/>
    </row>
    <row r="519" ht="15" customHeight="1" s="21">
      <c r="A519" s="31" t="n"/>
      <c r="B519" s="31" t="n"/>
    </row>
    <row r="520" ht="15" customHeight="1" s="21">
      <c r="A520" s="31" t="n"/>
      <c r="B520" s="31" t="n"/>
    </row>
    <row r="521" ht="15" customHeight="1" s="21">
      <c r="A521" s="31" t="n"/>
      <c r="B521" s="31" t="n"/>
    </row>
    <row r="522" ht="15" customHeight="1" s="21">
      <c r="A522" s="31" t="n"/>
      <c r="B522" s="31" t="n"/>
    </row>
    <row r="523" ht="15" customHeight="1" s="21">
      <c r="A523" s="31" t="n"/>
      <c r="B523" s="31" t="n"/>
    </row>
    <row r="524" ht="15" customHeight="1" s="21">
      <c r="A524" s="31" t="n"/>
      <c r="B524" s="31" t="n"/>
    </row>
    <row r="525" ht="15" customHeight="1" s="21">
      <c r="A525" s="31" t="n"/>
      <c r="B525" s="31" t="n"/>
    </row>
    <row r="526" ht="15" customHeight="1" s="21">
      <c r="A526" s="31" t="n"/>
      <c r="B526" s="31" t="n"/>
    </row>
    <row r="527" ht="15" customHeight="1" s="21">
      <c r="A527" s="31" t="n"/>
      <c r="B527" s="31" t="n"/>
    </row>
    <row r="528" ht="15" customHeight="1" s="21">
      <c r="A528" s="31" t="n"/>
      <c r="B528" s="31" t="n"/>
    </row>
    <row r="529" ht="15" customHeight="1" s="21">
      <c r="A529" s="31" t="n"/>
      <c r="B529" s="31" t="n"/>
    </row>
    <row r="530" ht="15" customHeight="1" s="21">
      <c r="A530" s="31" t="n"/>
      <c r="B530" s="31" t="n"/>
    </row>
    <row r="531" ht="15" customHeight="1" s="21">
      <c r="A531" s="31" t="n"/>
      <c r="B531" s="31" t="n"/>
    </row>
    <row r="532" ht="15" customHeight="1" s="21">
      <c r="A532" s="31" t="n"/>
      <c r="B532" s="31" t="n"/>
    </row>
    <row r="533" ht="15" customHeight="1" s="21">
      <c r="A533" s="31" t="n"/>
      <c r="B533" s="31" t="n"/>
    </row>
    <row r="534" ht="15" customHeight="1" s="21">
      <c r="A534" s="31" t="n"/>
      <c r="B534" s="31" t="n"/>
    </row>
    <row r="535" ht="15" customHeight="1" s="21">
      <c r="A535" s="31" t="n"/>
      <c r="B535" s="31" t="n"/>
    </row>
    <row r="536" ht="15" customHeight="1" s="21">
      <c r="A536" s="31" t="n"/>
      <c r="B536" s="31" t="n"/>
    </row>
    <row r="537" ht="15" customHeight="1" s="21">
      <c r="A537" s="31" t="n"/>
      <c r="B537" s="31" t="n"/>
    </row>
    <row r="538" ht="15" customHeight="1" s="21">
      <c r="A538" s="31" t="n"/>
      <c r="B538" s="31" t="n"/>
    </row>
    <row r="539" ht="15" customHeight="1" s="21">
      <c r="A539" s="31" t="n"/>
      <c r="B539" s="31" t="n"/>
    </row>
    <row r="540" ht="15" customHeight="1" s="21">
      <c r="A540" s="31" t="n"/>
      <c r="B540" s="31" t="n"/>
    </row>
    <row r="541" ht="15" customHeight="1" s="21">
      <c r="A541" s="31" t="n"/>
      <c r="B541" s="31" t="n"/>
    </row>
    <row r="542" ht="15" customHeight="1" s="21">
      <c r="A542" s="31" t="n"/>
      <c r="B542" s="31" t="n"/>
    </row>
    <row r="543" ht="15" customHeight="1" s="21">
      <c r="A543" s="31" t="n"/>
      <c r="B543" s="31" t="n"/>
    </row>
    <row r="544" ht="15" customHeight="1" s="21">
      <c r="A544" s="31" t="n"/>
      <c r="B544" s="31" t="n"/>
    </row>
    <row r="545" ht="15" customHeight="1" s="21">
      <c r="A545" s="31" t="n"/>
      <c r="B545" s="31" t="n"/>
    </row>
    <row r="546" ht="15" customHeight="1" s="21">
      <c r="A546" s="31" t="n"/>
      <c r="B546" s="31" t="n"/>
    </row>
    <row r="547" ht="15" customHeight="1" s="21">
      <c r="A547" s="31" t="n"/>
      <c r="B547" s="31" t="n"/>
    </row>
    <row r="548" ht="15" customHeight="1" s="21">
      <c r="A548" s="31" t="n"/>
      <c r="B548" s="31" t="n"/>
    </row>
    <row r="549" ht="15" customHeight="1" s="21">
      <c r="A549" s="31" t="n"/>
      <c r="B549" s="31" t="n"/>
    </row>
    <row r="550" ht="15" customHeight="1" s="21">
      <c r="A550" s="31" t="n"/>
      <c r="B550" s="31" t="n"/>
    </row>
    <row r="551" ht="15" customHeight="1" s="21">
      <c r="A551" s="31" t="n"/>
      <c r="B551" s="31" t="n"/>
    </row>
    <row r="552" ht="15" customHeight="1" s="21">
      <c r="A552" s="31" t="n"/>
      <c r="B552" s="31" t="n"/>
    </row>
    <row r="553" ht="15" customHeight="1" s="21">
      <c r="A553" s="31" t="n"/>
      <c r="B553" s="31" t="n"/>
    </row>
    <row r="554" ht="15" customHeight="1" s="21">
      <c r="A554" s="31" t="n"/>
      <c r="B554" s="31" t="n"/>
    </row>
    <row r="555" ht="15" customHeight="1" s="21">
      <c r="A555" s="31" t="n"/>
      <c r="B555" s="31" t="n"/>
    </row>
    <row r="556" ht="15" customHeight="1" s="21">
      <c r="A556" s="31" t="n"/>
      <c r="B556" s="31" t="n"/>
    </row>
    <row r="557" ht="15" customHeight="1" s="21">
      <c r="A557" s="31" t="n"/>
      <c r="B557" s="31" t="n"/>
    </row>
    <row r="558" ht="15" customHeight="1" s="21">
      <c r="A558" s="31" t="n"/>
      <c r="B558" s="31" t="n"/>
    </row>
    <row r="559" ht="15" customHeight="1" s="21">
      <c r="A559" s="31" t="n"/>
      <c r="B559" s="31" t="n"/>
    </row>
    <row r="560" ht="15" customHeight="1" s="21">
      <c r="A560" s="31" t="n"/>
      <c r="B560" s="31" t="n"/>
    </row>
    <row r="561" ht="15" customHeight="1" s="21">
      <c r="A561" s="31" t="n"/>
      <c r="B561" s="31" t="n"/>
    </row>
    <row r="562" ht="15" customHeight="1" s="21">
      <c r="A562" s="31" t="n"/>
      <c r="B562" s="31" t="n"/>
    </row>
    <row r="563" ht="15" customHeight="1" s="21">
      <c r="A563" s="31" t="n"/>
      <c r="B563" s="31" t="n"/>
    </row>
    <row r="564" ht="15" customHeight="1" s="21">
      <c r="A564" s="31" t="n"/>
      <c r="B564" s="31" t="n"/>
    </row>
    <row r="565" ht="15" customHeight="1" s="21">
      <c r="A565" s="31" t="n"/>
      <c r="B565" s="31" t="n"/>
    </row>
    <row r="566" ht="15" customHeight="1" s="21">
      <c r="A566" s="31" t="n"/>
      <c r="B566" s="31" t="n"/>
    </row>
    <row r="567" ht="15" customHeight="1" s="21">
      <c r="A567" s="31" t="n"/>
      <c r="B567" s="31" t="n"/>
    </row>
    <row r="568" ht="15" customHeight="1" s="21">
      <c r="A568" s="31" t="n"/>
      <c r="B568" s="31" t="n"/>
    </row>
    <row r="569" ht="15" customHeight="1" s="21">
      <c r="A569" s="31" t="n"/>
      <c r="B569" s="31" t="n"/>
    </row>
    <row r="570" ht="15" customHeight="1" s="21">
      <c r="A570" s="31" t="n"/>
      <c r="B570" s="31" t="n"/>
    </row>
    <row r="571" ht="15" customHeight="1" s="21">
      <c r="A571" s="31" t="n"/>
      <c r="B571" s="31" t="n"/>
    </row>
    <row r="572" ht="15" customHeight="1" s="21">
      <c r="A572" s="31" t="n"/>
      <c r="B572" s="31" t="n"/>
    </row>
    <row r="573" ht="15" customHeight="1" s="21">
      <c r="A573" s="31" t="n"/>
      <c r="B573" s="31" t="n"/>
    </row>
    <row r="574" ht="15" customHeight="1" s="21">
      <c r="A574" s="31" t="n"/>
      <c r="B574" s="31" t="n"/>
    </row>
    <row r="575" ht="15" customHeight="1" s="21">
      <c r="A575" s="31" t="n"/>
      <c r="B575" s="31" t="n"/>
    </row>
    <row r="576" ht="15" customHeight="1" s="21">
      <c r="A576" s="31" t="n"/>
      <c r="B576" s="31" t="n"/>
    </row>
    <row r="577" ht="15" customHeight="1" s="21">
      <c r="A577" s="31" t="n"/>
      <c r="B577" s="31" t="n"/>
    </row>
    <row r="578" ht="15" customHeight="1" s="21">
      <c r="A578" s="31" t="n"/>
      <c r="B578" s="31" t="n"/>
    </row>
    <row r="579" ht="15" customHeight="1" s="21">
      <c r="A579" s="31" t="n"/>
      <c r="B579" s="31" t="n"/>
    </row>
    <row r="580" ht="15" customHeight="1" s="21">
      <c r="A580" s="31" t="n"/>
      <c r="B580" s="31" t="n"/>
    </row>
    <row r="581" ht="15" customHeight="1" s="21">
      <c r="A581" s="31" t="n"/>
      <c r="B581" s="31" t="n"/>
    </row>
    <row r="582" ht="15" customHeight="1" s="21">
      <c r="A582" s="31" t="n"/>
      <c r="B582" s="31" t="n"/>
    </row>
    <row r="583" ht="15" customHeight="1" s="21">
      <c r="A583" s="31" t="n"/>
      <c r="B583" s="31" t="n"/>
    </row>
    <row r="584" ht="15" customHeight="1" s="21">
      <c r="A584" s="31" t="n"/>
      <c r="B584" s="31" t="n"/>
    </row>
    <row r="585" ht="15" customHeight="1" s="21">
      <c r="A585" s="31" t="n"/>
      <c r="B585" s="31" t="n"/>
    </row>
    <row r="586" ht="15" customHeight="1" s="21">
      <c r="A586" s="31" t="n"/>
      <c r="B586" s="31" t="n"/>
    </row>
    <row r="587" ht="15" customHeight="1" s="21">
      <c r="A587" s="31" t="n"/>
      <c r="B587" s="31" t="n"/>
    </row>
    <row r="588" ht="15" customHeight="1" s="21">
      <c r="A588" s="31" t="n"/>
      <c r="B588" s="31" t="n"/>
    </row>
    <row r="589" ht="15" customHeight="1" s="21">
      <c r="A589" s="31" t="n"/>
      <c r="B589" s="31" t="n"/>
    </row>
    <row r="590" ht="15" customHeight="1" s="21">
      <c r="A590" s="31" t="n"/>
      <c r="B590" s="31" t="n"/>
    </row>
    <row r="591" ht="15" customHeight="1" s="21">
      <c r="A591" s="31" t="n"/>
      <c r="B591" s="31" t="n"/>
    </row>
    <row r="592" ht="15" customHeight="1" s="21">
      <c r="A592" s="31" t="n"/>
      <c r="B592" s="31" t="n"/>
    </row>
    <row r="593" ht="15" customHeight="1" s="21">
      <c r="A593" s="31" t="n"/>
      <c r="B593" s="31" t="n"/>
    </row>
    <row r="594" ht="15" customHeight="1" s="21">
      <c r="A594" s="31" t="n"/>
      <c r="B594" s="31" t="n"/>
    </row>
    <row r="595" ht="15" customHeight="1" s="21">
      <c r="A595" s="31" t="n"/>
      <c r="B595" s="31" t="n"/>
    </row>
    <row r="596" ht="15" customHeight="1" s="21">
      <c r="A596" s="31" t="n"/>
      <c r="B596" s="31" t="n"/>
    </row>
    <row r="597" ht="15" customHeight="1" s="21">
      <c r="A597" s="31" t="n"/>
      <c r="B597" s="31" t="n"/>
    </row>
    <row r="598" ht="15" customHeight="1" s="21">
      <c r="A598" s="31" t="n"/>
      <c r="B598" s="31" t="n"/>
    </row>
    <row r="599" ht="15" customHeight="1" s="21">
      <c r="A599" s="31" t="n"/>
      <c r="B599" s="31" t="n"/>
    </row>
    <row r="600" ht="15" customHeight="1" s="21">
      <c r="A600" s="31" t="n"/>
      <c r="B600" s="31" t="n"/>
    </row>
  </sheetData>
  <dataValidations count="1">
    <dataValidation sqref="A2:A600" showDropDown="0" showInputMessage="0" showErrorMessage="0" allowBlank="1" type="list" errorStyle="stop" operator="between">
      <formula1>'Campus Register'!$B$2:$B$600</formula1>
      <formula2>0</formula2>
    </dataValidation>
  </dataValidations>
  <printOptions horizontalCentered="0" verticalCentered="0" headings="0" gridLines="0" gridLinesSet="1"/>
  <pageMargins left="0.75" right="0.75" top="1" bottom="1" header="0.511811023622047" footer="0.511811023622047"/>
  <pageSetup orientation="landscape" paperSize="1" scale="100" fitToHeight="0" fitToWidth="1" pageOrder="downThenOver" blackAndWhite="0" draft="0" horizontalDpi="300" verticalDpi="300" copies="1"/>
  <legacyDrawing xmlns:r="http://schemas.openxmlformats.org/officeDocument/2006/relationships" r:id="anysvml"/>
</worksheet>
</file>

<file path=xl/worksheets/sheet8.xml><?xml version="1.0" encoding="utf-8"?>
<worksheet xmlns="http://schemas.openxmlformats.org/spreadsheetml/2006/main">
  <sheetPr filterMode="0">
    <tabColor rgb="FF6DB83D"/>
    <outlinePr summaryBelow="1" summaryRight="1"/>
    <pageSetUpPr fitToPage="1"/>
  </sheetPr>
  <dimension ref="A1:E201"/>
  <sheetViews>
    <sheetView showFormulas="0" showGridLines="0"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34" customWidth="1" style="20" min="1" max="1"/>
    <col width="14" customWidth="1" style="20" min="2" max="2"/>
    <col width="60" customWidth="1" style="20" min="3" max="3"/>
    <col width="34" customWidth="1" style="21" min="5" max="5"/>
  </cols>
  <sheetData>
    <row r="1" ht="30" customHeight="1" s="21">
      <c r="A1" s="28" t="inlineStr">
        <is>
          <t>Name</t>
        </is>
      </c>
      <c r="B1" s="28" t="inlineStr">
        <is>
          <t>Role</t>
        </is>
      </c>
      <c r="C1" s="28" t="inlineStr">
        <is>
          <t>Passcode status</t>
        </is>
      </c>
      <c r="D1" s="36" t="inlineStr">
        <is>
          <t>Email</t>
        </is>
      </c>
      <c r="E1" s="36" t="n"/>
    </row>
    <row r="2" ht="15" customHeight="1" s="21">
      <c r="A2" s="31" t="inlineStr">
        <is>
          <t>FACE Staff</t>
        </is>
      </c>
      <c r="B2" s="31" t="inlineStr">
        <is>
          <t>Staff</t>
        </is>
      </c>
      <c r="C2" s="23" t="n"/>
    </row>
    <row r="3" ht="15" customHeight="1" s="21">
      <c r="A3" s="31" t="n"/>
      <c r="B3" s="31" t="n"/>
      <c r="C3" s="23" t="n"/>
    </row>
    <row r="4" ht="15" customHeight="1" s="21">
      <c r="A4" s="31" t="n"/>
      <c r="B4" s="31" t="n"/>
      <c r="C4" s="23" t="n"/>
    </row>
    <row r="5" ht="15" customHeight="1" s="21">
      <c r="A5" s="31" t="n"/>
      <c r="B5" s="31" t="n"/>
      <c r="C5" s="23" t="n"/>
    </row>
    <row r="6" ht="15" customHeight="1" s="21">
      <c r="A6" s="31" t="n"/>
      <c r="B6" s="31" t="n"/>
      <c r="C6" s="23" t="n"/>
    </row>
    <row r="7" ht="15" customHeight="1" s="21">
      <c r="A7" s="31" t="n"/>
      <c r="B7" s="31" t="n"/>
      <c r="C7" s="23" t="n"/>
    </row>
    <row r="8" ht="15" customHeight="1" s="21">
      <c r="A8" s="31" t="n"/>
      <c r="B8" s="31" t="n"/>
      <c r="C8" s="23" t="n"/>
    </row>
    <row r="9" ht="15" customHeight="1" s="21">
      <c r="A9" s="31" t="n"/>
      <c r="B9" s="31" t="n"/>
      <c r="C9" s="23" t="n"/>
    </row>
    <row r="10" ht="15" customHeight="1" s="21">
      <c r="A10" s="31" t="n"/>
      <c r="B10" s="31" t="n"/>
      <c r="C10" s="23" t="n"/>
    </row>
    <row r="11" ht="15" customHeight="1" s="21">
      <c r="A11" s="31" t="n"/>
      <c r="B11" s="31" t="n"/>
      <c r="C11" s="23" t="n"/>
    </row>
    <row r="12" ht="15" customHeight="1" s="21">
      <c r="A12" s="31" t="n"/>
      <c r="B12" s="31" t="n"/>
      <c r="C12" s="23" t="n"/>
    </row>
    <row r="13" ht="15" customHeight="1" s="21">
      <c r="A13" s="31" t="n"/>
      <c r="B13" s="31" t="n"/>
      <c r="C13" s="23" t="n"/>
    </row>
    <row r="14" ht="15" customHeight="1" s="21">
      <c r="A14" s="31" t="n"/>
      <c r="B14" s="31" t="n"/>
      <c r="C14" s="23" t="n"/>
    </row>
    <row r="15" ht="15" customHeight="1" s="21">
      <c r="A15" s="31" t="n"/>
      <c r="B15" s="31" t="n"/>
      <c r="C15" s="23" t="n"/>
    </row>
    <row r="16" ht="15" customHeight="1" s="21">
      <c r="A16" s="31" t="n"/>
      <c r="B16" s="31" t="n"/>
      <c r="C16" s="23" t="n"/>
    </row>
    <row r="17" ht="15" customHeight="1" s="21">
      <c r="A17" s="31" t="n"/>
      <c r="B17" s="31" t="n"/>
      <c r="C17" s="23" t="n"/>
    </row>
    <row r="18" ht="15" customHeight="1" s="21">
      <c r="A18" s="31" t="n"/>
      <c r="B18" s="31" t="n"/>
      <c r="C18" s="23" t="n"/>
    </row>
    <row r="19" ht="15" customHeight="1" s="21">
      <c r="A19" s="31" t="n"/>
      <c r="B19" s="31" t="n"/>
      <c r="C19" s="23" t="n"/>
    </row>
    <row r="20" ht="15" customHeight="1" s="21">
      <c r="A20" s="31" t="n"/>
      <c r="B20" s="31" t="n"/>
      <c r="C20" s="23" t="n"/>
    </row>
    <row r="21" ht="15" customHeight="1" s="21">
      <c r="A21" s="31" t="n"/>
      <c r="B21" s="31" t="n"/>
      <c r="C21" s="23" t="n"/>
    </row>
    <row r="22" ht="15" customHeight="1" s="21">
      <c r="A22" s="31" t="n"/>
      <c r="B22" s="31" t="n"/>
      <c r="C22" s="23" t="n"/>
    </row>
    <row r="23" ht="15" customHeight="1" s="21">
      <c r="A23" s="31" t="n"/>
      <c r="B23" s="31" t="n"/>
      <c r="C23" s="23" t="n"/>
    </row>
    <row r="24" ht="15" customHeight="1" s="21">
      <c r="A24" s="31" t="n"/>
      <c r="B24" s="31" t="n"/>
      <c r="C24" s="23" t="n"/>
    </row>
    <row r="25" ht="15" customHeight="1" s="21">
      <c r="A25" s="31" t="n"/>
      <c r="B25" s="31" t="n"/>
      <c r="C25" s="23" t="n"/>
    </row>
    <row r="26" ht="15" customHeight="1" s="21">
      <c r="A26" s="31" t="n"/>
      <c r="B26" s="31" t="n"/>
      <c r="C26" s="23" t="n"/>
    </row>
    <row r="27" ht="15" customHeight="1" s="21">
      <c r="A27" s="31" t="n"/>
      <c r="B27" s="31" t="n"/>
      <c r="C27" s="23" t="n"/>
    </row>
    <row r="28" ht="15" customHeight="1" s="21">
      <c r="A28" s="31" t="n"/>
      <c r="B28" s="31" t="n"/>
      <c r="C28" s="23" t="n"/>
    </row>
    <row r="29" ht="15" customHeight="1" s="21">
      <c r="A29" s="31" t="n"/>
      <c r="B29" s="31" t="n"/>
      <c r="C29" s="23" t="n"/>
    </row>
    <row r="30" ht="15" customHeight="1" s="21">
      <c r="A30" s="31" t="n"/>
      <c r="B30" s="31" t="n"/>
      <c r="C30" s="23" t="n"/>
    </row>
    <row r="31" ht="15" customHeight="1" s="21">
      <c r="A31" s="31" t="n"/>
      <c r="B31" s="31" t="n"/>
      <c r="C31" s="23" t="n"/>
    </row>
    <row r="32" ht="15" customHeight="1" s="21">
      <c r="A32" s="31" t="n"/>
      <c r="B32" s="31" t="n"/>
      <c r="C32" s="23" t="n"/>
    </row>
    <row r="33" ht="15" customHeight="1" s="21">
      <c r="A33" s="31" t="n"/>
      <c r="B33" s="31" t="n"/>
      <c r="C33" s="23" t="n"/>
    </row>
    <row r="34" ht="15" customHeight="1" s="21">
      <c r="A34" s="31" t="n"/>
      <c r="B34" s="31" t="n"/>
      <c r="C34" s="23" t="n"/>
    </row>
    <row r="35" ht="15" customHeight="1" s="21">
      <c r="A35" s="31" t="n"/>
      <c r="B35" s="31" t="n"/>
      <c r="C35" s="23" t="n"/>
    </row>
    <row r="36" ht="15" customHeight="1" s="21">
      <c r="A36" s="31" t="n"/>
      <c r="B36" s="31" t="n"/>
      <c r="C36" s="23" t="n"/>
    </row>
    <row r="37" ht="15" customHeight="1" s="21">
      <c r="A37" s="31" t="n"/>
      <c r="B37" s="31" t="n"/>
      <c r="C37" s="23" t="n"/>
    </row>
    <row r="38" ht="15" customHeight="1" s="21">
      <c r="A38" s="31" t="n"/>
      <c r="B38" s="31" t="n"/>
      <c r="C38" s="23" t="n"/>
    </row>
    <row r="39" ht="15" customHeight="1" s="21">
      <c r="A39" s="31" t="n"/>
      <c r="B39" s="31" t="n"/>
      <c r="C39" s="23" t="n"/>
    </row>
    <row r="40" ht="15" customHeight="1" s="21">
      <c r="A40" s="31" t="n"/>
      <c r="B40" s="31" t="n"/>
      <c r="C40" s="23" t="n"/>
    </row>
    <row r="41" ht="15" customHeight="1" s="21">
      <c r="A41" s="31" t="n"/>
      <c r="B41" s="31" t="n"/>
      <c r="C41" s="23" t="n"/>
    </row>
    <row r="42" ht="15" customHeight="1" s="21">
      <c r="A42" s="31" t="n"/>
      <c r="B42" s="31" t="n"/>
      <c r="C42" s="23" t="n"/>
    </row>
    <row r="43" ht="15" customHeight="1" s="21">
      <c r="A43" s="31" t="n"/>
      <c r="B43" s="31" t="n"/>
      <c r="C43" s="23" t="n"/>
    </row>
    <row r="44" ht="15" customHeight="1" s="21">
      <c r="A44" s="31" t="n"/>
      <c r="B44" s="31" t="n"/>
      <c r="C44" s="23" t="n"/>
    </row>
    <row r="45" ht="15" customHeight="1" s="21">
      <c r="A45" s="31" t="n"/>
      <c r="B45" s="31" t="n"/>
      <c r="C45" s="23" t="n"/>
    </row>
    <row r="46" ht="15" customHeight="1" s="21">
      <c r="A46" s="31" t="n"/>
      <c r="B46" s="31" t="n"/>
      <c r="C46" s="23" t="n"/>
    </row>
    <row r="47" ht="15" customHeight="1" s="21">
      <c r="A47" s="31" t="n"/>
      <c r="B47" s="31" t="n"/>
      <c r="C47" s="23" t="n"/>
    </row>
    <row r="48" ht="15" customHeight="1" s="21">
      <c r="A48" s="31" t="n"/>
      <c r="B48" s="31" t="n"/>
      <c r="C48" s="23" t="n"/>
    </row>
    <row r="49" ht="15" customHeight="1" s="21">
      <c r="A49" s="31" t="n"/>
      <c r="B49" s="31" t="n"/>
      <c r="C49" s="23" t="n"/>
    </row>
    <row r="50" ht="15" customHeight="1" s="21">
      <c r="A50" s="31" t="n"/>
      <c r="B50" s="31" t="n"/>
      <c r="C50" s="23" t="n"/>
    </row>
    <row r="51" ht="15" customHeight="1" s="21">
      <c r="A51" s="31" t="n"/>
      <c r="B51" s="31" t="n"/>
      <c r="C51" s="23" t="n"/>
    </row>
    <row r="52" ht="15" customHeight="1" s="21">
      <c r="A52" s="31" t="n"/>
      <c r="B52" s="31" t="n"/>
      <c r="C52" s="23" t="n"/>
    </row>
    <row r="53" ht="15" customHeight="1" s="21">
      <c r="A53" s="31" t="n"/>
      <c r="B53" s="31" t="n"/>
      <c r="C53" s="23" t="n"/>
    </row>
    <row r="54" ht="15" customHeight="1" s="21">
      <c r="A54" s="31" t="n"/>
      <c r="B54" s="31" t="n"/>
      <c r="C54" s="23" t="n"/>
    </row>
    <row r="55" ht="15" customHeight="1" s="21">
      <c r="A55" s="31" t="n"/>
      <c r="B55" s="31" t="n"/>
      <c r="C55" s="23" t="n"/>
    </row>
    <row r="56" ht="15" customHeight="1" s="21">
      <c r="A56" s="31" t="n"/>
      <c r="B56" s="31" t="n"/>
      <c r="C56" s="23" t="n"/>
    </row>
    <row r="57" ht="15" customHeight="1" s="21">
      <c r="A57" s="31" t="n"/>
      <c r="B57" s="31" t="n"/>
      <c r="C57" s="23" t="n"/>
    </row>
    <row r="58" ht="15" customHeight="1" s="21">
      <c r="A58" s="31" t="n"/>
      <c r="B58" s="31" t="n"/>
      <c r="C58" s="23" t="n"/>
    </row>
    <row r="59" ht="15" customHeight="1" s="21">
      <c r="A59" s="31" t="n"/>
      <c r="B59" s="31" t="n"/>
      <c r="C59" s="23" t="n"/>
    </row>
    <row r="60" ht="15" customHeight="1" s="21">
      <c r="A60" s="31" t="n"/>
      <c r="B60" s="31" t="n"/>
      <c r="C60" s="23" t="n"/>
    </row>
    <row r="61" ht="15" customHeight="1" s="21">
      <c r="A61" s="31" t="n"/>
      <c r="B61" s="31" t="n"/>
      <c r="C61" s="23" t="n"/>
    </row>
    <row r="62" ht="15" customHeight="1" s="21">
      <c r="A62" s="31" t="n"/>
      <c r="B62" s="31" t="n"/>
      <c r="C62" s="23" t="n"/>
    </row>
    <row r="63" ht="15" customHeight="1" s="21">
      <c r="A63" s="31" t="n"/>
      <c r="B63" s="31" t="n"/>
      <c r="C63" s="23" t="n"/>
    </row>
    <row r="64" ht="15" customHeight="1" s="21">
      <c r="A64" s="31" t="n"/>
      <c r="B64" s="31" t="n"/>
      <c r="C64" s="23" t="n"/>
    </row>
    <row r="65" ht="15" customHeight="1" s="21">
      <c r="A65" s="31" t="n"/>
      <c r="B65" s="31" t="n"/>
      <c r="C65" s="23" t="n"/>
    </row>
    <row r="66" ht="15" customHeight="1" s="21">
      <c r="A66" s="31" t="n"/>
      <c r="B66" s="31" t="n"/>
      <c r="C66" s="23" t="n"/>
    </row>
    <row r="67" ht="15" customHeight="1" s="21">
      <c r="A67" s="31" t="n"/>
      <c r="B67" s="31" t="n"/>
      <c r="C67" s="23" t="n"/>
    </row>
    <row r="68" ht="15" customHeight="1" s="21">
      <c r="A68" s="31" t="n"/>
      <c r="B68" s="31" t="n"/>
      <c r="C68" s="23" t="n"/>
    </row>
    <row r="69" ht="15" customHeight="1" s="21">
      <c r="A69" s="31" t="n"/>
      <c r="B69" s="31" t="n"/>
      <c r="C69" s="23" t="n"/>
    </row>
    <row r="70" ht="15" customHeight="1" s="21">
      <c r="A70" s="31" t="n"/>
      <c r="B70" s="31" t="n"/>
      <c r="C70" s="23" t="n"/>
    </row>
    <row r="71" ht="15" customHeight="1" s="21">
      <c r="A71" s="31" t="n"/>
      <c r="B71" s="31" t="n"/>
      <c r="C71" s="23" t="n"/>
    </row>
    <row r="72" ht="15" customHeight="1" s="21">
      <c r="A72" s="31" t="n"/>
      <c r="B72" s="31" t="n"/>
      <c r="C72" s="23" t="n"/>
    </row>
    <row r="73" ht="15" customHeight="1" s="21">
      <c r="A73" s="31" t="n"/>
      <c r="B73" s="31" t="n"/>
      <c r="C73" s="23" t="n"/>
    </row>
    <row r="74" ht="15" customHeight="1" s="21">
      <c r="A74" s="31" t="n"/>
      <c r="B74" s="31" t="n"/>
      <c r="C74" s="23" t="n"/>
    </row>
    <row r="75" ht="15" customHeight="1" s="21">
      <c r="A75" s="31" t="n"/>
      <c r="B75" s="31" t="n"/>
      <c r="C75" s="23" t="n"/>
    </row>
    <row r="76" ht="15" customHeight="1" s="21">
      <c r="A76" s="31" t="n"/>
      <c r="B76" s="31" t="n"/>
      <c r="C76" s="23" t="n"/>
    </row>
    <row r="77" ht="15" customHeight="1" s="21">
      <c r="A77" s="31" t="n"/>
      <c r="B77" s="31" t="n"/>
      <c r="C77" s="23" t="n"/>
    </row>
    <row r="78" ht="15" customHeight="1" s="21">
      <c r="A78" s="31" t="n"/>
      <c r="B78" s="31" t="n"/>
      <c r="C78" s="23" t="n"/>
    </row>
    <row r="79" ht="15" customHeight="1" s="21">
      <c r="A79" s="31" t="n"/>
      <c r="B79" s="31" t="n"/>
      <c r="C79" s="23" t="n"/>
    </row>
    <row r="80" ht="15" customHeight="1" s="21">
      <c r="A80" s="31" t="n"/>
      <c r="B80" s="31" t="n"/>
      <c r="C80" s="23" t="n"/>
    </row>
    <row r="81" ht="15" customHeight="1" s="21">
      <c r="A81" s="31" t="n"/>
      <c r="B81" s="31" t="n"/>
      <c r="C81" s="23" t="n"/>
    </row>
    <row r="82" ht="15" customHeight="1" s="21">
      <c r="A82" s="31" t="n"/>
      <c r="B82" s="31" t="n"/>
      <c r="C82" s="23" t="n"/>
    </row>
    <row r="83" ht="15" customHeight="1" s="21">
      <c r="A83" s="31" t="n"/>
      <c r="B83" s="31" t="n"/>
      <c r="C83" s="23" t="n"/>
    </row>
    <row r="84" ht="15" customHeight="1" s="21">
      <c r="A84" s="31" t="n"/>
      <c r="B84" s="31" t="n"/>
      <c r="C84" s="23" t="n"/>
    </row>
    <row r="85" ht="15" customHeight="1" s="21">
      <c r="A85" s="31" t="n"/>
      <c r="B85" s="31" t="n"/>
      <c r="C85" s="23" t="n"/>
    </row>
    <row r="86" ht="15" customHeight="1" s="21">
      <c r="A86" s="31" t="n"/>
      <c r="B86" s="31" t="n"/>
      <c r="C86" s="23" t="n"/>
    </row>
    <row r="87" ht="15" customHeight="1" s="21">
      <c r="A87" s="31" t="n"/>
      <c r="B87" s="31" t="n"/>
      <c r="C87" s="23" t="n"/>
    </row>
    <row r="88" ht="15" customHeight="1" s="21">
      <c r="A88" s="31" t="n"/>
      <c r="B88" s="31" t="n"/>
      <c r="C88" s="23" t="n"/>
    </row>
    <row r="89" ht="15" customHeight="1" s="21">
      <c r="A89" s="31" t="n"/>
      <c r="B89" s="31" t="n"/>
      <c r="C89" s="23" t="n"/>
    </row>
    <row r="90" ht="15" customHeight="1" s="21">
      <c r="A90" s="31" t="n"/>
      <c r="B90" s="31" t="n"/>
      <c r="C90" s="23" t="n"/>
    </row>
    <row r="91" ht="15" customHeight="1" s="21">
      <c r="A91" s="31" t="n"/>
      <c r="B91" s="31" t="n"/>
      <c r="C91" s="23" t="n"/>
    </row>
    <row r="92" ht="15" customHeight="1" s="21">
      <c r="A92" s="31" t="n"/>
      <c r="B92" s="31" t="n"/>
      <c r="C92" s="23" t="n"/>
    </row>
    <row r="93" ht="15" customHeight="1" s="21">
      <c r="A93" s="31" t="n"/>
      <c r="B93" s="31" t="n"/>
      <c r="C93" s="23" t="n"/>
    </row>
    <row r="94" ht="15" customHeight="1" s="21">
      <c r="A94" s="31" t="n"/>
      <c r="B94" s="31" t="n"/>
      <c r="C94" s="23" t="n"/>
    </row>
    <row r="95" ht="15" customHeight="1" s="21">
      <c r="A95" s="31" t="n"/>
      <c r="B95" s="31" t="n"/>
      <c r="C95" s="23" t="n"/>
    </row>
    <row r="96" ht="15" customHeight="1" s="21">
      <c r="A96" s="31" t="n"/>
      <c r="B96" s="31" t="n"/>
      <c r="C96" s="23" t="n"/>
    </row>
    <row r="97" ht="15" customHeight="1" s="21">
      <c r="A97" s="31" t="n"/>
      <c r="B97" s="31" t="n"/>
      <c r="C97" s="23" t="n"/>
    </row>
    <row r="98" ht="15" customHeight="1" s="21">
      <c r="A98" s="31" t="n"/>
      <c r="B98" s="31" t="n"/>
      <c r="C98" s="23" t="n"/>
    </row>
    <row r="99" ht="15" customHeight="1" s="21">
      <c r="A99" s="31" t="n"/>
      <c r="B99" s="31" t="n"/>
      <c r="C99" s="23" t="n"/>
    </row>
    <row r="100" ht="15" customHeight="1" s="21">
      <c r="A100" s="31" t="n"/>
      <c r="B100" s="31" t="n"/>
      <c r="C100" s="23" t="n"/>
    </row>
    <row r="101" ht="15" customHeight="1" s="21">
      <c r="A101" s="31" t="n"/>
      <c r="B101" s="31" t="n"/>
      <c r="C101" s="23" t="n"/>
    </row>
    <row r="102" ht="15" customHeight="1" s="21">
      <c r="A102" s="31" t="n"/>
      <c r="B102" s="31" t="n"/>
      <c r="C102" s="23" t="n"/>
    </row>
    <row r="103" ht="15" customHeight="1" s="21">
      <c r="A103" s="31" t="n"/>
      <c r="B103" s="31" t="n"/>
      <c r="C103" s="23" t="n"/>
    </row>
    <row r="104" ht="15" customHeight="1" s="21">
      <c r="A104" s="31" t="n"/>
      <c r="B104" s="31" t="n"/>
      <c r="C104" s="23" t="n"/>
    </row>
    <row r="105" ht="15" customHeight="1" s="21">
      <c r="A105" s="31" t="n"/>
      <c r="B105" s="31" t="n"/>
      <c r="C105" s="23" t="n"/>
    </row>
    <row r="106" ht="15" customHeight="1" s="21">
      <c r="A106" s="31" t="n"/>
      <c r="B106" s="31" t="n"/>
      <c r="C106" s="23" t="n"/>
    </row>
    <row r="107" ht="15" customHeight="1" s="21">
      <c r="A107" s="31" t="n"/>
      <c r="B107" s="31" t="n"/>
      <c r="C107" s="23" t="n"/>
    </row>
    <row r="108" ht="15" customHeight="1" s="21">
      <c r="A108" s="31" t="n"/>
      <c r="B108" s="31" t="n"/>
      <c r="C108" s="23" t="n"/>
    </row>
    <row r="109" ht="15" customHeight="1" s="21">
      <c r="A109" s="31" t="n"/>
      <c r="B109" s="31" t="n"/>
      <c r="C109" s="23" t="n"/>
    </row>
    <row r="110" ht="15" customHeight="1" s="21">
      <c r="A110" s="31" t="n"/>
      <c r="B110" s="31" t="n"/>
      <c r="C110" s="23" t="n"/>
    </row>
    <row r="111" ht="15" customHeight="1" s="21">
      <c r="A111" s="31" t="n"/>
      <c r="B111" s="31" t="n"/>
      <c r="C111" s="23" t="n"/>
    </row>
    <row r="112" ht="15" customHeight="1" s="21">
      <c r="A112" s="31" t="n"/>
      <c r="B112" s="31" t="n"/>
      <c r="C112" s="23" t="n"/>
    </row>
    <row r="113" ht="15" customHeight="1" s="21">
      <c r="A113" s="31" t="n"/>
      <c r="B113" s="31" t="n"/>
      <c r="C113" s="23" t="n"/>
    </row>
    <row r="114" ht="15" customHeight="1" s="21">
      <c r="A114" s="31" t="n"/>
      <c r="B114" s="31" t="n"/>
      <c r="C114" s="23" t="n"/>
    </row>
    <row r="115" ht="15" customHeight="1" s="21">
      <c r="A115" s="31" t="n"/>
      <c r="B115" s="31" t="n"/>
      <c r="C115" s="23" t="n"/>
    </row>
    <row r="116" ht="15" customHeight="1" s="21">
      <c r="A116" s="31" t="n"/>
      <c r="B116" s="31" t="n"/>
      <c r="C116" s="23" t="n"/>
    </row>
    <row r="117" ht="15" customHeight="1" s="21">
      <c r="A117" s="31" t="n"/>
      <c r="B117" s="31" t="n"/>
      <c r="C117" s="23" t="n"/>
    </row>
    <row r="118" ht="15" customHeight="1" s="21">
      <c r="A118" s="31" t="n"/>
      <c r="B118" s="31" t="n"/>
      <c r="C118" s="23" t="n"/>
    </row>
    <row r="119" ht="15" customHeight="1" s="21">
      <c r="A119" s="31" t="n"/>
      <c r="B119" s="31" t="n"/>
      <c r="C119" s="23" t="n"/>
    </row>
    <row r="120" ht="15" customHeight="1" s="21">
      <c r="A120" s="31" t="n"/>
      <c r="B120" s="31" t="n"/>
      <c r="C120" s="23" t="n"/>
    </row>
    <row r="121" ht="15" customHeight="1" s="21">
      <c r="A121" s="31" t="n"/>
      <c r="B121" s="31" t="n"/>
      <c r="C121" s="23" t="n"/>
    </row>
    <row r="122" ht="15" customHeight="1" s="21">
      <c r="A122" s="31" t="n"/>
      <c r="B122" s="31" t="n"/>
      <c r="C122" s="23" t="n"/>
    </row>
    <row r="123" ht="15" customHeight="1" s="21">
      <c r="A123" s="31" t="n"/>
      <c r="B123" s="31" t="n"/>
      <c r="C123" s="23" t="n"/>
    </row>
    <row r="124" ht="15" customHeight="1" s="21">
      <c r="A124" s="31" t="n"/>
      <c r="B124" s="31" t="n"/>
      <c r="C124" s="23" t="n"/>
    </row>
    <row r="125" ht="15" customHeight="1" s="21">
      <c r="A125" s="31" t="n"/>
      <c r="B125" s="31" t="n"/>
      <c r="C125" s="23" t="n"/>
    </row>
    <row r="126" ht="15" customHeight="1" s="21">
      <c r="A126" s="31" t="n"/>
      <c r="B126" s="31" t="n"/>
      <c r="C126" s="23" t="n"/>
    </row>
    <row r="127" ht="15" customHeight="1" s="21">
      <c r="A127" s="31" t="n"/>
      <c r="B127" s="31" t="n"/>
      <c r="C127" s="23" t="n"/>
    </row>
    <row r="128" ht="15" customHeight="1" s="21">
      <c r="A128" s="31" t="n"/>
      <c r="B128" s="31" t="n"/>
      <c r="C128" s="23" t="n"/>
    </row>
    <row r="129" ht="15" customHeight="1" s="21">
      <c r="A129" s="31" t="n"/>
      <c r="B129" s="31" t="n"/>
      <c r="C129" s="23" t="n"/>
    </row>
    <row r="130" ht="15" customHeight="1" s="21">
      <c r="A130" s="31" t="n"/>
      <c r="B130" s="31" t="n"/>
      <c r="C130" s="23" t="n"/>
    </row>
    <row r="131" ht="15" customHeight="1" s="21">
      <c r="A131" s="31" t="n"/>
      <c r="B131" s="31" t="n"/>
      <c r="C131" s="23" t="n"/>
    </row>
    <row r="132" ht="15" customHeight="1" s="21">
      <c r="A132" s="31" t="n"/>
      <c r="B132" s="31" t="n"/>
      <c r="C132" s="23" t="n"/>
    </row>
    <row r="133" ht="15" customHeight="1" s="21">
      <c r="A133" s="31" t="n"/>
      <c r="B133" s="31" t="n"/>
      <c r="C133" s="23" t="n"/>
    </row>
    <row r="134" ht="15" customHeight="1" s="21">
      <c r="A134" s="31" t="n"/>
      <c r="B134" s="31" t="n"/>
      <c r="C134" s="23" t="n"/>
    </row>
    <row r="135" ht="15" customHeight="1" s="21">
      <c r="A135" s="31" t="n"/>
      <c r="B135" s="31" t="n"/>
      <c r="C135" s="23" t="n"/>
    </row>
    <row r="136" ht="15" customHeight="1" s="21">
      <c r="A136" s="31" t="n"/>
      <c r="B136" s="31" t="n"/>
      <c r="C136" s="23" t="n"/>
    </row>
    <row r="137" ht="15" customHeight="1" s="21">
      <c r="A137" s="31" t="n"/>
      <c r="B137" s="31" t="n"/>
      <c r="C137" s="23" t="n"/>
    </row>
    <row r="138" ht="15" customHeight="1" s="21">
      <c r="A138" s="31" t="n"/>
      <c r="B138" s="31" t="n"/>
      <c r="C138" s="23" t="n"/>
    </row>
    <row r="139" ht="15" customHeight="1" s="21">
      <c r="A139" s="31" t="n"/>
      <c r="B139" s="31" t="n"/>
      <c r="C139" s="23" t="n"/>
    </row>
    <row r="140" ht="15" customHeight="1" s="21">
      <c r="A140" s="31" t="n"/>
      <c r="B140" s="31" t="n"/>
      <c r="C140" s="23" t="n"/>
    </row>
    <row r="141" ht="15" customHeight="1" s="21">
      <c r="A141" s="31" t="n"/>
      <c r="B141" s="31" t="n"/>
      <c r="C141" s="23" t="n"/>
    </row>
    <row r="142" ht="15" customHeight="1" s="21">
      <c r="A142" s="31" t="n"/>
      <c r="B142" s="31" t="n"/>
      <c r="C142" s="23" t="n"/>
    </row>
    <row r="143" ht="15" customHeight="1" s="21">
      <c r="A143" s="31" t="n"/>
      <c r="B143" s="31" t="n"/>
      <c r="C143" s="23" t="n"/>
    </row>
    <row r="144" ht="15" customHeight="1" s="21">
      <c r="A144" s="31" t="n"/>
      <c r="B144" s="31" t="n"/>
      <c r="C144" s="23" t="n"/>
    </row>
    <row r="145" ht="15" customHeight="1" s="21">
      <c r="A145" s="31" t="n"/>
      <c r="B145" s="31" t="n"/>
      <c r="C145" s="23" t="n"/>
    </row>
    <row r="146" ht="15" customHeight="1" s="21">
      <c r="A146" s="31" t="n"/>
      <c r="B146" s="31" t="n"/>
      <c r="C146" s="23" t="n"/>
    </row>
    <row r="147" ht="15" customHeight="1" s="21">
      <c r="A147" s="31" t="n"/>
      <c r="B147" s="31" t="n"/>
      <c r="C147" s="23" t="n"/>
    </row>
    <row r="148" ht="15" customHeight="1" s="21">
      <c r="A148" s="31" t="n"/>
      <c r="B148" s="31" t="n"/>
      <c r="C148" s="23" t="n"/>
    </row>
    <row r="149" ht="15" customHeight="1" s="21">
      <c r="A149" s="31" t="n"/>
      <c r="B149" s="31" t="n"/>
      <c r="C149" s="23" t="n"/>
    </row>
    <row r="150" ht="15" customHeight="1" s="21">
      <c r="A150" s="31" t="n"/>
      <c r="B150" s="31" t="n"/>
      <c r="C150" s="23" t="n"/>
    </row>
    <row r="151" ht="15" customHeight="1" s="21">
      <c r="A151" s="31" t="n"/>
      <c r="B151" s="31" t="n"/>
      <c r="C151" s="23" t="n"/>
    </row>
    <row r="152" ht="15" customHeight="1" s="21">
      <c r="A152" s="31" t="n"/>
      <c r="B152" s="31" t="n"/>
      <c r="C152" s="23" t="n"/>
    </row>
    <row r="153" ht="15" customHeight="1" s="21">
      <c r="A153" s="31" t="n"/>
      <c r="B153" s="31" t="n"/>
      <c r="C153" s="23" t="n"/>
    </row>
    <row r="154" ht="15" customHeight="1" s="21">
      <c r="A154" s="31" t="n"/>
      <c r="B154" s="31" t="n"/>
      <c r="C154" s="23" t="n"/>
    </row>
    <row r="155" ht="15" customHeight="1" s="21">
      <c r="A155" s="31" t="n"/>
      <c r="B155" s="31" t="n"/>
      <c r="C155" s="23" t="n"/>
    </row>
    <row r="156" ht="15" customHeight="1" s="21">
      <c r="A156" s="31" t="n"/>
      <c r="B156" s="31" t="n"/>
      <c r="C156" s="23" t="n"/>
    </row>
    <row r="157" ht="15" customHeight="1" s="21">
      <c r="A157" s="31" t="n"/>
      <c r="B157" s="31" t="n"/>
      <c r="C157" s="23" t="n"/>
    </row>
    <row r="158" ht="15" customHeight="1" s="21">
      <c r="A158" s="31" t="n"/>
      <c r="B158" s="31" t="n"/>
      <c r="C158" s="23" t="n"/>
    </row>
    <row r="159" ht="15" customHeight="1" s="21">
      <c r="A159" s="31" t="n"/>
      <c r="B159" s="31" t="n"/>
      <c r="C159" s="23" t="n"/>
    </row>
    <row r="160" ht="15" customHeight="1" s="21">
      <c r="A160" s="31" t="n"/>
      <c r="B160" s="31" t="n"/>
      <c r="C160" s="23" t="n"/>
    </row>
    <row r="161" ht="15" customHeight="1" s="21">
      <c r="A161" s="31" t="n"/>
      <c r="B161" s="31" t="n"/>
      <c r="C161" s="23" t="n"/>
    </row>
    <row r="162" ht="15" customHeight="1" s="21">
      <c r="A162" s="31" t="n"/>
      <c r="B162" s="31" t="n"/>
      <c r="C162" s="23" t="n"/>
    </row>
    <row r="163" ht="15" customHeight="1" s="21">
      <c r="A163" s="31" t="n"/>
      <c r="B163" s="31" t="n"/>
      <c r="C163" s="23" t="n"/>
    </row>
    <row r="164" ht="15" customHeight="1" s="21">
      <c r="A164" s="31" t="n"/>
      <c r="B164" s="31" t="n"/>
      <c r="C164" s="23" t="n"/>
    </row>
    <row r="165" ht="15" customHeight="1" s="21">
      <c r="A165" s="31" t="n"/>
      <c r="B165" s="31" t="n"/>
      <c r="C165" s="23" t="n"/>
    </row>
    <row r="166" ht="15" customHeight="1" s="21">
      <c r="A166" s="31" t="n"/>
      <c r="B166" s="31" t="n"/>
      <c r="C166" s="23" t="n"/>
    </row>
    <row r="167" ht="15" customHeight="1" s="21">
      <c r="A167" s="31" t="n"/>
      <c r="B167" s="31" t="n"/>
      <c r="C167" s="23" t="n"/>
    </row>
    <row r="168" ht="15" customHeight="1" s="21">
      <c r="A168" s="31" t="n"/>
      <c r="B168" s="31" t="n"/>
      <c r="C168" s="23" t="n"/>
    </row>
    <row r="169" ht="15" customHeight="1" s="21">
      <c r="A169" s="31" t="n"/>
      <c r="B169" s="31" t="n"/>
      <c r="C169" s="23" t="n"/>
    </row>
    <row r="170" ht="15" customHeight="1" s="21">
      <c r="A170" s="31" t="n"/>
      <c r="B170" s="31" t="n"/>
      <c r="C170" s="23" t="n"/>
    </row>
    <row r="171" ht="15" customHeight="1" s="21">
      <c r="A171" s="31" t="n"/>
      <c r="B171" s="31" t="n"/>
      <c r="C171" s="23" t="n"/>
    </row>
    <row r="172" ht="15" customHeight="1" s="21">
      <c r="A172" s="31" t="n"/>
      <c r="B172" s="31" t="n"/>
      <c r="C172" s="23" t="n"/>
    </row>
    <row r="173" ht="15" customHeight="1" s="21">
      <c r="A173" s="31" t="n"/>
      <c r="B173" s="31" t="n"/>
      <c r="C173" s="23" t="n"/>
    </row>
    <row r="174" ht="15" customHeight="1" s="21">
      <c r="A174" s="31" t="n"/>
      <c r="B174" s="31" t="n"/>
      <c r="C174" s="23" t="n"/>
    </row>
    <row r="175" ht="15" customHeight="1" s="21">
      <c r="A175" s="31" t="n"/>
      <c r="B175" s="31" t="n"/>
      <c r="C175" s="23" t="n"/>
    </row>
    <row r="176" ht="15" customHeight="1" s="21">
      <c r="A176" s="31" t="n"/>
      <c r="B176" s="31" t="n"/>
      <c r="C176" s="23" t="n"/>
    </row>
    <row r="177" ht="15" customHeight="1" s="21">
      <c r="A177" s="31" t="n"/>
      <c r="B177" s="31" t="n"/>
      <c r="C177" s="23" t="n"/>
    </row>
    <row r="178" ht="15" customHeight="1" s="21">
      <c r="A178" s="31" t="n"/>
      <c r="B178" s="31" t="n"/>
      <c r="C178" s="23" t="n"/>
    </row>
    <row r="179" ht="15" customHeight="1" s="21">
      <c r="A179" s="31" t="n"/>
      <c r="B179" s="31" t="n"/>
      <c r="C179" s="23" t="n"/>
    </row>
    <row r="180" ht="15" customHeight="1" s="21">
      <c r="A180" s="31" t="n"/>
      <c r="B180" s="31" t="n"/>
      <c r="C180" s="23" t="n"/>
    </row>
    <row r="181" ht="15" customHeight="1" s="21">
      <c r="A181" s="31" t="n"/>
      <c r="B181" s="31" t="n"/>
      <c r="C181" s="23" t="n"/>
    </row>
    <row r="182" ht="15" customHeight="1" s="21">
      <c r="A182" s="31" t="n"/>
      <c r="B182" s="31" t="n"/>
      <c r="C182" s="23" t="n"/>
    </row>
    <row r="183" ht="15" customHeight="1" s="21">
      <c r="A183" s="31" t="n"/>
      <c r="B183" s="31" t="n"/>
      <c r="C183" s="23" t="n"/>
    </row>
    <row r="184" ht="15" customHeight="1" s="21">
      <c r="A184" s="31" t="n"/>
      <c r="B184" s="31" t="n"/>
      <c r="C184" s="23" t="n"/>
    </row>
    <row r="185" ht="15" customHeight="1" s="21">
      <c r="A185" s="31" t="n"/>
      <c r="B185" s="31" t="n"/>
      <c r="C185" s="23" t="n"/>
    </row>
    <row r="186" ht="15" customHeight="1" s="21">
      <c r="A186" s="31" t="n"/>
      <c r="B186" s="31" t="n"/>
      <c r="C186" s="23" t="n"/>
    </row>
    <row r="187" ht="15" customHeight="1" s="21">
      <c r="A187" s="31" t="n"/>
      <c r="B187" s="31" t="n"/>
      <c r="C187" s="23" t="n"/>
    </row>
    <row r="188" ht="15" customHeight="1" s="21">
      <c r="A188" s="31" t="n"/>
      <c r="B188" s="31" t="n"/>
      <c r="C188" s="23" t="n"/>
    </row>
    <row r="189" ht="15" customHeight="1" s="21">
      <c r="A189" s="31" t="n"/>
      <c r="B189" s="31" t="n"/>
      <c r="C189" s="23" t="n"/>
    </row>
    <row r="190" ht="15" customHeight="1" s="21">
      <c r="A190" s="31" t="n"/>
      <c r="B190" s="31" t="n"/>
      <c r="C190" s="23" t="n"/>
    </row>
    <row r="191" ht="15" customHeight="1" s="21">
      <c r="A191" s="31" t="n"/>
      <c r="B191" s="31" t="n"/>
      <c r="C191" s="23" t="n"/>
    </row>
    <row r="192" ht="15" customHeight="1" s="21">
      <c r="A192" s="31" t="n"/>
      <c r="B192" s="31" t="n"/>
      <c r="C192" s="23" t="n"/>
    </row>
    <row r="193" ht="15" customHeight="1" s="21">
      <c r="A193" s="31" t="n"/>
      <c r="B193" s="31" t="n"/>
      <c r="C193" s="23" t="n"/>
    </row>
    <row r="194" ht="15" customHeight="1" s="21">
      <c r="A194" s="31" t="n"/>
      <c r="B194" s="31" t="n"/>
      <c r="C194" s="23" t="n"/>
    </row>
    <row r="195" ht="15" customHeight="1" s="21">
      <c r="A195" s="31" t="n"/>
      <c r="B195" s="31" t="n"/>
      <c r="C195" s="23" t="n"/>
    </row>
    <row r="196" ht="15" customHeight="1" s="21">
      <c r="A196" s="31" t="n"/>
      <c r="B196" s="31" t="n"/>
      <c r="C196" s="23" t="n"/>
    </row>
    <row r="197" ht="15" customHeight="1" s="21">
      <c r="A197" s="31" t="n"/>
      <c r="B197" s="31" t="n"/>
      <c r="C197" s="23" t="n"/>
    </row>
    <row r="198" ht="15" customHeight="1" s="21">
      <c r="A198" s="31" t="n"/>
      <c r="B198" s="31" t="n"/>
      <c r="C198" s="23" t="n"/>
    </row>
    <row r="199" ht="15" customHeight="1" s="21">
      <c r="A199" s="31" t="n"/>
      <c r="B199" s="31" t="n"/>
      <c r="C199" s="23" t="n"/>
    </row>
    <row r="200" ht="15" customHeight="1" s="21">
      <c r="A200" s="31" t="n"/>
      <c r="B200" s="31" t="n"/>
      <c r="C200" s="23" t="n"/>
    </row>
    <row r="201" ht="15" customHeight="1" s="21">
      <c r="A201" s="31" t="n"/>
      <c r="B201" s="31" t="n"/>
      <c r="C201" s="23" t="n"/>
    </row>
  </sheetData>
  <dataValidations count="1">
    <dataValidation sqref="B2:B201" showDropDown="0" showInputMessage="0" showErrorMessage="1" allowBlank="1" errorTitle="Role" error="Choose C1 or Staff." type="list" errorStyle="stop" operator="between">
      <formula1>"C1,Staff"</formula1>
      <formula2>0</formula2>
    </dataValidation>
  </dataValidations>
  <printOptions horizontalCentered="0" verticalCentered="0" headings="0" gridLines="0" gridLinesSet="1"/>
  <pageMargins left="0.75" right="0.75" top="1" bottom="1" header="0.511811023622047" footer="0.511811023622047"/>
  <pageSetup orientation="landscape" paperSize="1" scale="100" fitToHeight="0" fitToWidth="1" pageOrder="downThenOver" blackAndWhite="0" draft="0" horizontalDpi="300" verticalDpi="300" copies="1"/>
  <legacyDrawing xmlns:r="http://schemas.openxmlformats.org/officeDocument/2006/relationships" r:id="anysvml"/>
</worksheet>
</file>

<file path=xl/worksheets/sheet9.xml><?xml version="1.0" encoding="utf-8"?>
<worksheet xmlns="http://schemas.openxmlformats.org/spreadsheetml/2006/main">
  <sheetPr filterMode="0">
    <outlinePr summaryBelow="1" summaryRight="1"/>
    <pageSetUpPr fitToPage="1"/>
  </sheetPr>
  <dimension ref="A1:L24"/>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4" customWidth="1" style="20" min="1" max="1"/>
    <col width="16" customWidth="1" style="20" min="2" max="2"/>
    <col width="17" customWidth="1" style="20" min="3" max="5"/>
    <col width="18" customWidth="1" style="20" min="6" max="6"/>
    <col width="17" customWidth="1" style="20" min="7" max="10"/>
  </cols>
  <sheetData>
    <row r="1" ht="18.55" customHeight="1" s="21">
      <c r="A1" s="22" t="inlineStr">
        <is>
          <t>Settings</t>
        </is>
      </c>
      <c r="B1" s="24" t="n"/>
      <c r="C1" s="24" t="n"/>
      <c r="D1" s="24" t="n"/>
      <c r="E1" s="24" t="n"/>
      <c r="F1" s="24" t="n"/>
      <c r="G1" s="24" t="n"/>
      <c r="H1" s="24" t="n"/>
      <c r="I1" s="24" t="n"/>
      <c r="J1" s="24" t="n"/>
      <c r="K1" s="24" t="n"/>
      <c r="L1" s="24" t="n"/>
    </row>
    <row r="2" ht="15" customHeight="1" s="21">
      <c r="A2" s="23" t="inlineStr">
        <is>
          <t>Blue cells are yours to change. Dropdowns on the other sheets read the lists at the bottom of this sheet.</t>
        </is>
      </c>
      <c r="B2" s="24" t="n"/>
      <c r="C2" s="24" t="n"/>
      <c r="D2" s="24" t="n"/>
      <c r="E2" s="24" t="n"/>
      <c r="F2" s="24" t="n"/>
      <c r="G2" s="24" t="n"/>
      <c r="H2" s="24" t="n"/>
      <c r="I2" s="24" t="n"/>
      <c r="J2" s="24" t="n"/>
      <c r="K2" s="24" t="n"/>
      <c r="L2" s="24" t="n"/>
    </row>
    <row r="3" ht="15" customHeight="1" s="21">
      <c r="A3" s="24" t="n"/>
      <c r="B3" s="24" t="n"/>
      <c r="C3" s="24" t="n"/>
      <c r="D3" s="24" t="n"/>
      <c r="E3" s="24" t="n"/>
      <c r="F3" s="24" t="n"/>
      <c r="G3" s="24" t="n"/>
      <c r="H3" s="24" t="n"/>
      <c r="I3" s="24" t="n"/>
      <c r="J3" s="24" t="n"/>
      <c r="K3" s="24" t="n"/>
      <c r="L3" s="24" t="n"/>
    </row>
    <row r="4" ht="15" customHeight="1" s="21">
      <c r="A4" s="25" t="inlineStr">
        <is>
          <t>School year</t>
        </is>
      </c>
      <c r="B4" s="24" t="n"/>
      <c r="C4" s="24" t="n"/>
      <c r="D4" s="24" t="n"/>
      <c r="E4" s="24" t="n"/>
      <c r="F4" s="24" t="n"/>
      <c r="G4" s="24" t="n"/>
      <c r="H4" s="24" t="n"/>
      <c r="I4" s="24" t="n"/>
      <c r="J4" s="24" t="n"/>
      <c r="K4" s="24" t="n"/>
      <c r="L4" s="24" t="n"/>
    </row>
    <row r="5" ht="15" customHeight="1" s="21">
      <c r="A5" s="27" t="inlineStr">
        <is>
          <t>Current school year</t>
        </is>
      </c>
      <c r="B5" s="24" t="n"/>
      <c r="C5" s="31" t="inlineStr">
        <is>
          <t>2026-27</t>
        </is>
      </c>
      <c r="D5" s="24" t="n"/>
      <c r="E5" s="24" t="n"/>
      <c r="F5" s="24" t="n"/>
      <c r="G5" s="24" t="n"/>
      <c r="H5" s="24" t="n"/>
      <c r="I5" s="24" t="n"/>
      <c r="J5" s="24" t="n"/>
      <c r="K5" s="24" t="n"/>
      <c r="L5" s="24" t="n"/>
    </row>
    <row r="6" ht="15" customHeight="1" s="21">
      <c r="A6" s="27" t="inlineStr">
        <is>
          <t>School year starts in month (1-12)</t>
        </is>
      </c>
      <c r="B6" s="24" t="n"/>
      <c r="C6" s="31" t="n">
        <v>7</v>
      </c>
      <c r="D6" s="23" t="inlineStr">
        <is>
          <t>Assumption: a document received in July or later counts toward the school year that starts that July. Change if HISD's registration window differs.</t>
        </is>
      </c>
      <c r="E6" s="24" t="n"/>
      <c r="F6" s="24" t="n"/>
      <c r="G6" s="24" t="n"/>
      <c r="H6" s="24" t="n"/>
      <c r="I6" s="24" t="n"/>
      <c r="J6" s="24" t="n"/>
      <c r="K6" s="24" t="n"/>
      <c r="L6" s="24" t="n"/>
    </row>
    <row r="7" ht="15" customHeight="1" s="21">
      <c r="A7" s="24" t="n"/>
      <c r="B7" s="24" t="n"/>
      <c r="C7" s="24" t="n"/>
      <c r="D7" s="24" t="n"/>
      <c r="E7" s="24" t="n"/>
      <c r="F7" s="24" t="n"/>
      <c r="G7" s="24" t="n"/>
      <c r="H7" s="24" t="n"/>
      <c r="I7" s="24" t="n"/>
      <c r="J7" s="24" t="n"/>
      <c r="K7" s="24" t="n"/>
      <c r="L7" s="24" t="n"/>
    </row>
    <row r="8" ht="15" customHeight="1" s="21">
      <c r="A8" s="25" t="inlineStr">
        <is>
          <t>Requirement definitions (column order matches Campus Register columns G to N)</t>
        </is>
      </c>
      <c r="B8" s="24" t="n"/>
      <c r="C8" s="24" t="n"/>
      <c r="D8" s="24" t="n"/>
      <c r="E8" s="24" t="n"/>
      <c r="F8" s="24" t="n"/>
      <c r="G8" s="24" t="n"/>
      <c r="H8" s="24" t="n"/>
      <c r="I8" s="24" t="n"/>
      <c r="J8" s="24" t="n"/>
      <c r="K8" s="24" t="n"/>
      <c r="L8" s="24" t="n"/>
    </row>
    <row r="9" ht="42" customHeight="1" s="21">
      <c r="A9" s="27" t="inlineStr">
        <is>
          <t>Requirement</t>
        </is>
      </c>
      <c r="B9" s="24" t="n"/>
      <c r="C9" s="28" t="inlineStr">
        <is>
          <t>Bylaws</t>
        </is>
      </c>
      <c r="D9" s="28" t="inlineStr">
        <is>
          <t>Officer Information</t>
        </is>
      </c>
      <c r="E9" s="28" t="inlineStr">
        <is>
          <t>Training Certificate</t>
        </is>
      </c>
      <c r="F9" s="28" t="inlineStr">
        <is>
          <t>Budget or Financial Report</t>
        </is>
      </c>
      <c r="G9" s="28" t="inlineStr">
        <is>
          <t>Proof of 501c Status</t>
        </is>
      </c>
      <c r="H9" s="28" t="inlineStr">
        <is>
          <t>Bank Verification Letter</t>
        </is>
      </c>
      <c r="I9" s="28" t="inlineStr">
        <is>
          <t>Articles of Incorporation</t>
        </is>
      </c>
      <c r="J9" s="28" t="inlineStr">
        <is>
          <t>Insurance</t>
        </is>
      </c>
      <c r="K9" s="24" t="n"/>
      <c r="L9" s="24" t="n"/>
    </row>
    <row r="10" ht="15" customHeight="1" s="21">
      <c r="A10" s="27" t="inlineStr">
        <is>
          <t>Cycle</t>
        </is>
      </c>
      <c r="B10" s="24" t="n"/>
      <c r="C10" s="37" t="inlineStr">
        <is>
          <t>Annual</t>
        </is>
      </c>
      <c r="D10" s="37" t="inlineStr">
        <is>
          <t>Annual</t>
        </is>
      </c>
      <c r="E10" s="37" t="inlineStr">
        <is>
          <t>Annual</t>
        </is>
      </c>
      <c r="F10" s="37" t="inlineStr">
        <is>
          <t>Annual</t>
        </is>
      </c>
      <c r="G10" s="37" t="inlineStr">
        <is>
          <t>Annual</t>
        </is>
      </c>
      <c r="H10" s="37" t="inlineStr">
        <is>
          <t>Annual</t>
        </is>
      </c>
      <c r="I10" s="37" t="inlineStr">
        <is>
          <t>One-time</t>
        </is>
      </c>
      <c r="J10" s="37" t="inlineStr">
        <is>
          <t>Annual</t>
        </is>
      </c>
      <c r="K10" s="24" t="n"/>
      <c r="L10" s="24" t="n"/>
    </row>
    <row r="11" ht="15" customHeight="1" s="21">
      <c r="A11" s="27" t="inlineStr">
        <is>
          <t>Counts toward Registered?</t>
        </is>
      </c>
      <c r="B11" s="24" t="n"/>
      <c r="C11" s="37" t="inlineStr">
        <is>
          <t>Yes</t>
        </is>
      </c>
      <c r="D11" s="37" t="inlineStr">
        <is>
          <t>Yes</t>
        </is>
      </c>
      <c r="E11" s="37" t="inlineStr">
        <is>
          <t>Yes</t>
        </is>
      </c>
      <c r="F11" s="37" t="inlineStr">
        <is>
          <t>No</t>
        </is>
      </c>
      <c r="G11" s="37" t="inlineStr">
        <is>
          <t>No</t>
        </is>
      </c>
      <c r="H11" s="37" t="inlineStr">
        <is>
          <t>No</t>
        </is>
      </c>
      <c r="I11" s="37" t="inlineStr">
        <is>
          <t>No</t>
        </is>
      </c>
      <c r="J11" s="37" t="inlineStr">
        <is>
          <t>No</t>
        </is>
      </c>
      <c r="K11" s="24" t="n"/>
      <c r="L11" s="24" t="n"/>
    </row>
    <row r="12" ht="15" customHeight="1" s="21">
      <c r="A12" s="27" t="inlineStr">
        <is>
          <t>Items required to be Registered</t>
        </is>
      </c>
      <c r="B12" s="24" t="n"/>
      <c r="C12" s="27">
        <f>COUNTIF(C11:J11,"Yes")</f>
        <v/>
      </c>
      <c r="D12" s="23" t="inlineStr">
        <is>
          <t>Registered = training certificate, the organization's bylaws and the officer information form.</t>
        </is>
      </c>
      <c r="E12" s="24" t="n"/>
      <c r="F12" s="24" t="n"/>
      <c r="G12" s="24" t="n"/>
      <c r="H12" s="24" t="n"/>
      <c r="I12" s="24" t="n"/>
      <c r="J12" s="24" t="n"/>
      <c r="K12" s="24" t="n"/>
      <c r="L12" s="24" t="n"/>
    </row>
    <row r="13" ht="15" customHeight="1" s="21">
      <c r="A13" s="27" t="inlineStr">
        <is>
          <t>Items required to be Legalized</t>
        </is>
      </c>
      <c r="B13" s="24" t="n"/>
      <c r="C13" s="27">
        <f>COUNTIF(C15:J15,"Yes")</f>
        <v/>
      </c>
      <c r="D13" s="23" t="inlineStr">
        <is>
          <t>Legalized = training certificate, the organization's bylaws, the officer information form, annual budget report or meeting minutes showing budget approval, proof of 501(c) status and bank account verification letter from financial institution listing two authorized account signers. Not Needed counts like Accepted.</t>
        </is>
      </c>
      <c r="E13" s="24" t="n"/>
      <c r="F13" s="24" t="n"/>
      <c r="G13" s="24" t="n"/>
      <c r="H13" s="24" t="n"/>
      <c r="I13" s="24" t="n"/>
      <c r="J13" s="24" t="n"/>
      <c r="K13" s="24" t="n"/>
      <c r="L13" s="24" t="n"/>
    </row>
    <row r="14" ht="27.75" customHeight="1" s="21">
      <c r="A14" s="38" t="inlineStr">
        <is>
          <t>Cycle is used when a new school year starts: The one-time item (Articles of Incorporation) carries forward; everything else resets to Not Received. To change which items count toward Registered, change row 11; to change which are needed to be Legalized, change row 15.</t>
        </is>
      </c>
      <c r="K14" s="24" t="n"/>
      <c r="L14" s="24" t="n"/>
    </row>
    <row r="15" ht="15" customHeight="1" s="21">
      <c r="A15" s="27" t="inlineStr">
        <is>
          <t>Needed to be Legalized?</t>
        </is>
      </c>
      <c r="B15" s="24" t="n"/>
      <c r="C15" s="37" t="inlineStr">
        <is>
          <t>Yes</t>
        </is>
      </c>
      <c r="D15" s="37" t="inlineStr">
        <is>
          <t>Yes</t>
        </is>
      </c>
      <c r="E15" s="37" t="inlineStr">
        <is>
          <t>Yes</t>
        </is>
      </c>
      <c r="F15" s="37" t="inlineStr">
        <is>
          <t>Yes</t>
        </is>
      </c>
      <c r="G15" s="37" t="inlineStr">
        <is>
          <t>Yes</t>
        </is>
      </c>
      <c r="H15" s="37" t="inlineStr">
        <is>
          <t>Yes</t>
        </is>
      </c>
      <c r="I15" s="37" t="inlineStr">
        <is>
          <t>No</t>
        </is>
      </c>
      <c r="J15" s="37" t="inlineStr">
        <is>
          <t>No</t>
        </is>
      </c>
      <c r="K15" s="24" t="n"/>
      <c r="L15" s="24" t="n"/>
    </row>
    <row r="16" ht="15" customHeight="1" s="21">
      <c r="A16" s="25" t="inlineStr">
        <is>
          <t>Lists used by dropdowns</t>
        </is>
      </c>
      <c r="B16" s="24" t="n"/>
      <c r="C16" s="24" t="n"/>
      <c r="D16" s="24" t="n"/>
      <c r="E16" s="24" t="n"/>
      <c r="F16" s="24" t="n"/>
      <c r="G16" s="24" t="n"/>
      <c r="H16" s="24" t="n"/>
      <c r="I16" s="24" t="n"/>
      <c r="J16" s="24" t="n"/>
      <c r="K16" s="24" t="n"/>
      <c r="L16" s="24" t="n"/>
    </row>
    <row r="17" ht="15" customHeight="1" s="21">
      <c r="A17" s="39" t="inlineStr">
        <is>
          <t>Has PTO or PTA</t>
        </is>
      </c>
      <c r="B17" s="39" t="inlineStr">
        <is>
          <t>Org Type</t>
        </is>
      </c>
      <c r="C17" s="39" t="inlineStr">
        <is>
          <t>Item Status</t>
        </is>
      </c>
      <c r="D17" s="39" t="inlineStr">
        <is>
          <t>Campus Status</t>
        </is>
      </c>
      <c r="E17" s="39" t="inlineStr">
        <is>
          <t>Area Office</t>
        </is>
      </c>
      <c r="F17" s="24" t="n"/>
      <c r="G17" s="23" t="inlineStr">
        <is>
          <t>The five 2026-27 Area Offices.</t>
        </is>
      </c>
      <c r="H17" s="24" t="n"/>
      <c r="I17" s="24" t="n"/>
      <c r="J17" s="24" t="n"/>
      <c r="K17" s="24" t="n"/>
      <c r="L17" s="24" t="n"/>
    </row>
    <row r="18" ht="15" customHeight="1" s="21">
      <c r="A18" s="31" t="inlineStr">
        <is>
          <t>Yes</t>
        </is>
      </c>
      <c r="B18" s="31" t="inlineStr">
        <is>
          <t>PTA</t>
        </is>
      </c>
      <c r="C18" s="31" t="inlineStr">
        <is>
          <t>Not Received</t>
        </is>
      </c>
      <c r="D18" s="31" t="inlineStr">
        <is>
          <t>Legalized</t>
        </is>
      </c>
      <c r="E18" s="31" t="inlineStr">
        <is>
          <t>NES Elementary</t>
        </is>
      </c>
      <c r="F18" s="24" t="n"/>
      <c r="G18" s="24" t="n"/>
      <c r="H18" s="24" t="n"/>
      <c r="I18" s="24" t="n"/>
      <c r="J18" s="24" t="n"/>
      <c r="K18" s="24" t="n"/>
      <c r="L18" s="24" t="n"/>
    </row>
    <row r="19" ht="15" customHeight="1" s="21">
      <c r="A19" s="31" t="inlineStr">
        <is>
          <t>No</t>
        </is>
      </c>
      <c r="B19" s="31" t="inlineStr">
        <is>
          <t>PTO</t>
        </is>
      </c>
      <c r="C19" s="31" t="inlineStr">
        <is>
          <t>Received</t>
        </is>
      </c>
      <c r="D19" s="31" t="inlineStr">
        <is>
          <t>Registered</t>
        </is>
      </c>
      <c r="E19" s="31" t="inlineStr">
        <is>
          <t>NES Secondary</t>
        </is>
      </c>
      <c r="F19" s="24" t="n"/>
      <c r="G19" s="24" t="n"/>
      <c r="H19" s="24" t="n"/>
      <c r="I19" s="24" t="n"/>
      <c r="J19" s="24" t="n"/>
      <c r="K19" s="24" t="n"/>
      <c r="L19" s="24" t="n"/>
    </row>
    <row r="20" ht="15" customHeight="1" s="21">
      <c r="A20" s="31" t="inlineStr">
        <is>
          <t>Not Yet Confirmed</t>
        </is>
      </c>
      <c r="B20" s="31" t="inlineStr">
        <is>
          <t>SPO</t>
        </is>
      </c>
      <c r="C20" s="31" t="inlineStr">
        <is>
          <t>Accepted</t>
        </is>
      </c>
      <c r="D20" s="31" t="inlineStr">
        <is>
          <t>In Progress</t>
        </is>
      </c>
      <c r="E20" s="31" t="inlineStr">
        <is>
          <t>EAS Elementary</t>
        </is>
      </c>
      <c r="F20" s="24" t="n"/>
      <c r="G20" s="24" t="n"/>
      <c r="H20" s="24" t="n"/>
      <c r="I20" s="24" t="n"/>
      <c r="J20" s="24" t="n"/>
      <c r="K20" s="24" t="n"/>
      <c r="L20" s="24" t="n"/>
    </row>
    <row r="21" ht="15" customHeight="1" s="21">
      <c r="A21" s="24" t="n"/>
      <c r="B21" s="31" t="inlineStr">
        <is>
          <t>PAC</t>
        </is>
      </c>
      <c r="C21" s="31" t="inlineStr">
        <is>
          <t>Needs Correction</t>
        </is>
      </c>
      <c r="D21" s="31" t="inlineStr">
        <is>
          <t>Not Started</t>
        </is>
      </c>
      <c r="E21" s="31" t="inlineStr">
        <is>
          <t>EAS Secondary</t>
        </is>
      </c>
      <c r="F21" s="24" t="n"/>
      <c r="G21" s="24" t="n"/>
      <c r="H21" s="24" t="n"/>
      <c r="I21" s="24" t="n"/>
      <c r="J21" s="24" t="n"/>
      <c r="K21" s="24" t="n"/>
      <c r="L21" s="24" t="n"/>
    </row>
    <row r="22" ht="15" customHeight="1" s="21">
      <c r="A22" s="24" t="n"/>
      <c r="B22" s="24" t="n"/>
      <c r="C22" s="24" t="inlineStr">
        <is>
          <t>Not Needed</t>
        </is>
      </c>
      <c r="D22" s="31" t="inlineStr">
        <is>
          <t>No PTO/PTA</t>
        </is>
      </c>
      <c r="E22" s="31" t="inlineStr">
        <is>
          <t>Programs/Charters</t>
        </is>
      </c>
      <c r="F22" s="24" t="n"/>
      <c r="G22" s="24" t="n"/>
      <c r="H22" s="24" t="n"/>
      <c r="I22" s="24" t="n"/>
      <c r="J22" s="24" t="n"/>
      <c r="K22" s="24" t="n"/>
      <c r="L22" s="24" t="n"/>
    </row>
    <row r="23" ht="15" customHeight="1" s="21">
      <c r="A23" s="24" t="n"/>
      <c r="B23" s="24" t="n"/>
      <c r="C23" s="24" t="n"/>
      <c r="D23" s="31" t="inlineStr">
        <is>
          <t>Not Yet Confirmed</t>
        </is>
      </c>
      <c r="E23" s="24" t="n"/>
      <c r="F23" s="24" t="n"/>
      <c r="G23" s="24" t="n"/>
      <c r="H23" s="24" t="n"/>
      <c r="I23" s="24" t="n"/>
      <c r="J23" s="24" t="n"/>
      <c r="K23" s="24" t="n"/>
      <c r="L23" s="24" t="n"/>
    </row>
    <row r="24" ht="15" customHeight="1" s="21">
      <c r="A24" s="24" t="n"/>
      <c r="B24" s="24" t="n"/>
      <c r="C24" s="24" t="n"/>
      <c r="D24" s="24" t="n"/>
      <c r="E24" s="24" t="n"/>
      <c r="F24" s="24" t="n"/>
      <c r="G24" s="24" t="n"/>
      <c r="H24" s="24" t="n"/>
      <c r="I24" s="24" t="n"/>
      <c r="J24" s="24" t="n"/>
      <c r="K24" s="24" t="n"/>
      <c r="L24" s="24" t="n"/>
    </row>
  </sheetData>
  <mergeCells count="1">
    <mergeCell ref="A14:J14"/>
  </mergeCells>
  <printOptions horizontalCentered="0" verticalCentered="0" headings="0" gridLines="0" gridLinesSet="1"/>
  <pageMargins left="0.75" right="0.75" top="1" bottom="1" header="0.511811023622047" footer="0.511811023622047"/>
  <pageSetup orientation="landscape" paperSize="1" scale="100" fitToHeight="0" fitToWidth="1" pageOrder="downThenOver" blackAndWhite="0" draft="0" horizontalDpi="300" verticalDpi="300" copies="1"/>
</worksheet>
</file>

<file path=xl/worksheets/sheet10.xml><?xml version="1.0" encoding="utf-8"?>
<worksheet xmlns="http://schemas.openxmlformats.org/spreadsheetml/2006/main">
  <sheetPr>
    <outlinePr summaryBelow="1" summaryRight="1"/>
    <pageSetUpPr/>
  </sheetPr>
  <dimension ref="A1:F265"/>
  <sheetViews>
    <sheetView workbookViewId="0">
      <pane ySplit="1" topLeftCell="A2" activePane="bottomLeft" state="frozen"/>
      <selection pane="bottomLeft" activeCell="A1" sqref="A1"/>
    </sheetView>
  </sheetViews>
  <sheetFormatPr baseColWidth="8" defaultRowHeight="15"/>
  <cols>
    <col width="34" customWidth="1" style="21" min="1" max="1"/>
    <col width="20" customWidth="1" style="21" min="2" max="2"/>
    <col width="10" customWidth="1" style="21" min="3" max="3"/>
    <col width="28" customWidth="1" style="21" min="4" max="4"/>
    <col width="22" customWidth="1" style="21" min="5" max="5"/>
    <col width="20" customWidth="1" style="21" min="6" max="6"/>
  </cols>
  <sheetData>
    <row r="1">
      <c r="A1" s="40" t="inlineStr">
        <is>
          <t>Campus</t>
        </is>
      </c>
      <c r="B1" s="40" t="inlineStr">
        <is>
          <t>Area Office</t>
        </is>
      </c>
      <c r="C1" s="40" t="inlineStr">
        <is>
          <t>Unit</t>
        </is>
      </c>
      <c r="D1" s="40" t="inlineStr">
        <is>
          <t>Name in the register</t>
        </is>
      </c>
      <c r="E1" s="40" t="inlineStr">
        <is>
          <t>Texas PTA</t>
        </is>
      </c>
      <c r="F1" s="40" t="inlineStr">
        <is>
          <t>Texas PTA status</t>
        </is>
      </c>
    </row>
    <row r="2">
      <c r="A2" s="20" t="inlineStr">
        <is>
          <t>Almeda ES</t>
        </is>
      </c>
      <c r="B2" s="20" t="inlineStr">
        <is>
          <t>NES Elementary</t>
        </is>
      </c>
      <c r="C2" s="20" t="n"/>
      <c r="D2" s="20" t="inlineStr"/>
      <c r="E2" s="20" t="inlineStr"/>
      <c r="F2" s="20" t="inlineStr"/>
    </row>
    <row r="3">
      <c r="A3" s="20" t="inlineStr">
        <is>
          <t>Anderson ES</t>
        </is>
      </c>
      <c r="B3" s="20" t="inlineStr">
        <is>
          <t>NES Elementary</t>
        </is>
      </c>
      <c r="C3" s="20" t="n"/>
      <c r="D3" s="20" t="inlineStr"/>
      <c r="E3" s="20" t="inlineStr"/>
      <c r="F3" s="20" t="inlineStr"/>
    </row>
    <row r="4">
      <c r="A4" s="20" t="inlineStr">
        <is>
          <t>Arabic Immersion</t>
        </is>
      </c>
      <c r="B4" s="20" t="inlineStr">
        <is>
          <t>EAS Elementary</t>
        </is>
      </c>
      <c r="C4" s="20" t="n"/>
      <c r="D4" s="20" t="inlineStr"/>
      <c r="E4" s="20" t="inlineStr"/>
      <c r="F4" s="20" t="inlineStr"/>
    </row>
    <row r="5">
      <c r="A5" s="20" t="inlineStr">
        <is>
          <t>Ashford ES</t>
        </is>
      </c>
      <c r="B5" s="20" t="inlineStr">
        <is>
          <t>NES Elementary</t>
        </is>
      </c>
      <c r="C5" s="20" t="n"/>
      <c r="D5" s="20" t="inlineStr"/>
      <c r="E5" s="20" t="inlineStr"/>
      <c r="F5" s="20" t="inlineStr"/>
    </row>
    <row r="6">
      <c r="A6" s="20" t="inlineStr">
        <is>
          <t>Askew ES</t>
        </is>
      </c>
      <c r="B6" s="20" t="inlineStr">
        <is>
          <t>NES Elementary</t>
        </is>
      </c>
      <c r="C6" s="20" t="n"/>
      <c r="D6" s="20" t="inlineStr"/>
      <c r="E6" s="20" t="inlineStr"/>
      <c r="F6" s="20" t="inlineStr"/>
    </row>
    <row r="7">
      <c r="A7" s="20" t="inlineStr">
        <is>
          <t>Atherton ES</t>
        </is>
      </c>
      <c r="B7" s="20" t="inlineStr">
        <is>
          <t>NES Elementary</t>
        </is>
      </c>
      <c r="C7" s="20" t="n"/>
      <c r="D7" s="20" t="inlineStr"/>
      <c r="E7" s="20" t="inlineStr"/>
      <c r="F7" s="20" t="inlineStr"/>
    </row>
    <row r="8">
      <c r="A8" s="20" t="inlineStr">
        <is>
          <t>Attucks MS</t>
        </is>
      </c>
      <c r="B8" s="20" t="inlineStr">
        <is>
          <t>EAS Secondary</t>
        </is>
      </c>
      <c r="C8" s="20" t="n"/>
      <c r="D8" s="20" t="inlineStr"/>
      <c r="E8" s="20" t="inlineStr"/>
      <c r="F8" s="20" t="inlineStr"/>
    </row>
    <row r="9">
      <c r="A9" s="20" t="inlineStr">
        <is>
          <t>Austin HS</t>
        </is>
      </c>
      <c r="B9" s="20" t="inlineStr">
        <is>
          <t>NES Secondary</t>
        </is>
      </c>
      <c r="C9" s="20" t="n"/>
      <c r="D9" s="20" t="inlineStr"/>
      <c r="E9" s="20" t="inlineStr"/>
      <c r="F9" s="20" t="inlineStr"/>
    </row>
    <row r="10">
      <c r="A10" s="20" t="inlineStr">
        <is>
          <t>Baker Montessori</t>
        </is>
      </c>
      <c r="B10" s="20" t="inlineStr">
        <is>
          <t>EAS Elementary</t>
        </is>
      </c>
      <c r="C10" s="20" t="n"/>
      <c r="D10" s="20" t="inlineStr"/>
      <c r="E10" s="20" t="inlineStr"/>
      <c r="F10" s="20" t="inlineStr"/>
    </row>
    <row r="11">
      <c r="A11" s="20" t="inlineStr">
        <is>
          <t>Barrick ES</t>
        </is>
      </c>
      <c r="B11" s="20" t="inlineStr">
        <is>
          <t>NES Elementary</t>
        </is>
      </c>
      <c r="C11" s="20" t="n"/>
      <c r="D11" s="20" t="inlineStr"/>
      <c r="E11" s="20" t="inlineStr"/>
      <c r="F11" s="20" t="inlineStr"/>
    </row>
    <row r="12">
      <c r="A12" s="20" t="inlineStr">
        <is>
          <t>Bastian ES</t>
        </is>
      </c>
      <c r="B12" s="20" t="inlineStr">
        <is>
          <t>NES Elementary</t>
        </is>
      </c>
      <c r="C12" s="20" t="n"/>
      <c r="D12" s="20" t="inlineStr"/>
      <c r="E12" s="20" t="inlineStr"/>
      <c r="F12" s="20" t="inlineStr"/>
    </row>
    <row r="13">
      <c r="A13" s="20" t="inlineStr">
        <is>
          <t>Baylor College MS</t>
        </is>
      </c>
      <c r="B13" s="20" t="inlineStr">
        <is>
          <t>EAS Secondary</t>
        </is>
      </c>
      <c r="C13" s="20" t="n"/>
      <c r="D13" s="20" t="inlineStr"/>
      <c r="E13" s="20" t="inlineStr"/>
      <c r="F13" s="20" t="inlineStr"/>
    </row>
    <row r="14">
      <c r="A14" s="20" t="inlineStr">
        <is>
          <t>BCM Biotech Acad at Rusk</t>
        </is>
      </c>
      <c r="B14" s="20" t="inlineStr">
        <is>
          <t>EAS Secondary</t>
        </is>
      </c>
      <c r="C14" s="20" t="n"/>
      <c r="D14" s="20" t="inlineStr"/>
      <c r="E14" s="20" t="inlineStr"/>
      <c r="F14" s="20" t="inlineStr"/>
    </row>
    <row r="15">
      <c r="A15" s="20" t="inlineStr">
        <is>
          <t>Bell ES</t>
        </is>
      </c>
      <c r="B15" s="20" t="inlineStr">
        <is>
          <t>NES Elementary</t>
        </is>
      </c>
      <c r="C15" s="20" t="n"/>
      <c r="D15" s="20" t="inlineStr"/>
      <c r="E15" s="20" t="inlineStr"/>
      <c r="F15" s="20" t="inlineStr"/>
    </row>
    <row r="16">
      <c r="A16" s="20" t="inlineStr">
        <is>
          <t>Bellaire HS</t>
        </is>
      </c>
      <c r="B16" s="20" t="inlineStr">
        <is>
          <t>EAS Secondary</t>
        </is>
      </c>
      <c r="C16" s="20" t="n"/>
      <c r="D16" s="20" t="inlineStr"/>
      <c r="E16" s="20" t="inlineStr"/>
      <c r="F16" s="20" t="inlineStr"/>
    </row>
    <row r="17">
      <c r="A17" s="20" t="inlineStr">
        <is>
          <t>Bellfort ECC</t>
        </is>
      </c>
      <c r="B17" s="20" t="inlineStr">
        <is>
          <t>EAS Elementary</t>
        </is>
      </c>
      <c r="C17" s="20" t="n"/>
      <c r="D17" s="20" t="inlineStr"/>
      <c r="E17" s="20" t="n"/>
      <c r="F17" s="20" t="n"/>
    </row>
    <row r="18">
      <c r="A18" s="20" t="inlineStr">
        <is>
          <t>Benavidez ES</t>
        </is>
      </c>
      <c r="B18" s="20" t="inlineStr">
        <is>
          <t>NES Elementary</t>
        </is>
      </c>
      <c r="C18" s="20" t="n"/>
      <c r="D18" s="20" t="inlineStr"/>
      <c r="E18" s="20" t="inlineStr"/>
      <c r="F18" s="20" t="inlineStr"/>
    </row>
    <row r="19">
      <c r="A19" s="20" t="inlineStr">
        <is>
          <t>Benbrook ES</t>
        </is>
      </c>
      <c r="B19" s="20" t="inlineStr">
        <is>
          <t>NES Elementary</t>
        </is>
      </c>
      <c r="C19" s="20" t="n"/>
      <c r="D19" s="20" t="inlineStr"/>
      <c r="E19" s="20" t="inlineStr"/>
      <c r="F19" s="20" t="inlineStr"/>
    </row>
    <row r="20">
      <c r="A20" s="20" t="inlineStr">
        <is>
          <t>Berry ES</t>
        </is>
      </c>
      <c r="B20" s="20" t="inlineStr">
        <is>
          <t>NES Elementary</t>
        </is>
      </c>
      <c r="C20" s="20" t="n"/>
      <c r="D20" s="20" t="inlineStr"/>
      <c r="E20" s="20" t="inlineStr"/>
      <c r="F20" s="20" t="inlineStr"/>
    </row>
    <row r="21">
      <c r="A21" s="20" t="inlineStr">
        <is>
          <t>Black MS</t>
        </is>
      </c>
      <c r="B21" s="20" t="inlineStr">
        <is>
          <t>EAS Secondary</t>
        </is>
      </c>
      <c r="C21" s="20" t="n"/>
      <c r="D21" s="20" t="inlineStr"/>
      <c r="E21" s="20" t="inlineStr"/>
      <c r="F21" s="20" t="inlineStr"/>
    </row>
    <row r="22">
      <c r="A22" s="20" t="inlineStr">
        <is>
          <t>Blackshear ES</t>
        </is>
      </c>
      <c r="B22" s="20" t="inlineStr">
        <is>
          <t>NES Elementary</t>
        </is>
      </c>
      <c r="C22" s="20" t="n"/>
      <c r="D22" s="20" t="inlineStr"/>
      <c r="E22" s="20" t="inlineStr"/>
      <c r="F22" s="20" t="inlineStr"/>
    </row>
    <row r="23">
      <c r="A23" s="20" t="inlineStr">
        <is>
          <t>Bonham ES</t>
        </is>
      </c>
      <c r="B23" s="20" t="inlineStr">
        <is>
          <t>NES Elementary</t>
        </is>
      </c>
      <c r="C23" s="20" t="n"/>
      <c r="D23" s="20" t="inlineStr"/>
      <c r="E23" s="20" t="inlineStr">
        <is>
          <t>No (charter withdrawn)</t>
        </is>
      </c>
      <c r="F23" s="20" t="inlineStr">
        <is>
          <t>Charter Withdrawn</t>
        </is>
      </c>
    </row>
    <row r="24">
      <c r="A24" s="20" t="inlineStr">
        <is>
          <t>Bonner ES</t>
        </is>
      </c>
      <c r="B24" s="20" t="inlineStr">
        <is>
          <t>NES Elementary</t>
        </is>
      </c>
      <c r="C24" s="20" t="n"/>
      <c r="D24" s="20" t="inlineStr"/>
      <c r="E24" s="20" t="inlineStr"/>
      <c r="F24" s="20" t="inlineStr"/>
    </row>
    <row r="25">
      <c r="A25" s="20" t="inlineStr">
        <is>
          <t>Braeburn ES</t>
        </is>
      </c>
      <c r="B25" s="20" t="inlineStr">
        <is>
          <t>EAS Elementary</t>
        </is>
      </c>
      <c r="C25" s="20" t="n"/>
      <c r="D25" s="20" t="inlineStr"/>
      <c r="E25" s="20" t="inlineStr"/>
      <c r="F25" s="20" t="inlineStr"/>
    </row>
    <row r="26">
      <c r="A26" s="20" t="inlineStr">
        <is>
          <t>Briargrove ES</t>
        </is>
      </c>
      <c r="B26" s="20" t="inlineStr">
        <is>
          <t>EAS Elementary</t>
        </is>
      </c>
      <c r="C26" s="20" t="n"/>
      <c r="D26" s="20" t="inlineStr"/>
      <c r="E26" s="20" t="inlineStr"/>
      <c r="F26" s="20" t="inlineStr"/>
    </row>
    <row r="27">
      <c r="A27" s="20" t="inlineStr">
        <is>
          <t>Briarmeadow</t>
        </is>
      </c>
      <c r="B27" s="20" t="inlineStr">
        <is>
          <t>EAS Elementary</t>
        </is>
      </c>
      <c r="C27" s="20" t="n"/>
      <c r="D27" s="20" t="inlineStr"/>
      <c r="E27" s="20" t="inlineStr"/>
      <c r="F27" s="20" t="inlineStr"/>
    </row>
    <row r="28">
      <c r="A28" s="20" t="inlineStr">
        <is>
          <t>Brookline ES</t>
        </is>
      </c>
      <c r="B28" s="20" t="inlineStr">
        <is>
          <t>NES Elementary</t>
        </is>
      </c>
      <c r="C28" s="20" t="n"/>
      <c r="D28" s="20" t="inlineStr"/>
      <c r="E28" s="20" t="inlineStr"/>
      <c r="F28" s="20" t="inlineStr"/>
    </row>
    <row r="29">
      <c r="A29" s="20" t="inlineStr">
        <is>
          <t>Browning ES</t>
        </is>
      </c>
      <c r="B29" s="20" t="inlineStr">
        <is>
          <t>NES Elementary</t>
        </is>
      </c>
      <c r="C29" s="20" t="n"/>
      <c r="D29" s="20" t="n"/>
      <c r="E29" s="20" t="inlineStr">
        <is>
          <t>Yes</t>
        </is>
      </c>
      <c r="F29" s="20" t="inlineStr">
        <is>
          <t>Inactive</t>
        </is>
      </c>
    </row>
    <row r="30">
      <c r="A30" s="20" t="inlineStr">
        <is>
          <t>Bruce ES</t>
        </is>
      </c>
      <c r="B30" s="20" t="inlineStr">
        <is>
          <t>NES Elementary</t>
        </is>
      </c>
      <c r="C30" s="20" t="n"/>
      <c r="D30" s="20" t="inlineStr"/>
      <c r="E30" s="20" t="inlineStr"/>
      <c r="F30" s="20" t="inlineStr"/>
    </row>
    <row r="31">
      <c r="A31" s="20" t="inlineStr">
        <is>
          <t>Burbank ES</t>
        </is>
      </c>
      <c r="B31" s="20" t="inlineStr">
        <is>
          <t>EAS Elementary</t>
        </is>
      </c>
      <c r="C31" s="20" t="n"/>
      <c r="D31" s="20" t="inlineStr"/>
      <c r="E31" s="20" t="inlineStr"/>
      <c r="F31" s="20" t="inlineStr"/>
    </row>
    <row r="32">
      <c r="A32" s="20" t="inlineStr">
        <is>
          <t>Burbank MS</t>
        </is>
      </c>
      <c r="B32" s="20" t="inlineStr">
        <is>
          <t>EAS Secondary</t>
        </is>
      </c>
      <c r="C32" s="20" t="n"/>
      <c r="D32" s="20" t="inlineStr"/>
      <c r="E32" s="20" t="inlineStr"/>
      <c r="F32" s="20" t="inlineStr"/>
    </row>
    <row r="33">
      <c r="A33" s="20" t="inlineStr">
        <is>
          <t>Burnet ES</t>
        </is>
      </c>
      <c r="B33" s="20" t="inlineStr">
        <is>
          <t>NES Elementary</t>
        </is>
      </c>
      <c r="C33" s="20" t="n"/>
      <c r="D33" s="20" t="inlineStr"/>
      <c r="E33" s="20" t="inlineStr"/>
      <c r="F33" s="20" t="inlineStr"/>
    </row>
    <row r="34">
      <c r="A34" s="20" t="inlineStr">
        <is>
          <t>Bush ES</t>
        </is>
      </c>
      <c r="B34" s="20" t="inlineStr">
        <is>
          <t>EAS Elementary</t>
        </is>
      </c>
      <c r="C34" s="20" t="n"/>
      <c r="D34" s="20" t="inlineStr"/>
      <c r="E34" s="20" t="inlineStr"/>
      <c r="F34" s="20" t="inlineStr"/>
    </row>
    <row r="35">
      <c r="A35" s="20" t="inlineStr">
        <is>
          <t>Cage ES</t>
        </is>
      </c>
      <c r="B35" s="20" t="inlineStr">
        <is>
          <t>NES Elementary</t>
        </is>
      </c>
      <c r="C35" s="20" t="n"/>
      <c r="D35" s="20" t="inlineStr"/>
      <c r="E35" s="20" t="inlineStr"/>
      <c r="F35" s="20" t="inlineStr"/>
    </row>
    <row r="36">
      <c r="A36" s="20" t="inlineStr">
        <is>
          <t>Carnegie HS</t>
        </is>
      </c>
      <c r="B36" s="20" t="inlineStr">
        <is>
          <t>EAS Secondary</t>
        </is>
      </c>
      <c r="C36" s="20" t="n"/>
      <c r="D36" s="20" t="inlineStr"/>
      <c r="E36" s="20" t="inlineStr"/>
      <c r="F36" s="20" t="inlineStr"/>
    </row>
    <row r="37">
      <c r="A37" s="20" t="inlineStr">
        <is>
          <t>Carrillo ES</t>
        </is>
      </c>
      <c r="B37" s="20" t="inlineStr">
        <is>
          <t>NES Elementary</t>
        </is>
      </c>
      <c r="C37" s="20" t="n"/>
      <c r="D37" s="20" t="inlineStr"/>
      <c r="E37" s="20" t="inlineStr"/>
      <c r="F37" s="20" t="inlineStr"/>
    </row>
    <row r="38">
      <c r="A38" s="20" t="inlineStr">
        <is>
          <t>Challenge EC HS</t>
        </is>
      </c>
      <c r="B38" s="20" t="inlineStr">
        <is>
          <t>1882</t>
        </is>
      </c>
      <c r="C38" s="20" t="n"/>
      <c r="D38" s="20" t="inlineStr"/>
      <c r="E38" s="20" t="inlineStr"/>
      <c r="F38" s="20" t="inlineStr"/>
    </row>
    <row r="39">
      <c r="A39" s="20" t="inlineStr">
        <is>
          <t>Chavez HS</t>
        </is>
      </c>
      <c r="B39" s="20" t="inlineStr">
        <is>
          <t>EAS Secondary</t>
        </is>
      </c>
      <c r="C39" s="20" t="n"/>
      <c r="D39" s="20" t="inlineStr"/>
      <c r="E39" s="20" t="inlineStr"/>
      <c r="F39" s="20" t="inlineStr"/>
    </row>
    <row r="40">
      <c r="A40" s="20" t="inlineStr">
        <is>
          <t>Chrysalis MS</t>
        </is>
      </c>
      <c r="B40" s="20" t="inlineStr">
        <is>
          <t>NES Secondary</t>
        </is>
      </c>
      <c r="C40" s="20" t="n"/>
      <c r="D40" s="20" t="inlineStr"/>
      <c r="E40" s="20" t="inlineStr"/>
      <c r="F40" s="20" t="inlineStr"/>
    </row>
    <row r="41">
      <c r="A41" s="20" t="inlineStr">
        <is>
          <t>Clifton MS</t>
        </is>
      </c>
      <c r="B41" s="20" t="inlineStr">
        <is>
          <t>NES Secondary</t>
        </is>
      </c>
      <c r="C41" s="20" t="n"/>
      <c r="D41" s="20" t="inlineStr"/>
      <c r="E41" s="20" t="inlineStr"/>
      <c r="F41" s="20" t="inlineStr"/>
    </row>
    <row r="42">
      <c r="A42" s="20" t="inlineStr">
        <is>
          <t>Codwell ES</t>
        </is>
      </c>
      <c r="B42" s="20" t="inlineStr">
        <is>
          <t>NES Elementary</t>
        </is>
      </c>
      <c r="C42" s="20" t="n"/>
      <c r="D42" s="20" t="inlineStr"/>
      <c r="E42" s="20" t="inlineStr"/>
      <c r="F42" s="20" t="inlineStr"/>
    </row>
    <row r="43">
      <c r="A43" s="20" t="inlineStr">
        <is>
          <t>Community Services</t>
        </is>
      </c>
      <c r="B43" s="20" t="inlineStr">
        <is>
          <t>COSO</t>
        </is>
      </c>
      <c r="C43" s="20" t="n"/>
      <c r="D43" s="20" t="inlineStr"/>
      <c r="E43" s="20" t="inlineStr"/>
      <c r="F43" s="20" t="inlineStr"/>
    </row>
    <row r="44">
      <c r="A44" s="20" t="inlineStr">
        <is>
          <t>Condit ES</t>
        </is>
      </c>
      <c r="B44" s="20" t="inlineStr">
        <is>
          <t>EAS Elementary</t>
        </is>
      </c>
      <c r="C44" s="20" t="n"/>
      <c r="D44" s="20" t="n"/>
      <c r="E44" s="20" t="inlineStr"/>
      <c r="F44" s="20" t="inlineStr"/>
    </row>
    <row r="45">
      <c r="A45" s="20" t="inlineStr">
        <is>
          <t>Cook ES</t>
        </is>
      </c>
      <c r="B45" s="20" t="inlineStr">
        <is>
          <t>NES Elementary</t>
        </is>
      </c>
      <c r="C45" s="20" t="n"/>
      <c r="D45" s="20" t="inlineStr"/>
      <c r="E45" s="20" t="inlineStr"/>
      <c r="F45" s="20" t="inlineStr"/>
    </row>
    <row r="46">
      <c r="A46" s="20" t="inlineStr">
        <is>
          <t>Coop ES</t>
        </is>
      </c>
      <c r="B46" s="20" t="inlineStr">
        <is>
          <t>NES Elementary</t>
        </is>
      </c>
      <c r="C46" s="20" t="n"/>
      <c r="D46" s="20" t="inlineStr"/>
      <c r="E46" s="20" t="inlineStr"/>
      <c r="F46" s="20" t="inlineStr"/>
    </row>
    <row r="47">
      <c r="A47" s="20" t="inlineStr">
        <is>
          <t>Cornelius ES</t>
        </is>
      </c>
      <c r="B47" s="20" t="inlineStr">
        <is>
          <t>EAS Elementary</t>
        </is>
      </c>
      <c r="C47" s="20" t="n"/>
      <c r="D47" s="20" t="inlineStr"/>
      <c r="E47" s="20" t="inlineStr"/>
      <c r="F47" s="20" t="inlineStr"/>
    </row>
    <row r="48">
      <c r="A48" s="20" t="inlineStr">
        <is>
          <t>Crespo ES</t>
        </is>
      </c>
      <c r="B48" s="20" t="inlineStr">
        <is>
          <t>EAS Elementary</t>
        </is>
      </c>
      <c r="C48" s="20" t="n"/>
      <c r="D48" s="20" t="inlineStr"/>
      <c r="E48" s="20" t="inlineStr"/>
      <c r="F48" s="20" t="inlineStr"/>
    </row>
    <row r="49">
      <c r="A49" s="20" t="inlineStr">
        <is>
          <t>Crockett ES</t>
        </is>
      </c>
      <c r="B49" s="20" t="inlineStr">
        <is>
          <t>NES Elementary</t>
        </is>
      </c>
      <c r="C49" s="20" t="n"/>
      <c r="D49" s="20" t="inlineStr"/>
      <c r="E49" s="20" t="inlineStr"/>
      <c r="F49" s="20" t="inlineStr"/>
    </row>
    <row r="50">
      <c r="A50" s="20" t="inlineStr">
        <is>
          <t>Cullen MS</t>
        </is>
      </c>
      <c r="B50" s="20" t="inlineStr">
        <is>
          <t>NES Secondary</t>
        </is>
      </c>
      <c r="C50" s="20" t="n"/>
      <c r="D50" s="20" t="inlineStr"/>
      <c r="E50" s="20" t="inlineStr"/>
      <c r="F50" s="20" t="inlineStr"/>
    </row>
    <row r="51">
      <c r="A51" s="20" t="inlineStr">
        <is>
          <t>Cunningham ES</t>
        </is>
      </c>
      <c r="B51" s="20" t="inlineStr">
        <is>
          <t>EAS Elementary</t>
        </is>
      </c>
      <c r="C51" s="20" t="n"/>
      <c r="D51" s="20" t="inlineStr"/>
      <c r="E51" s="20" t="inlineStr"/>
      <c r="F51" s="20" t="inlineStr"/>
    </row>
    <row r="52">
      <c r="A52" s="20" t="inlineStr">
        <is>
          <t>DAEP EL</t>
        </is>
      </c>
      <c r="B52" s="20" t="inlineStr">
        <is>
          <t>COSO</t>
        </is>
      </c>
      <c r="C52" s="20" t="n"/>
      <c r="D52" s="20" t="inlineStr"/>
      <c r="E52" s="20" t="inlineStr"/>
      <c r="F52" s="20" t="inlineStr"/>
    </row>
    <row r="53">
      <c r="A53" s="20" t="inlineStr">
        <is>
          <t>Daily ES</t>
        </is>
      </c>
      <c r="B53" s="20" t="inlineStr">
        <is>
          <t>EAS Elementary</t>
        </is>
      </c>
      <c r="C53" s="20" t="n"/>
      <c r="D53" s="20" t="inlineStr"/>
      <c r="E53" s="20" t="inlineStr"/>
      <c r="F53" s="20" t="inlineStr"/>
    </row>
    <row r="54">
      <c r="A54" s="20" t="inlineStr">
        <is>
          <t>Davila ES</t>
        </is>
      </c>
      <c r="B54" s="20" t="inlineStr">
        <is>
          <t>EAS Elementary</t>
        </is>
      </c>
      <c r="C54" s="20" t="n"/>
      <c r="D54" s="20" t="inlineStr"/>
      <c r="E54" s="20" t="inlineStr"/>
      <c r="F54" s="20" t="inlineStr"/>
    </row>
    <row r="55">
      <c r="A55" s="20" t="inlineStr">
        <is>
          <t>De Chaumes ES</t>
        </is>
      </c>
      <c r="B55" s="20" t="inlineStr">
        <is>
          <t>EAS Elementary</t>
        </is>
      </c>
      <c r="C55" s="20" t="n"/>
      <c r="D55" s="20" t="inlineStr"/>
      <c r="E55" s="20" t="inlineStr"/>
      <c r="F55" s="20" t="inlineStr"/>
    </row>
    <row r="56">
      <c r="A56" s="20" t="inlineStr">
        <is>
          <t>Deady MS</t>
        </is>
      </c>
      <c r="B56" s="20" t="inlineStr">
        <is>
          <t>NES Secondary</t>
        </is>
      </c>
      <c r="C56" s="20" t="n"/>
      <c r="D56" s="20" t="inlineStr"/>
      <c r="E56" s="20" t="inlineStr"/>
      <c r="F56" s="20" t="inlineStr"/>
    </row>
    <row r="57">
      <c r="A57" s="20" t="inlineStr">
        <is>
          <t>DeAnda ES</t>
        </is>
      </c>
      <c r="B57" s="20" t="inlineStr">
        <is>
          <t>EAS Elementary</t>
        </is>
      </c>
      <c r="C57" s="20" t="n"/>
      <c r="D57" s="20" t="inlineStr"/>
      <c r="E57" s="20" t="inlineStr"/>
      <c r="F57" s="20" t="inlineStr"/>
    </row>
    <row r="58">
      <c r="A58" s="20" t="inlineStr">
        <is>
          <t>DeBakey HS</t>
        </is>
      </c>
      <c r="B58" s="20" t="inlineStr">
        <is>
          <t>EAS Secondary</t>
        </is>
      </c>
      <c r="C58" s="20" t="n"/>
      <c r="D58" s="20" t="inlineStr"/>
      <c r="E58" s="20" t="inlineStr"/>
      <c r="F58" s="20" t="inlineStr"/>
    </row>
    <row r="59">
      <c r="A59" s="20" t="inlineStr">
        <is>
          <t>DeZavala ES</t>
        </is>
      </c>
      <c r="B59" s="20" t="inlineStr">
        <is>
          <t>NES Elementary</t>
        </is>
      </c>
      <c r="C59" s="20" t="n"/>
      <c r="D59" s="20" t="inlineStr"/>
      <c r="E59" s="20" t="n"/>
      <c r="F59" s="20" t="n"/>
    </row>
    <row r="60">
      <c r="A60" s="20" t="inlineStr">
        <is>
          <t>Dogan ES</t>
        </is>
      </c>
      <c r="B60" s="20" t="inlineStr">
        <is>
          <t>NES Elementary</t>
        </is>
      </c>
      <c r="C60" s="20" t="n"/>
      <c r="D60" s="20" t="inlineStr"/>
      <c r="E60" s="20" t="inlineStr"/>
      <c r="F60" s="20" t="inlineStr"/>
    </row>
    <row r="61">
      <c r="A61" s="20" t="inlineStr">
        <is>
          <t>Durham ES</t>
        </is>
      </c>
      <c r="B61" s="20" t="inlineStr">
        <is>
          <t>EAS Elementary</t>
        </is>
      </c>
      <c r="C61" s="20" t="n"/>
      <c r="D61" s="20" t="inlineStr"/>
      <c r="E61" s="20" t="inlineStr">
        <is>
          <t>Yes</t>
        </is>
      </c>
      <c r="F61" s="20" t="inlineStr">
        <is>
          <t>Inactive</t>
        </is>
      </c>
    </row>
    <row r="62">
      <c r="A62" s="20" t="inlineStr">
        <is>
          <t>Durkee ES</t>
        </is>
      </c>
      <c r="B62" s="20" t="inlineStr">
        <is>
          <t>NES Elementary</t>
        </is>
      </c>
      <c r="C62" s="20" t="n"/>
      <c r="D62" s="20" t="inlineStr"/>
      <c r="E62" s="20" t="n"/>
      <c r="F62" s="20" t="n"/>
    </row>
    <row r="63">
      <c r="A63" s="20" t="inlineStr">
        <is>
          <t>East EC HS</t>
        </is>
      </c>
      <c r="B63" s="20" t="inlineStr">
        <is>
          <t>EAS Secondary</t>
        </is>
      </c>
      <c r="C63" s="20" t="n"/>
      <c r="D63" s="20" t="inlineStr"/>
      <c r="E63" s="20" t="inlineStr"/>
      <c r="F63" s="20" t="inlineStr"/>
    </row>
    <row r="64">
      <c r="A64" s="20" t="inlineStr">
        <is>
          <t>Eastwood Acad HS</t>
        </is>
      </c>
      <c r="B64" s="20" t="inlineStr">
        <is>
          <t>EAS Secondary</t>
        </is>
      </c>
      <c r="C64" s="20" t="n"/>
      <c r="D64" s="20" t="inlineStr"/>
      <c r="E64" s="20" t="inlineStr"/>
      <c r="F64" s="20" t="inlineStr"/>
    </row>
    <row r="65">
      <c r="A65" s="20" t="inlineStr">
        <is>
          <t>Edison MS</t>
        </is>
      </c>
      <c r="B65" s="20" t="inlineStr">
        <is>
          <t>NES Secondary</t>
        </is>
      </c>
      <c r="C65" s="20" t="n"/>
      <c r="D65" s="20" t="inlineStr"/>
      <c r="E65" s="20" t="inlineStr"/>
      <c r="F65" s="20" t="inlineStr"/>
    </row>
    <row r="66">
      <c r="A66" s="20" t="inlineStr">
        <is>
          <t>Eliot ES</t>
        </is>
      </c>
      <c r="B66" s="20" t="inlineStr">
        <is>
          <t>NES Elementary</t>
        </is>
      </c>
      <c r="C66" s="20" t="n"/>
      <c r="D66" s="20" t="inlineStr"/>
      <c r="E66" s="20" t="inlineStr"/>
      <c r="F66" s="20" t="inlineStr"/>
    </row>
    <row r="67">
      <c r="A67" s="20" t="inlineStr">
        <is>
          <t>Elmore ES</t>
        </is>
      </c>
      <c r="B67" s="20" t="inlineStr">
        <is>
          <t>NES Elementary</t>
        </is>
      </c>
      <c r="C67" s="20" t="n"/>
      <c r="D67" s="20" t="inlineStr"/>
      <c r="E67" s="20" t="inlineStr"/>
      <c r="F67" s="20" t="inlineStr"/>
    </row>
    <row r="68">
      <c r="A68" s="20" t="inlineStr">
        <is>
          <t>Elrod ES</t>
        </is>
      </c>
      <c r="B68" s="20" t="inlineStr">
        <is>
          <t>EAS Elementary</t>
        </is>
      </c>
      <c r="C68" s="20" t="n"/>
      <c r="D68" s="20" t="inlineStr"/>
      <c r="E68" s="20" t="inlineStr"/>
      <c r="F68" s="20" t="inlineStr"/>
    </row>
    <row r="69">
      <c r="A69" s="20" t="inlineStr">
        <is>
          <t>Emerson ES</t>
        </is>
      </c>
      <c r="B69" s="20" t="inlineStr">
        <is>
          <t>EAS Elementary</t>
        </is>
      </c>
      <c r="C69" s="20" t="n"/>
      <c r="D69" s="20" t="inlineStr"/>
      <c r="E69" s="20" t="inlineStr"/>
      <c r="F69" s="20" t="inlineStr"/>
    </row>
    <row r="70">
      <c r="A70" s="20" t="inlineStr">
        <is>
          <t>Energized ECC</t>
        </is>
      </c>
      <c r="B70" s="20" t="inlineStr">
        <is>
          <t>COSO</t>
        </is>
      </c>
      <c r="C70" s="20" t="n"/>
      <c r="D70" s="20" t="inlineStr"/>
      <c r="E70" s="20" t="inlineStr"/>
      <c r="F70" s="20" t="inlineStr"/>
    </row>
    <row r="71">
      <c r="A71" s="20" t="inlineStr">
        <is>
          <t>Energized ES</t>
        </is>
      </c>
      <c r="B71" s="20" t="inlineStr">
        <is>
          <t>COSO</t>
        </is>
      </c>
      <c r="C71" s="20" t="n"/>
      <c r="D71" s="20" t="inlineStr"/>
      <c r="E71" s="20" t="inlineStr"/>
      <c r="F71" s="20" t="inlineStr"/>
    </row>
    <row r="72">
      <c r="A72" s="20" t="inlineStr">
        <is>
          <t>Energized for STEM Academy HS</t>
        </is>
      </c>
      <c r="B72" s="20" t="inlineStr">
        <is>
          <t>COSO</t>
        </is>
      </c>
      <c r="C72" s="20" t="n"/>
      <c r="D72" s="20" t="inlineStr"/>
      <c r="E72" s="20" t="inlineStr"/>
      <c r="F72" s="20" t="inlineStr"/>
    </row>
    <row r="73">
      <c r="A73" s="20" t="inlineStr">
        <is>
          <t>Energized for STEM Academy MS</t>
        </is>
      </c>
      <c r="B73" s="20" t="inlineStr">
        <is>
          <t>COSO</t>
        </is>
      </c>
      <c r="C73" s="20" t="n"/>
      <c r="D73" s="20" t="inlineStr"/>
      <c r="E73" s="20" t="inlineStr"/>
      <c r="F73" s="20" t="inlineStr"/>
    </row>
    <row r="74">
      <c r="A74" s="20" t="inlineStr">
        <is>
          <t>Energized MS</t>
        </is>
      </c>
      <c r="B74" s="20" t="inlineStr">
        <is>
          <t>COSO</t>
        </is>
      </c>
      <c r="C74" s="20" t="n"/>
      <c r="D74" s="20" t="inlineStr"/>
      <c r="E74" s="20" t="n"/>
      <c r="F74" s="20" t="n"/>
    </row>
    <row r="75">
      <c r="A75" s="20" t="inlineStr">
        <is>
          <t>Energy Inst HS</t>
        </is>
      </c>
      <c r="B75" s="20" t="inlineStr">
        <is>
          <t>1882</t>
        </is>
      </c>
      <c r="C75" s="20" t="n"/>
      <c r="D75" s="20" t="inlineStr"/>
      <c r="E75" s="20" t="inlineStr"/>
      <c r="F75" s="20" t="inlineStr"/>
    </row>
    <row r="76">
      <c r="A76" s="20" t="inlineStr">
        <is>
          <t>Farias ECC</t>
        </is>
      </c>
      <c r="B76" s="20" t="inlineStr">
        <is>
          <t>EAS Elementary</t>
        </is>
      </c>
      <c r="C76" s="20" t="n"/>
      <c r="D76" s="20" t="inlineStr"/>
      <c r="E76" s="20" t="inlineStr"/>
      <c r="F76" s="20" t="inlineStr"/>
    </row>
    <row r="77">
      <c r="A77" s="20" t="inlineStr">
        <is>
          <t>Field ES</t>
        </is>
      </c>
      <c r="B77" s="20" t="inlineStr">
        <is>
          <t>EAS Elementary</t>
        </is>
      </c>
      <c r="C77" s="20" t="n"/>
      <c r="D77" s="20" t="inlineStr"/>
      <c r="E77" s="20" t="inlineStr"/>
      <c r="F77" s="20" t="inlineStr"/>
    </row>
    <row r="78">
      <c r="A78" s="20" t="inlineStr">
        <is>
          <t>Fleming McReynolds MS</t>
        </is>
      </c>
      <c r="B78" s="20" t="inlineStr">
        <is>
          <t>NES Secondary</t>
        </is>
      </c>
      <c r="C78" s="20" t="n"/>
      <c r="D78" s="20" t="n"/>
      <c r="E78" s="20" t="inlineStr"/>
      <c r="F78" s="20" t="inlineStr"/>
    </row>
    <row r="79">
      <c r="A79" s="20" t="inlineStr">
        <is>
          <t>Foerster ES</t>
        </is>
      </c>
      <c r="B79" s="20" t="inlineStr">
        <is>
          <t>NES Elementary</t>
        </is>
      </c>
      <c r="C79" s="20" t="n"/>
      <c r="D79" s="20" t="inlineStr"/>
      <c r="E79" s="20" t="inlineStr"/>
      <c r="F79" s="20" t="inlineStr"/>
    </row>
    <row r="80">
      <c r="A80" s="20" t="inlineStr">
        <is>
          <t>Fondren ES</t>
        </is>
      </c>
      <c r="B80" s="20" t="inlineStr">
        <is>
          <t>EAS Elementary</t>
        </is>
      </c>
      <c r="C80" s="20" t="n"/>
      <c r="D80" s="20" t="inlineStr"/>
      <c r="E80" s="20" t="inlineStr"/>
      <c r="F80" s="20" t="inlineStr"/>
    </row>
    <row r="81">
      <c r="A81" s="20" t="inlineStr">
        <is>
          <t>Fondren MS</t>
        </is>
      </c>
      <c r="B81" s="20" t="inlineStr">
        <is>
          <t>NES Secondary</t>
        </is>
      </c>
      <c r="C81" s="20" t="n"/>
      <c r="D81" s="20" t="inlineStr"/>
      <c r="E81" s="20" t="inlineStr"/>
      <c r="F81" s="20" t="inlineStr"/>
    </row>
    <row r="82">
      <c r="A82" s="20" t="inlineStr">
        <is>
          <t>Fonville MS</t>
        </is>
      </c>
      <c r="B82" s="20" t="inlineStr">
        <is>
          <t>NES Secondary</t>
        </is>
      </c>
      <c r="C82" s="20" t="n"/>
      <c r="D82" s="20" t="inlineStr"/>
      <c r="E82" s="20" t="inlineStr"/>
      <c r="F82" s="20" t="inlineStr"/>
    </row>
    <row r="83">
      <c r="A83" s="20" t="inlineStr">
        <is>
          <t>Fonwood ECC</t>
        </is>
      </c>
      <c r="B83" s="20" t="inlineStr">
        <is>
          <t>EAS Elementary</t>
        </is>
      </c>
      <c r="C83" s="20" t="n"/>
      <c r="D83" s="20" t="inlineStr"/>
      <c r="E83" s="20" t="inlineStr"/>
      <c r="F83" s="20" t="inlineStr"/>
    </row>
    <row r="84">
      <c r="A84" s="20" t="inlineStr">
        <is>
          <t>Forest Brook MS</t>
        </is>
      </c>
      <c r="B84" s="20" t="inlineStr">
        <is>
          <t>NES Secondary</t>
        </is>
      </c>
      <c r="C84" s="20" t="n"/>
      <c r="D84" s="20" t="inlineStr"/>
      <c r="E84" s="20" t="inlineStr"/>
      <c r="F84" s="20" t="inlineStr"/>
    </row>
    <row r="85">
      <c r="A85" s="20" t="inlineStr">
        <is>
          <t>Foster ES</t>
        </is>
      </c>
      <c r="B85" s="20" t="inlineStr">
        <is>
          <t>NES Elementary</t>
        </is>
      </c>
      <c r="C85" s="20" t="n"/>
      <c r="D85" s="20" t="inlineStr"/>
      <c r="E85" s="20" t="inlineStr"/>
      <c r="F85" s="20" t="inlineStr"/>
    </row>
    <row r="86">
      <c r="A86" s="20" t="inlineStr">
        <is>
          <t>Frost ES</t>
        </is>
      </c>
      <c r="B86" s="20" t="inlineStr">
        <is>
          <t>NES Elementary</t>
        </is>
      </c>
      <c r="C86" s="20" t="n"/>
      <c r="D86" s="20" t="inlineStr"/>
      <c r="E86" s="20" t="inlineStr"/>
      <c r="F86" s="20" t="inlineStr"/>
    </row>
    <row r="87">
      <c r="A87" s="20" t="inlineStr">
        <is>
          <t>Furr HS</t>
        </is>
      </c>
      <c r="B87" s="20" t="inlineStr">
        <is>
          <t>NES Secondary</t>
        </is>
      </c>
      <c r="C87" s="20" t="n"/>
      <c r="D87" s="20" t="inlineStr"/>
      <c r="E87" s="20" t="inlineStr"/>
      <c r="F87" s="20" t="inlineStr"/>
    </row>
    <row r="88">
      <c r="A88" s="20" t="inlineStr">
        <is>
          <t>Gallegos ES</t>
        </is>
      </c>
      <c r="B88" s="20" t="inlineStr">
        <is>
          <t>NES Elementary</t>
        </is>
      </c>
      <c r="C88" s="20" t="n"/>
      <c r="D88" s="20" t="inlineStr"/>
      <c r="E88" s="20" t="inlineStr"/>
      <c r="F88" s="20" t="inlineStr"/>
    </row>
    <row r="89">
      <c r="A89" s="20" t="inlineStr">
        <is>
          <t>Garcia ES</t>
        </is>
      </c>
      <c r="B89" s="20" t="inlineStr">
        <is>
          <t>NES Elementary</t>
        </is>
      </c>
      <c r="C89" s="20" t="n"/>
      <c r="D89" s="20" t="inlineStr"/>
      <c r="E89" s="20" t="inlineStr"/>
      <c r="F89" s="20" t="inlineStr"/>
    </row>
    <row r="90">
      <c r="A90" s="20" t="inlineStr">
        <is>
          <t>Garden Oaks</t>
        </is>
      </c>
      <c r="B90" s="20" t="inlineStr">
        <is>
          <t>EAS Elementary</t>
        </is>
      </c>
      <c r="C90" s="20" t="n"/>
      <c r="D90" s="20" t="inlineStr"/>
      <c r="E90" s="20" t="inlineStr"/>
      <c r="F90" s="20" t="inlineStr"/>
    </row>
    <row r="91">
      <c r="A91" s="20" t="inlineStr">
        <is>
          <t>Garden Villas ES</t>
        </is>
      </c>
      <c r="B91" s="20" t="inlineStr">
        <is>
          <t>EAS Elementary</t>
        </is>
      </c>
      <c r="C91" s="20" t="n"/>
      <c r="D91" s="20" t="inlineStr"/>
      <c r="E91" s="20" t="n"/>
      <c r="F91" s="20" t="n"/>
    </row>
    <row r="92">
      <c r="A92" s="20" t="inlineStr">
        <is>
          <t>Golfcrest ES</t>
        </is>
      </c>
      <c r="B92" s="20" t="inlineStr">
        <is>
          <t>NES Elementary</t>
        </is>
      </c>
      <c r="C92" s="20" t="n"/>
      <c r="D92" s="20" t="inlineStr"/>
      <c r="E92" s="20" t="inlineStr"/>
      <c r="F92" s="20" t="inlineStr"/>
    </row>
    <row r="93">
      <c r="A93" s="20" t="inlineStr">
        <is>
          <t>Gregg ES</t>
        </is>
      </c>
      <c r="B93" s="20" t="inlineStr">
        <is>
          <t>NES Elementary</t>
        </is>
      </c>
      <c r="C93" s="20" t="n"/>
      <c r="D93" s="20" t="inlineStr"/>
      <c r="E93" s="20" t="inlineStr"/>
      <c r="F93" s="20" t="inlineStr"/>
    </row>
    <row r="94">
      <c r="A94" s="20" t="inlineStr">
        <is>
          <t>Gregory-Lincoln PK-8</t>
        </is>
      </c>
      <c r="B94" s="20" t="inlineStr">
        <is>
          <t>NES Elementary</t>
        </is>
      </c>
      <c r="C94" s="20" t="n"/>
      <c r="D94" s="20" t="inlineStr"/>
      <c r="E94" s="20" t="inlineStr"/>
      <c r="F94" s="20" t="inlineStr"/>
    </row>
    <row r="95">
      <c r="A95" s="20" t="inlineStr">
        <is>
          <t>Grissom ES</t>
        </is>
      </c>
      <c r="B95" s="20" t="inlineStr">
        <is>
          <t>NES Elementary</t>
        </is>
      </c>
      <c r="C95" s="20" t="n"/>
      <c r="D95" s="20" t="inlineStr"/>
      <c r="E95" s="20" t="inlineStr"/>
      <c r="F95" s="20" t="inlineStr"/>
    </row>
    <row r="96">
      <c r="A96" s="20" t="inlineStr">
        <is>
          <t>Gross ES</t>
        </is>
      </c>
      <c r="B96" s="20" t="inlineStr">
        <is>
          <t>NES Elementary</t>
        </is>
      </c>
      <c r="C96" s="20" t="n"/>
      <c r="D96" s="20" t="inlineStr"/>
      <c r="E96" s="20" t="inlineStr"/>
      <c r="F96" s="20" t="inlineStr"/>
    </row>
    <row r="97">
      <c r="A97" s="20" t="inlineStr">
        <is>
          <t>HAIS HS</t>
        </is>
      </c>
      <c r="B97" s="20" t="inlineStr">
        <is>
          <t>1882</t>
        </is>
      </c>
      <c r="C97" s="20" t="n"/>
      <c r="D97" s="20" t="n"/>
      <c r="E97" s="20" t="inlineStr"/>
      <c r="F97" s="20" t="inlineStr"/>
    </row>
    <row r="98">
      <c r="A98" s="20" t="inlineStr">
        <is>
          <t>Halpin ECC</t>
        </is>
      </c>
      <c r="B98" s="20" t="inlineStr">
        <is>
          <t>EAS Elementary</t>
        </is>
      </c>
      <c r="C98" s="20" t="n"/>
      <c r="D98" s="20" t="inlineStr"/>
      <c r="E98" s="20" t="inlineStr"/>
      <c r="F98" s="20" t="inlineStr"/>
    </row>
    <row r="99">
      <c r="A99" s="20" t="inlineStr">
        <is>
          <t>Hamilton MS</t>
        </is>
      </c>
      <c r="B99" s="20" t="inlineStr">
        <is>
          <t>EAS Secondary</t>
        </is>
      </c>
      <c r="C99" s="20" t="n"/>
      <c r="D99" s="20" t="inlineStr"/>
      <c r="E99" s="20" t="inlineStr">
        <is>
          <t>Yes</t>
        </is>
      </c>
      <c r="F99" s="20" t="inlineStr">
        <is>
          <t>Active</t>
        </is>
      </c>
    </row>
    <row r="100">
      <c r="A100" s="20" t="inlineStr">
        <is>
          <t>Harris JR ES</t>
        </is>
      </c>
      <c r="B100" s="20" t="inlineStr">
        <is>
          <t>NES Elementary</t>
        </is>
      </c>
      <c r="C100" s="20" t="n"/>
      <c r="D100" s="20" t="inlineStr"/>
      <c r="E100" s="20" t="n"/>
      <c r="F100" s="20" t="n"/>
    </row>
    <row r="101">
      <c r="A101" s="20" t="inlineStr">
        <is>
          <t>Harris RP ES</t>
        </is>
      </c>
      <c r="B101" s="20" t="inlineStr">
        <is>
          <t>NES Elementary</t>
        </is>
      </c>
      <c r="C101" s="20" t="n"/>
      <c r="D101" s="20" t="inlineStr"/>
      <c r="E101" s="20" t="inlineStr"/>
      <c r="F101" s="20" t="inlineStr"/>
    </row>
    <row r="102">
      <c r="A102" s="20" t="inlineStr">
        <is>
          <t>Hartman MS</t>
        </is>
      </c>
      <c r="B102" s="20" t="inlineStr">
        <is>
          <t>NES Secondary</t>
        </is>
      </c>
      <c r="C102" s="20" t="n"/>
      <c r="D102" s="20" t="inlineStr"/>
      <c r="E102" s="20" t="inlineStr"/>
      <c r="F102" s="20" t="inlineStr"/>
    </row>
    <row r="103">
      <c r="A103" s="20" t="inlineStr">
        <is>
          <t>Hartsfield ES</t>
        </is>
      </c>
      <c r="B103" s="20" t="inlineStr">
        <is>
          <t>NES Elementary</t>
        </is>
      </c>
      <c r="C103" s="20" t="n"/>
      <c r="D103" s="20" t="inlineStr"/>
      <c r="E103" s="20" t="inlineStr"/>
      <c r="F103" s="20" t="inlineStr"/>
    </row>
    <row r="104">
      <c r="A104" s="20" t="inlineStr">
        <is>
          <t>Harvard ES</t>
        </is>
      </c>
      <c r="B104" s="20" t="inlineStr">
        <is>
          <t>EAS Elementary</t>
        </is>
      </c>
      <c r="C104" s="20" t="n"/>
      <c r="D104" s="20" t="inlineStr"/>
      <c r="E104" s="20" t="inlineStr">
        <is>
          <t>Yes</t>
        </is>
      </c>
      <c r="F104" s="20" t="inlineStr">
        <is>
          <t>Active</t>
        </is>
      </c>
    </row>
    <row r="105">
      <c r="A105" s="20" t="inlineStr">
        <is>
          <t>HCC Lifeskills</t>
        </is>
      </c>
      <c r="B105" s="20" t="inlineStr">
        <is>
          <t>OOA</t>
        </is>
      </c>
      <c r="C105" s="20" t="n"/>
      <c r="D105" s="20" t="inlineStr"/>
      <c r="E105" s="20" t="n"/>
      <c r="F105" s="20" t="n"/>
    </row>
    <row r="106">
      <c r="A106" s="20" t="inlineStr">
        <is>
          <t>Heights HS</t>
        </is>
      </c>
      <c r="B106" s="20" t="inlineStr">
        <is>
          <t>EAS Secondary</t>
        </is>
      </c>
      <c r="C106" s="20" t="n"/>
      <c r="D106" s="20" t="inlineStr"/>
      <c r="E106" s="20" t="inlineStr"/>
      <c r="F106" s="20" t="inlineStr"/>
    </row>
    <row r="107">
      <c r="A107" s="20" t="inlineStr">
        <is>
          <t>Helms ES</t>
        </is>
      </c>
      <c r="B107" s="20" t="inlineStr">
        <is>
          <t>EAS Elementary</t>
        </is>
      </c>
      <c r="C107" s="20" t="n"/>
      <c r="D107" s="20" t="inlineStr"/>
      <c r="E107" s="20" t="inlineStr">
        <is>
          <t>Yes</t>
        </is>
      </c>
      <c r="F107" s="20" t="inlineStr">
        <is>
          <t>Inactive</t>
        </is>
      </c>
    </row>
    <row r="108">
      <c r="A108" s="20" t="inlineStr">
        <is>
          <t>Henderson JP ES</t>
        </is>
      </c>
      <c r="B108" s="20" t="inlineStr">
        <is>
          <t>EAS Elementary</t>
        </is>
      </c>
      <c r="C108" s="20" t="n"/>
      <c r="D108" s="20" t="inlineStr"/>
      <c r="E108" s="20" t="n"/>
      <c r="F108" s="20" t="n"/>
    </row>
    <row r="109">
      <c r="A109" s="20" t="inlineStr">
        <is>
          <t>Henry MS</t>
        </is>
      </c>
      <c r="B109" s="20" t="inlineStr">
        <is>
          <t>NES Secondary</t>
        </is>
      </c>
      <c r="C109" s="20" t="n"/>
      <c r="D109" s="20" t="inlineStr"/>
      <c r="E109" s="20" t="inlineStr"/>
      <c r="F109" s="20" t="inlineStr"/>
    </row>
    <row r="110">
      <c r="A110" s="20" t="inlineStr">
        <is>
          <t>Herod ES</t>
        </is>
      </c>
      <c r="B110" s="20" t="inlineStr">
        <is>
          <t>EAS Elementary</t>
        </is>
      </c>
      <c r="C110" s="20" t="n"/>
      <c r="D110" s="20" t="n"/>
      <c r="E110" s="20" t="inlineStr"/>
      <c r="F110" s="20" t="inlineStr"/>
    </row>
    <row r="111">
      <c r="A111" s="20" t="inlineStr">
        <is>
          <t>Herrera ES</t>
        </is>
      </c>
      <c r="B111" s="20" t="inlineStr">
        <is>
          <t>EAS Elementary</t>
        </is>
      </c>
      <c r="C111" s="20" t="n"/>
      <c r="D111" s="20" t="inlineStr"/>
      <c r="E111" s="20" t="inlineStr"/>
      <c r="F111" s="20" t="inlineStr"/>
    </row>
    <row r="112">
      <c r="A112" s="20" t="inlineStr">
        <is>
          <t>High School Ahead Acad MS</t>
        </is>
      </c>
      <c r="B112" s="20" t="inlineStr">
        <is>
          <t>EAS Secondary</t>
        </is>
      </c>
      <c r="C112" s="20" t="n"/>
      <c r="D112" s="20" t="n"/>
      <c r="E112" s="20" t="inlineStr"/>
      <c r="F112" s="20" t="inlineStr"/>
    </row>
    <row r="113">
      <c r="A113" s="20" t="inlineStr">
        <is>
          <t>Highland Heights ES</t>
        </is>
      </c>
      <c r="B113" s="20" t="inlineStr">
        <is>
          <t>NES Elementary</t>
        </is>
      </c>
      <c r="C113" s="20" t="n"/>
      <c r="D113" s="20" t="inlineStr"/>
      <c r="E113" s="20" t="inlineStr"/>
      <c r="F113" s="20" t="inlineStr"/>
    </row>
    <row r="114">
      <c r="A114" s="20" t="inlineStr">
        <is>
          <t>Hilliard ES</t>
        </is>
      </c>
      <c r="B114" s="20" t="inlineStr">
        <is>
          <t>NES Elementary</t>
        </is>
      </c>
      <c r="C114" s="20" t="n"/>
      <c r="D114" s="20" t="inlineStr"/>
      <c r="E114" s="20" t="inlineStr"/>
      <c r="F114" s="20" t="inlineStr"/>
    </row>
    <row r="115">
      <c r="A115" s="20" t="inlineStr">
        <is>
          <t>Hines-Caldwell ES</t>
        </is>
      </c>
      <c r="B115" s="20" t="inlineStr">
        <is>
          <t>EAS Elementary</t>
        </is>
      </c>
      <c r="C115" s="20" t="n"/>
      <c r="D115" s="20" t="inlineStr"/>
      <c r="E115" s="20" t="inlineStr"/>
      <c r="F115" s="20" t="inlineStr"/>
    </row>
    <row r="116">
      <c r="A116" s="20" t="inlineStr">
        <is>
          <t>Hobby ES</t>
        </is>
      </c>
      <c r="B116" s="20" t="inlineStr">
        <is>
          <t>NES Elementary</t>
        </is>
      </c>
      <c r="C116" s="20" t="n"/>
      <c r="D116" s="20" t="inlineStr"/>
      <c r="E116" s="20" t="inlineStr"/>
      <c r="F116" s="20" t="inlineStr"/>
    </row>
    <row r="117">
      <c r="A117" s="20" t="inlineStr">
        <is>
          <t>Hogg MS</t>
        </is>
      </c>
      <c r="B117" s="20" t="inlineStr">
        <is>
          <t>EAS Secondary</t>
        </is>
      </c>
      <c r="C117" s="20" t="n"/>
      <c r="D117" s="20" t="inlineStr"/>
      <c r="E117" s="20" t="inlineStr">
        <is>
          <t>Yes</t>
        </is>
      </c>
      <c r="F117" s="20" t="inlineStr">
        <is>
          <t>Good Standing</t>
        </is>
      </c>
    </row>
    <row r="118">
      <c r="A118" s="20" t="inlineStr">
        <is>
          <t>Holland MS</t>
        </is>
      </c>
      <c r="B118" s="20" t="inlineStr">
        <is>
          <t>NES Secondary</t>
        </is>
      </c>
      <c r="C118" s="20" t="n"/>
      <c r="D118" s="20" t="inlineStr"/>
      <c r="E118" s="20" t="n"/>
      <c r="F118" s="20" t="n"/>
    </row>
    <row r="119">
      <c r="A119" s="20" t="inlineStr">
        <is>
          <t>Horn ES</t>
        </is>
      </c>
      <c r="B119" s="20" t="inlineStr">
        <is>
          <t>EAS Elementary</t>
        </is>
      </c>
      <c r="C119" s="20" t="n"/>
      <c r="D119" s="20" t="inlineStr"/>
      <c r="E119" s="20" t="inlineStr"/>
      <c r="F119" s="20" t="inlineStr"/>
    </row>
    <row r="120">
      <c r="A120" s="20" t="inlineStr">
        <is>
          <t>Houston MSTC HS</t>
        </is>
      </c>
      <c r="B120" s="20" t="inlineStr">
        <is>
          <t>NES Secondary</t>
        </is>
      </c>
      <c r="C120" s="20" t="n"/>
      <c r="D120" s="20" t="inlineStr"/>
      <c r="E120" s="20" t="inlineStr"/>
      <c r="F120" s="20" t="inlineStr"/>
    </row>
    <row r="121">
      <c r="A121" s="20" t="inlineStr">
        <is>
          <t>HSLJ</t>
        </is>
      </c>
      <c r="B121" s="20" t="inlineStr">
        <is>
          <t>EAS Secondary</t>
        </is>
      </c>
      <c r="C121" s="20" t="n"/>
      <c r="D121" s="20" t="inlineStr"/>
      <c r="E121" s="20" t="inlineStr"/>
      <c r="F121" s="20" t="inlineStr"/>
    </row>
    <row r="122">
      <c r="A122" s="20" t="inlineStr">
        <is>
          <t>Isaacs ES</t>
        </is>
      </c>
      <c r="B122" s="20" t="inlineStr">
        <is>
          <t>NES Elementary</t>
        </is>
      </c>
      <c r="C122" s="20" t="n"/>
      <c r="D122" s="20" t="inlineStr"/>
      <c r="E122" s="20" t="inlineStr"/>
      <c r="F122" s="20" t="inlineStr"/>
    </row>
    <row r="123">
      <c r="A123" s="20" t="inlineStr">
        <is>
          <t>Janowski ES</t>
        </is>
      </c>
      <c r="B123" s="20" t="inlineStr">
        <is>
          <t>EAS Elementary</t>
        </is>
      </c>
      <c r="C123" s="20" t="n"/>
      <c r="D123" s="20" t="inlineStr"/>
      <c r="E123" s="20" t="inlineStr"/>
      <c r="F123" s="20" t="inlineStr"/>
    </row>
    <row r="124">
      <c r="A124" s="20" t="inlineStr">
        <is>
          <t>Jefferson ES</t>
        </is>
      </c>
      <c r="B124" s="20" t="inlineStr">
        <is>
          <t>NES Elementary</t>
        </is>
      </c>
      <c r="C124" s="20" t="n"/>
      <c r="D124" s="20" t="inlineStr"/>
      <c r="E124" s="20" t="inlineStr"/>
      <c r="F124" s="20" t="inlineStr"/>
    </row>
    <row r="125">
      <c r="A125" s="20" t="inlineStr">
        <is>
          <t>JJAEP</t>
        </is>
      </c>
      <c r="B125" s="20" t="inlineStr">
        <is>
          <t>COSO</t>
        </is>
      </c>
      <c r="C125" s="20" t="n"/>
      <c r="D125" s="20" t="inlineStr"/>
      <c r="E125" s="20" t="inlineStr"/>
      <c r="F125" s="20" t="inlineStr"/>
    </row>
    <row r="126">
      <c r="A126" s="20" t="inlineStr">
        <is>
          <t>Jones HS</t>
        </is>
      </c>
      <c r="B126" s="20" t="inlineStr">
        <is>
          <t>EAS Secondary</t>
        </is>
      </c>
      <c r="C126" s="20" t="n"/>
      <c r="D126" s="20" t="inlineStr"/>
      <c r="E126" s="20" t="inlineStr"/>
      <c r="F126" s="20" t="inlineStr"/>
    </row>
    <row r="127">
      <c r="A127" s="20" t="inlineStr">
        <is>
          <t>Kashmere Gardens ES</t>
        </is>
      </c>
      <c r="B127" s="20" t="inlineStr">
        <is>
          <t>NES Elementary</t>
        </is>
      </c>
      <c r="C127" s="20" t="n"/>
      <c r="D127" s="20" t="inlineStr"/>
      <c r="E127" s="20" t="inlineStr"/>
      <c r="F127" s="20" t="inlineStr"/>
    </row>
    <row r="128">
      <c r="A128" s="20" t="inlineStr">
        <is>
          <t>Kashmere HS</t>
        </is>
      </c>
      <c r="B128" s="20" t="inlineStr">
        <is>
          <t>NES Secondary</t>
        </is>
      </c>
      <c r="C128" s="20" t="n"/>
      <c r="D128" s="20" t="inlineStr"/>
      <c r="E128" s="20" t="inlineStr"/>
      <c r="F128" s="20" t="inlineStr"/>
    </row>
    <row r="129">
      <c r="A129" s="20" t="inlineStr">
        <is>
          <t>Kelso ES</t>
        </is>
      </c>
      <c r="B129" s="20" t="inlineStr">
        <is>
          <t>NES Elementary</t>
        </is>
      </c>
      <c r="C129" s="20" t="n"/>
      <c r="D129" s="20" t="inlineStr"/>
      <c r="E129" s="20" t="inlineStr"/>
      <c r="F129" s="20" t="inlineStr"/>
    </row>
    <row r="130">
      <c r="A130" s="20" t="inlineStr">
        <is>
          <t>Kennedy ES</t>
        </is>
      </c>
      <c r="B130" s="20" t="inlineStr">
        <is>
          <t>NES Elementary</t>
        </is>
      </c>
      <c r="C130" s="20" t="n"/>
      <c r="D130" s="20" t="inlineStr"/>
      <c r="E130" s="20" t="inlineStr"/>
      <c r="F130" s="20" t="inlineStr"/>
    </row>
    <row r="131">
      <c r="A131" s="20" t="inlineStr">
        <is>
          <t>Ketelsen ES</t>
        </is>
      </c>
      <c r="B131" s="20" t="inlineStr">
        <is>
          <t>NES Elementary</t>
        </is>
      </c>
      <c r="C131" s="20" t="n"/>
      <c r="D131" s="20" t="inlineStr"/>
      <c r="E131" s="20" t="inlineStr">
        <is>
          <t>Yes</t>
        </is>
      </c>
      <c r="F131" s="20" t="inlineStr">
        <is>
          <t>Inactive</t>
        </is>
      </c>
    </row>
    <row r="132">
      <c r="A132" s="20" t="inlineStr">
        <is>
          <t>Key MS</t>
        </is>
      </c>
      <c r="B132" s="20" t="inlineStr">
        <is>
          <t>NES Secondary</t>
        </is>
      </c>
      <c r="C132" s="20" t="n"/>
      <c r="D132" s="20" t="inlineStr"/>
      <c r="E132" s="20" t="n"/>
      <c r="F132" s="20" t="n"/>
    </row>
    <row r="133">
      <c r="A133" s="20" t="inlineStr">
        <is>
          <t>Kinder HSPVA</t>
        </is>
      </c>
      <c r="B133" s="20" t="inlineStr">
        <is>
          <t>1882</t>
        </is>
      </c>
      <c r="C133" s="20" t="n"/>
      <c r="D133" s="20" t="inlineStr"/>
      <c r="E133" s="20" t="inlineStr"/>
      <c r="F133" s="20" t="inlineStr"/>
    </row>
    <row r="134">
      <c r="A134" s="20" t="inlineStr">
        <is>
          <t>Kolter ES</t>
        </is>
      </c>
      <c r="B134" s="20" t="inlineStr">
        <is>
          <t>EAS Elementary</t>
        </is>
      </c>
      <c r="C134" s="20" t="n"/>
      <c r="D134" s="20" t="inlineStr"/>
      <c r="E134" s="20" t="inlineStr"/>
      <c r="F134" s="20" t="inlineStr"/>
    </row>
    <row r="135">
      <c r="A135" s="20" t="inlineStr">
        <is>
          <t>Lamar HS</t>
        </is>
      </c>
      <c r="B135" s="20" t="inlineStr">
        <is>
          <t>EAS Secondary</t>
        </is>
      </c>
      <c r="C135" s="20" t="n"/>
      <c r="D135" s="20" t="inlineStr"/>
      <c r="E135" s="20" t="inlineStr"/>
      <c r="F135" s="20" t="inlineStr"/>
    </row>
    <row r="136">
      <c r="A136" s="20" t="inlineStr">
        <is>
          <t>Lanier MS</t>
        </is>
      </c>
      <c r="B136" s="20" t="inlineStr">
        <is>
          <t>EAS Secondary</t>
        </is>
      </c>
      <c r="C136" s="20" t="n"/>
      <c r="D136" s="20" t="inlineStr"/>
      <c r="E136" s="20" t="inlineStr"/>
      <c r="F136" s="20" t="inlineStr"/>
    </row>
    <row r="137">
      <c r="A137" s="20" t="inlineStr">
        <is>
          <t>Lantrip ES</t>
        </is>
      </c>
      <c r="B137" s="20" t="inlineStr">
        <is>
          <t>EAS Elementary</t>
        </is>
      </c>
      <c r="C137" s="20" t="n"/>
      <c r="D137" s="20" t="inlineStr"/>
      <c r="E137" s="20" t="inlineStr"/>
      <c r="F137" s="20" t="inlineStr"/>
    </row>
    <row r="138">
      <c r="A138" s="20" t="inlineStr">
        <is>
          <t>Laurenzo ECC</t>
        </is>
      </c>
      <c r="B138" s="20" t="inlineStr">
        <is>
          <t>EAS Elementary</t>
        </is>
      </c>
      <c r="C138" s="20" t="n"/>
      <c r="D138" s="20" t="inlineStr"/>
      <c r="E138" s="20" t="inlineStr"/>
      <c r="F138" s="20" t="inlineStr"/>
    </row>
    <row r="139">
      <c r="A139" s="20" t="inlineStr">
        <is>
          <t>Law ES</t>
        </is>
      </c>
      <c r="B139" s="20" t="inlineStr">
        <is>
          <t>NES Elementary</t>
        </is>
      </c>
      <c r="C139" s="20" t="n"/>
      <c r="D139" s="20" t="inlineStr"/>
      <c r="E139" s="20" t="inlineStr"/>
      <c r="F139" s="20" t="inlineStr"/>
    </row>
    <row r="140">
      <c r="A140" s="20" t="inlineStr">
        <is>
          <t>Lawson MS</t>
        </is>
      </c>
      <c r="B140" s="20" t="inlineStr">
        <is>
          <t>NES Secondary</t>
        </is>
      </c>
      <c r="C140" s="20" t="n"/>
      <c r="D140" s="20" t="inlineStr"/>
      <c r="E140" s="20" t="inlineStr"/>
      <c r="F140" s="20" t="inlineStr"/>
    </row>
    <row r="141">
      <c r="A141" s="20" t="inlineStr">
        <is>
          <t>Leland YMCPA</t>
        </is>
      </c>
      <c r="B141" s="20" t="inlineStr">
        <is>
          <t>EAS Secondary</t>
        </is>
      </c>
      <c r="C141" s="20" t="n"/>
      <c r="D141" s="20" t="inlineStr"/>
      <c r="E141" s="20" t="inlineStr"/>
      <c r="F141" s="20" t="inlineStr"/>
    </row>
    <row r="142">
      <c r="A142" s="20" t="inlineStr">
        <is>
          <t>Lewis ES</t>
        </is>
      </c>
      <c r="B142" s="20" t="inlineStr">
        <is>
          <t>NES Elementary</t>
        </is>
      </c>
      <c r="C142" s="20" t="n"/>
      <c r="D142" s="20" t="n"/>
      <c r="E142" s="20" t="inlineStr"/>
      <c r="F142" s="20" t="inlineStr"/>
    </row>
    <row r="143">
      <c r="A143" s="20" t="inlineStr">
        <is>
          <t>Liberty HS</t>
        </is>
      </c>
      <c r="B143" s="20" t="inlineStr">
        <is>
          <t>EAS Secondary</t>
        </is>
      </c>
      <c r="C143" s="20" t="n"/>
      <c r="D143" s="20" t="inlineStr"/>
      <c r="E143" s="20" t="inlineStr"/>
      <c r="F143" s="20" t="inlineStr"/>
    </row>
    <row r="144">
      <c r="A144" s="20" t="inlineStr">
        <is>
          <t>Lockhart ES</t>
        </is>
      </c>
      <c r="B144" s="20" t="inlineStr">
        <is>
          <t>NES Elementary</t>
        </is>
      </c>
      <c r="C144" s="20" t="n"/>
      <c r="D144" s="20" t="inlineStr"/>
      <c r="E144" s="20" t="inlineStr"/>
      <c r="F144" s="20" t="inlineStr"/>
    </row>
    <row r="145">
      <c r="A145" s="20" t="inlineStr">
        <is>
          <t>Long Acad</t>
        </is>
      </c>
      <c r="B145" s="20" t="inlineStr">
        <is>
          <t>NES Secondary</t>
        </is>
      </c>
      <c r="C145" s="20" t="n"/>
      <c r="D145" s="20" t="inlineStr"/>
      <c r="E145" s="20" t="inlineStr"/>
      <c r="F145" s="20" t="inlineStr"/>
    </row>
    <row r="146">
      <c r="A146" s="20" t="inlineStr">
        <is>
          <t>Longfellow ES</t>
        </is>
      </c>
      <c r="B146" s="20" t="inlineStr">
        <is>
          <t>NES Elementary</t>
        </is>
      </c>
      <c r="C146" s="20" t="n"/>
      <c r="D146" s="20" t="inlineStr"/>
      <c r="E146" s="20" t="inlineStr"/>
      <c r="F146" s="20" t="inlineStr"/>
    </row>
    <row r="147">
      <c r="A147" s="20" t="inlineStr">
        <is>
          <t>Looscan ES</t>
        </is>
      </c>
      <c r="B147" s="20" t="inlineStr">
        <is>
          <t>NES Elementary</t>
        </is>
      </c>
      <c r="C147" s="20" t="n"/>
      <c r="D147" s="20" t="n"/>
      <c r="E147" s="20" t="inlineStr"/>
      <c r="F147" s="20" t="inlineStr"/>
    </row>
    <row r="148">
      <c r="A148" s="20" t="inlineStr">
        <is>
          <t>Love ES</t>
        </is>
      </c>
      <c r="B148" s="20" t="inlineStr">
        <is>
          <t>EAS Elementary</t>
        </is>
      </c>
      <c r="C148" s="20" t="n"/>
      <c r="D148" s="20" t="inlineStr"/>
      <c r="E148" s="20" t="inlineStr"/>
      <c r="F148" s="20" t="inlineStr"/>
    </row>
    <row r="149">
      <c r="A149" s="20" t="inlineStr">
        <is>
          <t>Lovett ES</t>
        </is>
      </c>
      <c r="B149" s="20" t="inlineStr">
        <is>
          <t>EAS Elementary</t>
        </is>
      </c>
      <c r="C149" s="20" t="n"/>
      <c r="D149" s="20" t="inlineStr"/>
      <c r="E149" s="20" t="inlineStr"/>
      <c r="F149" s="20" t="inlineStr"/>
    </row>
    <row r="150">
      <c r="A150" s="20" t="inlineStr">
        <is>
          <t>Lyons ES</t>
        </is>
      </c>
      <c r="B150" s="20" t="inlineStr">
        <is>
          <t>EAS Elementary</t>
        </is>
      </c>
      <c r="C150" s="20" t="n"/>
      <c r="D150" s="20" t="n"/>
      <c r="E150" s="20" t="inlineStr"/>
      <c r="F150" s="20" t="inlineStr"/>
    </row>
    <row r="151">
      <c r="A151" s="20" t="inlineStr">
        <is>
          <t>MacGregor ES</t>
        </is>
      </c>
      <c r="B151" s="20" t="inlineStr">
        <is>
          <t>EAS Elementary</t>
        </is>
      </c>
      <c r="C151" s="20" t="n"/>
      <c r="D151" s="20" t="inlineStr"/>
      <c r="E151" s="20" t="inlineStr"/>
      <c r="F151" s="20" t="inlineStr"/>
    </row>
    <row r="152">
      <c r="A152" s="20" t="inlineStr">
        <is>
          <t>Mading ES</t>
        </is>
      </c>
      <c r="B152" s="20" t="inlineStr">
        <is>
          <t>NES Elementary</t>
        </is>
      </c>
      <c r="C152" s="20" t="n"/>
      <c r="D152" s="20" t="inlineStr"/>
      <c r="E152" s="20" t="inlineStr"/>
      <c r="F152" s="20" t="inlineStr"/>
    </row>
    <row r="153">
      <c r="A153" s="20" t="inlineStr">
        <is>
          <t>Madison HS</t>
        </is>
      </c>
      <c r="B153" s="20" t="inlineStr">
        <is>
          <t>NES Secondary</t>
        </is>
      </c>
      <c r="C153" s="20" t="n"/>
      <c r="D153" s="20" t="inlineStr"/>
      <c r="E153" s="20" t="inlineStr"/>
      <c r="F153" s="20" t="inlineStr"/>
    </row>
    <row r="154">
      <c r="A154" s="20" t="inlineStr">
        <is>
          <t>Mandarin Immersion Magnet</t>
        </is>
      </c>
      <c r="B154" s="20" t="inlineStr">
        <is>
          <t>EAS Elementary</t>
        </is>
      </c>
      <c r="C154" s="20" t="n"/>
      <c r="D154" s="20" t="inlineStr"/>
      <c r="E154" s="20" t="n"/>
      <c r="F154" s="20" t="n"/>
    </row>
    <row r="155">
      <c r="A155" s="20" t="inlineStr">
        <is>
          <t>Marshall ES</t>
        </is>
      </c>
      <c r="B155" s="20" t="inlineStr">
        <is>
          <t>NES Elementary</t>
        </is>
      </c>
      <c r="C155" s="20" t="n"/>
      <c r="D155" s="20" t="inlineStr"/>
      <c r="E155" s="20" t="inlineStr"/>
      <c r="F155" s="20" t="inlineStr"/>
    </row>
    <row r="156">
      <c r="A156" s="20" t="inlineStr">
        <is>
          <t>Marshall MS</t>
        </is>
      </c>
      <c r="B156" s="20" t="inlineStr">
        <is>
          <t>NES Secondary</t>
        </is>
      </c>
      <c r="C156" s="20" t="n"/>
      <c r="D156" s="20" t="n"/>
      <c r="E156" s="20" t="inlineStr"/>
      <c r="F156" s="20" t="inlineStr"/>
    </row>
    <row r="157">
      <c r="A157" s="20" t="inlineStr">
        <is>
          <t>Martinez C ES</t>
        </is>
      </c>
      <c r="B157" s="20" t="inlineStr">
        <is>
          <t>NES Elementary</t>
        </is>
      </c>
      <c r="C157" s="20" t="n"/>
      <c r="D157" s="20" t="inlineStr"/>
      <c r="E157" s="20" t="inlineStr"/>
      <c r="F157" s="20" t="inlineStr"/>
    </row>
    <row r="158">
      <c r="A158" s="20" t="inlineStr">
        <is>
          <t>Martinez R ES</t>
        </is>
      </c>
      <c r="B158" s="20" t="inlineStr">
        <is>
          <t>NES Elementary</t>
        </is>
      </c>
      <c r="C158" s="20" t="n"/>
      <c r="D158" s="20" t="inlineStr"/>
      <c r="E158" s="20" t="inlineStr"/>
      <c r="F158" s="20" t="inlineStr"/>
    </row>
    <row r="159">
      <c r="A159" s="20" t="inlineStr">
        <is>
          <t>McGowen ES</t>
        </is>
      </c>
      <c r="B159" s="20" t="inlineStr">
        <is>
          <t>NES Elementary</t>
        </is>
      </c>
      <c r="C159" s="20" t="n"/>
      <c r="D159" s="20" t="n"/>
      <c r="E159" s="20" t="inlineStr"/>
      <c r="F159" s="20" t="inlineStr"/>
    </row>
    <row r="160">
      <c r="A160" s="20" t="inlineStr">
        <is>
          <t>McNamara ES</t>
        </is>
      </c>
      <c r="B160" s="20" t="inlineStr">
        <is>
          <t>EAS Elementary</t>
        </is>
      </c>
      <c r="C160" s="20" t="n"/>
      <c r="D160" s="20" t="inlineStr"/>
      <c r="E160" s="20" t="inlineStr"/>
      <c r="F160" s="20" t="inlineStr"/>
    </row>
    <row r="161">
      <c r="A161" s="20" t="inlineStr">
        <is>
          <t>Memorial ES</t>
        </is>
      </c>
      <c r="B161" s="20" t="inlineStr">
        <is>
          <t>EAS Elementary</t>
        </is>
      </c>
      <c r="C161" s="20" t="n"/>
      <c r="D161" s="20" t="inlineStr"/>
      <c r="E161" s="20" t="inlineStr"/>
      <c r="F161" s="20" t="inlineStr"/>
    </row>
    <row r="162">
      <c r="A162" s="20" t="inlineStr">
        <is>
          <t>Meyerland MS</t>
        </is>
      </c>
      <c r="B162" s="20" t="inlineStr">
        <is>
          <t>EAS Secondary</t>
        </is>
      </c>
      <c r="C162" s="20" t="n"/>
      <c r="D162" s="20" t="inlineStr"/>
      <c r="E162" s="20" t="inlineStr"/>
      <c r="F162" s="20" t="inlineStr"/>
    </row>
    <row r="163">
      <c r="A163" s="20" t="inlineStr">
        <is>
          <t>Middle College HS - Fraga</t>
        </is>
      </c>
      <c r="B163" s="20" t="inlineStr">
        <is>
          <t>EAS Secondary</t>
        </is>
      </c>
      <c r="C163" s="20" t="n"/>
      <c r="D163" s="20" t="inlineStr"/>
      <c r="E163" s="20" t="inlineStr"/>
      <c r="F163" s="20" t="inlineStr"/>
    </row>
    <row r="164">
      <c r="A164" s="20" t="inlineStr">
        <is>
          <t>Milby HS</t>
        </is>
      </c>
      <c r="B164" s="20" t="inlineStr">
        <is>
          <t>EAS Secondary</t>
        </is>
      </c>
      <c r="C164" s="20" t="n"/>
      <c r="D164" s="20" t="inlineStr"/>
      <c r="E164" s="20" t="inlineStr"/>
      <c r="F164" s="20" t="inlineStr"/>
    </row>
    <row r="165">
      <c r="A165" s="20" t="inlineStr">
        <is>
          <t>Milne ES</t>
        </is>
      </c>
      <c r="B165" s="20" t="inlineStr">
        <is>
          <t>NES Elementary</t>
        </is>
      </c>
      <c r="C165" s="20" t="n"/>
      <c r="D165" s="20" t="inlineStr"/>
      <c r="E165" s="20" t="inlineStr"/>
      <c r="F165" s="20" t="inlineStr"/>
    </row>
    <row r="166">
      <c r="A166" s="20" t="inlineStr">
        <is>
          <t>Mistral ECC</t>
        </is>
      </c>
      <c r="B166" s="20" t="inlineStr">
        <is>
          <t>EAS Elementary</t>
        </is>
      </c>
      <c r="C166" s="20" t="n"/>
      <c r="D166" s="20" t="inlineStr"/>
      <c r="E166" s="20" t="inlineStr"/>
      <c r="F166" s="20" t="inlineStr"/>
    </row>
    <row r="167">
      <c r="A167" s="20" t="inlineStr">
        <is>
          <t>Mitchell ES</t>
        </is>
      </c>
      <c r="B167" s="20" t="inlineStr">
        <is>
          <t>NES Elementary</t>
        </is>
      </c>
      <c r="C167" s="20" t="n"/>
      <c r="D167" s="20" t="inlineStr"/>
      <c r="E167" s="20" t="n"/>
      <c r="F167" s="20" t="n"/>
    </row>
    <row r="168">
      <c r="A168" s="20" t="inlineStr">
        <is>
          <t>MLK ECC</t>
        </is>
      </c>
      <c r="B168" s="20" t="inlineStr">
        <is>
          <t>EAS Elementary</t>
        </is>
      </c>
      <c r="C168" s="20" t="n"/>
      <c r="D168" s="20" t="inlineStr"/>
      <c r="E168" s="20" t="inlineStr"/>
      <c r="F168" s="20" t="inlineStr"/>
    </row>
    <row r="169">
      <c r="A169" s="20" t="inlineStr">
        <is>
          <t>Montgomery ES</t>
        </is>
      </c>
      <c r="B169" s="20" t="inlineStr">
        <is>
          <t>NES Elementary</t>
        </is>
      </c>
      <c r="C169" s="20" t="n"/>
      <c r="D169" s="20" t="inlineStr"/>
      <c r="E169" s="20" t="inlineStr"/>
      <c r="F169" s="20" t="inlineStr"/>
    </row>
    <row r="170">
      <c r="A170" s="20" t="inlineStr">
        <is>
          <t>Moreno ES</t>
        </is>
      </c>
      <c r="B170" s="20" t="inlineStr">
        <is>
          <t>EAS Elementary</t>
        </is>
      </c>
      <c r="C170" s="20" t="n"/>
      <c r="D170" s="20" t="inlineStr"/>
      <c r="E170" s="20" t="inlineStr"/>
      <c r="F170" s="20" t="inlineStr"/>
    </row>
    <row r="171">
      <c r="A171" s="20" t="inlineStr">
        <is>
          <t>Navarro MS</t>
        </is>
      </c>
      <c r="B171" s="20" t="inlineStr">
        <is>
          <t>NES Secondary</t>
        </is>
      </c>
      <c r="C171" s="20" t="n"/>
      <c r="D171" s="20" t="inlineStr"/>
      <c r="E171" s="20" t="inlineStr"/>
      <c r="F171" s="20" t="inlineStr"/>
    </row>
    <row r="172">
      <c r="A172" s="20" t="inlineStr">
        <is>
          <t>Neff ECC</t>
        </is>
      </c>
      <c r="B172" s="20" t="inlineStr">
        <is>
          <t>EAS Elementary</t>
        </is>
      </c>
      <c r="C172" s="20" t="n"/>
      <c r="D172" s="20" t="inlineStr"/>
      <c r="E172" s="20" t="inlineStr"/>
      <c r="F172" s="20" t="inlineStr"/>
    </row>
    <row r="173">
      <c r="A173" s="20" t="inlineStr">
        <is>
          <t>Neff ES</t>
        </is>
      </c>
      <c r="B173" s="20" t="inlineStr">
        <is>
          <t>NES Elementary</t>
        </is>
      </c>
      <c r="C173" s="20" t="n"/>
      <c r="D173" s="20" t="inlineStr"/>
      <c r="E173" s="20" t="inlineStr"/>
      <c r="F173" s="20" t="inlineStr"/>
    </row>
    <row r="174">
      <c r="A174" s="20" t="inlineStr">
        <is>
          <t>North Forest HS</t>
        </is>
      </c>
      <c r="B174" s="20" t="inlineStr">
        <is>
          <t>NES Secondary</t>
        </is>
      </c>
      <c r="C174" s="20" t="n"/>
      <c r="D174" s="20" t="inlineStr"/>
      <c r="E174" s="20" t="inlineStr"/>
      <c r="F174" s="20" t="inlineStr"/>
    </row>
    <row r="175">
      <c r="A175" s="20" t="inlineStr">
        <is>
          <t>North Houston EC HS</t>
        </is>
      </c>
      <c r="B175" s="20" t="inlineStr">
        <is>
          <t>EAS Secondary</t>
        </is>
      </c>
      <c r="C175" s="20" t="n"/>
      <c r="D175" s="20" t="inlineStr"/>
      <c r="E175" s="20" t="inlineStr"/>
      <c r="F175" s="20" t="inlineStr"/>
    </row>
    <row r="176">
      <c r="A176" s="20" t="inlineStr">
        <is>
          <t>Northline ES</t>
        </is>
      </c>
      <c r="B176" s="20" t="inlineStr">
        <is>
          <t>NES Elementary</t>
        </is>
      </c>
      <c r="C176" s="20" t="n"/>
      <c r="D176" s="20" t="inlineStr"/>
      <c r="E176" s="20" t="inlineStr"/>
      <c r="F176" s="20" t="inlineStr"/>
    </row>
    <row r="177">
      <c r="A177" s="20" t="inlineStr">
        <is>
          <t>Northside HS</t>
        </is>
      </c>
      <c r="B177" s="20" t="inlineStr">
        <is>
          <t>NES Secondary</t>
        </is>
      </c>
      <c r="C177" s="20" t="n"/>
      <c r="D177" s="20" t="inlineStr"/>
      <c r="E177" s="20" t="inlineStr">
        <is>
          <t>No (charter withdrawn)</t>
        </is>
      </c>
      <c r="F177" s="20" t="inlineStr">
        <is>
          <t>Charter Withdrawn</t>
        </is>
      </c>
    </row>
    <row r="178">
      <c r="A178" s="20" t="inlineStr">
        <is>
          <t>Oak Forest ES</t>
        </is>
      </c>
      <c r="B178" s="20" t="inlineStr">
        <is>
          <t>EAS Elementary</t>
        </is>
      </c>
      <c r="C178" s="20" t="n"/>
      <c r="D178" s="20" t="inlineStr"/>
      <c r="E178" s="20" t="inlineStr">
        <is>
          <t>Yes</t>
        </is>
      </c>
      <c r="F178" s="20" t="inlineStr">
        <is>
          <t>Good Standing</t>
        </is>
      </c>
    </row>
    <row r="179">
      <c r="A179" s="20" t="inlineStr">
        <is>
          <t>Oates ES</t>
        </is>
      </c>
      <c r="B179" s="20" t="inlineStr">
        <is>
          <t>NES Elementary</t>
        </is>
      </c>
      <c r="C179" s="20" t="n"/>
      <c r="D179" s="20" t="n"/>
      <c r="E179" s="20" t="n"/>
      <c r="F179" s="20" t="n"/>
    </row>
    <row r="180">
      <c r="A180" s="20" t="inlineStr">
        <is>
          <t>Ortiz MS</t>
        </is>
      </c>
      <c r="B180" s="20" t="inlineStr">
        <is>
          <t>NES Secondary</t>
        </is>
      </c>
      <c r="C180" s="20" t="n"/>
      <c r="D180" s="20" t="inlineStr"/>
      <c r="E180" s="20" t="inlineStr"/>
      <c r="F180" s="20" t="inlineStr"/>
    </row>
    <row r="181">
      <c r="A181" s="20" t="inlineStr">
        <is>
          <t>Osborne ES</t>
        </is>
      </c>
      <c r="B181" s="20" t="inlineStr">
        <is>
          <t>NES Elementary</t>
        </is>
      </c>
      <c r="C181" s="20" t="n"/>
      <c r="D181" s="20" t="inlineStr"/>
      <c r="E181" s="20" t="inlineStr"/>
      <c r="F181" s="20" t="inlineStr"/>
    </row>
    <row r="182">
      <c r="A182" s="20" t="inlineStr">
        <is>
          <t>Paige ES</t>
        </is>
      </c>
      <c r="B182" s="20" t="inlineStr">
        <is>
          <t>NES Elementary</t>
        </is>
      </c>
      <c r="C182" s="20" t="n"/>
      <c r="D182" s="20" t="inlineStr"/>
      <c r="E182" s="20" t="inlineStr"/>
      <c r="F182" s="20" t="inlineStr"/>
    </row>
    <row r="183">
      <c r="A183" s="20" t="inlineStr">
        <is>
          <t>Park Place ES</t>
        </is>
      </c>
      <c r="B183" s="20" t="inlineStr">
        <is>
          <t>EAS Elementary</t>
        </is>
      </c>
      <c r="C183" s="20" t="n"/>
      <c r="D183" s="20" t="inlineStr"/>
      <c r="E183" s="20" t="n"/>
      <c r="F183" s="20" t="n"/>
    </row>
    <row r="184">
      <c r="A184" s="20" t="inlineStr">
        <is>
          <t>Parker ES</t>
        </is>
      </c>
      <c r="B184" s="20" t="inlineStr">
        <is>
          <t>EAS Elementary</t>
        </is>
      </c>
      <c r="C184" s="20" t="n"/>
      <c r="D184" s="20" t="n"/>
      <c r="E184" s="20" t="inlineStr"/>
      <c r="F184" s="20" t="inlineStr"/>
    </row>
    <row r="185">
      <c r="A185" s="20" t="inlineStr">
        <is>
          <t>Patterson ES</t>
        </is>
      </c>
      <c r="B185" s="20" t="inlineStr">
        <is>
          <t>EAS Elementary</t>
        </is>
      </c>
      <c r="C185" s="20" t="n"/>
      <c r="D185" s="20" t="n"/>
      <c r="E185" s="20" t="inlineStr"/>
      <c r="F185" s="20" t="inlineStr"/>
    </row>
    <row r="186">
      <c r="A186" s="20" t="inlineStr">
        <is>
          <t>Peck ES</t>
        </is>
      </c>
      <c r="B186" s="20" t="inlineStr">
        <is>
          <t>NES Elementary</t>
        </is>
      </c>
      <c r="C186" s="20" t="n"/>
      <c r="D186" s="20" t="inlineStr"/>
      <c r="E186" s="20" t="inlineStr"/>
      <c r="F186" s="20" t="inlineStr"/>
    </row>
    <row r="187">
      <c r="A187" s="20" t="inlineStr">
        <is>
          <t>Pershing MS</t>
        </is>
      </c>
      <c r="B187" s="20" t="inlineStr">
        <is>
          <t>EAS Secondary</t>
        </is>
      </c>
      <c r="C187" s="20" t="n"/>
      <c r="D187" s="20" t="n"/>
      <c r="E187" s="20" t="inlineStr"/>
      <c r="F187" s="20" t="inlineStr"/>
    </row>
    <row r="188">
      <c r="A188" s="20" t="inlineStr">
        <is>
          <t>Petersen ES</t>
        </is>
      </c>
      <c r="B188" s="20" t="inlineStr">
        <is>
          <t>NES Elementary</t>
        </is>
      </c>
      <c r="C188" s="20" t="n"/>
      <c r="D188" s="20" t="inlineStr"/>
      <c r="E188" s="20" t="inlineStr"/>
      <c r="F188" s="20" t="inlineStr"/>
    </row>
    <row r="189">
      <c r="A189" s="20" t="inlineStr">
        <is>
          <t>Pilgrim Acad</t>
        </is>
      </c>
      <c r="B189" s="20" t="inlineStr">
        <is>
          <t>EAS Elementary</t>
        </is>
      </c>
      <c r="C189" s="20" t="n"/>
      <c r="D189" s="20" t="inlineStr"/>
      <c r="E189" s="20" t="inlineStr"/>
      <c r="F189" s="20" t="inlineStr"/>
    </row>
    <row r="190">
      <c r="A190" s="20" t="inlineStr">
        <is>
          <t>Pin Oak MS</t>
        </is>
      </c>
      <c r="B190" s="20" t="inlineStr">
        <is>
          <t>EAS Secondary</t>
        </is>
      </c>
      <c r="C190" s="20" t="n"/>
      <c r="D190" s="20" t="inlineStr"/>
      <c r="E190" s="20" t="inlineStr"/>
      <c r="F190" s="20" t="inlineStr"/>
    </row>
    <row r="191">
      <c r="A191" s="20" t="inlineStr">
        <is>
          <t>Piney Point ES</t>
        </is>
      </c>
      <c r="B191" s="20" t="inlineStr">
        <is>
          <t>EAS Elementary</t>
        </is>
      </c>
      <c r="C191" s="20" t="n"/>
      <c r="D191" s="20" t="inlineStr"/>
      <c r="E191" s="20" t="n"/>
      <c r="F191" s="20" t="n"/>
    </row>
    <row r="192">
      <c r="A192" s="20" t="inlineStr">
        <is>
          <t>Pleasantville ES</t>
        </is>
      </c>
      <c r="B192" s="20" t="inlineStr">
        <is>
          <t>NES Elementary</t>
        </is>
      </c>
      <c r="C192" s="20" t="n"/>
      <c r="D192" s="20" t="inlineStr"/>
      <c r="E192" s="20" t="inlineStr"/>
      <c r="F192" s="20" t="inlineStr"/>
    </row>
    <row r="193">
      <c r="A193" s="20" t="inlineStr">
        <is>
          <t>Poe ES</t>
        </is>
      </c>
      <c r="B193" s="20" t="inlineStr">
        <is>
          <t>EAS Elementary</t>
        </is>
      </c>
      <c r="C193" s="20" t="n"/>
      <c r="D193" s="20" t="inlineStr"/>
      <c r="E193" s="20" t="inlineStr"/>
      <c r="F193" s="20" t="inlineStr"/>
    </row>
    <row r="194">
      <c r="A194" s="20" t="inlineStr">
        <is>
          <t>Pugh ES</t>
        </is>
      </c>
      <c r="B194" s="20" t="inlineStr">
        <is>
          <t>NES Elementary</t>
        </is>
      </c>
      <c r="C194" s="20" t="n"/>
      <c r="D194" s="20" t="inlineStr"/>
      <c r="E194" s="20" t="inlineStr"/>
      <c r="F194" s="20" t="inlineStr"/>
    </row>
    <row r="195">
      <c r="A195" s="20" t="inlineStr">
        <is>
          <t>R D S P D</t>
        </is>
      </c>
      <c r="B195" s="20" t="inlineStr">
        <is>
          <t>OOA</t>
        </is>
      </c>
      <c r="C195" s="20" t="n"/>
      <c r="D195" s="20" t="inlineStr"/>
      <c r="E195" s="20" t="inlineStr"/>
      <c r="F195" s="20" t="inlineStr"/>
    </row>
    <row r="196">
      <c r="A196" s="20" t="inlineStr">
        <is>
          <t>Reagan Ed Ctr K-8</t>
        </is>
      </c>
      <c r="B196" s="20" t="inlineStr">
        <is>
          <t>NES Elementary</t>
        </is>
      </c>
      <c r="C196" s="20" t="n"/>
      <c r="D196" s="20" t="inlineStr"/>
      <c r="E196" s="20" t="inlineStr"/>
      <c r="F196" s="20" t="inlineStr"/>
    </row>
    <row r="197">
      <c r="A197" s="20" t="inlineStr">
        <is>
          <t>Red ES</t>
        </is>
      </c>
      <c r="B197" s="20" t="inlineStr">
        <is>
          <t>EAS Elementary</t>
        </is>
      </c>
      <c r="C197" s="20" t="n"/>
      <c r="D197" s="20" t="inlineStr"/>
      <c r="E197" s="20" t="inlineStr"/>
      <c r="F197" s="20" t="inlineStr"/>
    </row>
    <row r="198">
      <c r="A198" s="20" t="inlineStr">
        <is>
          <t>Revere MS</t>
        </is>
      </c>
      <c r="B198" s="20" t="inlineStr">
        <is>
          <t>NES Secondary</t>
        </is>
      </c>
      <c r="C198" s="20" t="n"/>
      <c r="D198" s="20" t="inlineStr"/>
      <c r="E198" s="20" t="inlineStr"/>
      <c r="F198" s="20" t="inlineStr"/>
    </row>
    <row r="199">
      <c r="A199" s="20" t="inlineStr">
        <is>
          <t>Reynolds ES</t>
        </is>
      </c>
      <c r="B199" s="20" t="inlineStr">
        <is>
          <t>NES Elementary</t>
        </is>
      </c>
      <c r="C199" s="20" t="n"/>
      <c r="D199" s="20" t="inlineStr"/>
      <c r="E199" s="20" t="n"/>
      <c r="F199" s="20" t="n"/>
    </row>
    <row r="200">
      <c r="A200" s="20" t="inlineStr">
        <is>
          <t>Rice School K-8</t>
        </is>
      </c>
      <c r="B200" s="20" t="inlineStr">
        <is>
          <t>EAS Elementary</t>
        </is>
      </c>
      <c r="C200" s="20" t="n"/>
      <c r="D200" s="20" t="inlineStr"/>
      <c r="E200" s="20" t="inlineStr"/>
      <c r="F200" s="20" t="inlineStr"/>
    </row>
    <row r="201">
      <c r="A201" s="20" t="inlineStr">
        <is>
          <t>River Oaks ES</t>
        </is>
      </c>
      <c r="B201" s="20" t="inlineStr">
        <is>
          <t>EAS Elementary</t>
        </is>
      </c>
      <c r="C201" s="20" t="n"/>
      <c r="D201" s="20" t="inlineStr"/>
      <c r="E201" s="20" t="inlineStr"/>
      <c r="F201" s="20" t="inlineStr"/>
    </row>
    <row r="202">
      <c r="A202" s="20" t="inlineStr">
        <is>
          <t>Roberts ES</t>
        </is>
      </c>
      <c r="B202" s="20" t="inlineStr">
        <is>
          <t>EAS Elementary</t>
        </is>
      </c>
      <c r="C202" s="20" t="n"/>
      <c r="D202" s="20" t="inlineStr"/>
      <c r="E202" s="20" t="inlineStr"/>
      <c r="F202" s="20" t="inlineStr"/>
    </row>
    <row r="203">
      <c r="A203" s="20" t="inlineStr">
        <is>
          <t>Robinson ES</t>
        </is>
      </c>
      <c r="B203" s="20" t="inlineStr">
        <is>
          <t>NES Elementary</t>
        </is>
      </c>
      <c r="C203" s="20" t="n"/>
      <c r="D203" s="20" t="inlineStr"/>
      <c r="E203" s="20" t="n"/>
      <c r="F203" s="20" t="n"/>
    </row>
    <row r="204">
      <c r="A204" s="20" t="inlineStr">
        <is>
          <t>Rodriguez ES</t>
        </is>
      </c>
      <c r="B204" s="20" t="inlineStr">
        <is>
          <t>EAS Elementary</t>
        </is>
      </c>
      <c r="C204" s="20" t="n"/>
      <c r="D204" s="20" t="inlineStr"/>
      <c r="E204" s="20" t="inlineStr"/>
      <c r="F204" s="20" t="inlineStr"/>
    </row>
    <row r="205">
      <c r="A205" s="20" t="inlineStr">
        <is>
          <t>Rogers T H</t>
        </is>
      </c>
      <c r="B205" s="20" t="inlineStr">
        <is>
          <t>EAS Elementary</t>
        </is>
      </c>
      <c r="C205" s="20" t="n"/>
      <c r="D205" s="20" t="inlineStr"/>
      <c r="E205" s="20" t="inlineStr"/>
      <c r="F205" s="20" t="inlineStr"/>
    </row>
    <row r="206">
      <c r="A206" s="20" t="inlineStr">
        <is>
          <t>Roosevelt ES</t>
        </is>
      </c>
      <c r="B206" s="20" t="inlineStr">
        <is>
          <t>EAS Elementary</t>
        </is>
      </c>
      <c r="C206" s="20" t="n"/>
      <c r="D206" s="20" t="inlineStr"/>
      <c r="E206" s="20" t="inlineStr"/>
      <c r="F206" s="20" t="inlineStr"/>
    </row>
    <row r="207">
      <c r="A207" s="20" t="inlineStr">
        <is>
          <t>Rucker ES</t>
        </is>
      </c>
      <c r="B207" s="20" t="inlineStr">
        <is>
          <t>NES Elementary</t>
        </is>
      </c>
      <c r="C207" s="20" t="n"/>
      <c r="D207" s="20" t="inlineStr"/>
      <c r="E207" s="20" t="inlineStr"/>
      <c r="F207" s="20" t="inlineStr"/>
    </row>
    <row r="208">
      <c r="A208" s="20" t="inlineStr">
        <is>
          <t>Sanchez ES</t>
        </is>
      </c>
      <c r="B208" s="20" t="inlineStr">
        <is>
          <t>NES Elementary</t>
        </is>
      </c>
      <c r="C208" s="20" t="n"/>
      <c r="D208" s="20" t="inlineStr"/>
      <c r="E208" s="20" t="inlineStr"/>
      <c r="F208" s="20" t="inlineStr"/>
    </row>
    <row r="209">
      <c r="A209" s="20" t="inlineStr">
        <is>
          <t>Scarborough ES</t>
        </is>
      </c>
      <c r="B209" s="20" t="inlineStr">
        <is>
          <t>EAS Elementary</t>
        </is>
      </c>
      <c r="C209" s="20" t="n"/>
      <c r="D209" s="20" t="inlineStr"/>
      <c r="E209" s="20" t="inlineStr"/>
      <c r="F209" s="20" t="inlineStr"/>
    </row>
    <row r="210">
      <c r="A210" s="20" t="inlineStr">
        <is>
          <t>Scarborough HS</t>
        </is>
      </c>
      <c r="B210" s="20" t="inlineStr">
        <is>
          <t>NES Secondary</t>
        </is>
      </c>
      <c r="C210" s="20" t="n"/>
      <c r="D210" s="20" t="inlineStr"/>
      <c r="E210" s="20" t="inlineStr"/>
      <c r="F210" s="20" t="inlineStr"/>
    </row>
    <row r="211">
      <c r="A211" s="20" t="inlineStr">
        <is>
          <t>School at St. George ES</t>
        </is>
      </c>
      <c r="B211" s="20" t="inlineStr">
        <is>
          <t>EAS Elementary</t>
        </is>
      </c>
      <c r="C211" s="20" t="n"/>
      <c r="D211" s="20" t="inlineStr"/>
      <c r="E211" s="20" t="inlineStr"/>
      <c r="F211" s="20" t="inlineStr"/>
    </row>
    <row r="212">
      <c r="A212" s="20" t="inlineStr">
        <is>
          <t>Scroggins ES</t>
        </is>
      </c>
      <c r="B212" s="20" t="inlineStr">
        <is>
          <t>NES Elementary</t>
        </is>
      </c>
      <c r="C212" s="20" t="n"/>
      <c r="D212" s="20" t="inlineStr"/>
      <c r="E212" s="20" t="inlineStr"/>
      <c r="F212" s="20" t="inlineStr"/>
    </row>
    <row r="213">
      <c r="A213" s="20" t="inlineStr">
        <is>
          <t>Secondary DAEP</t>
        </is>
      </c>
      <c r="B213" s="20" t="inlineStr">
        <is>
          <t>COSO</t>
        </is>
      </c>
      <c r="C213" s="20" t="n"/>
      <c r="D213" s="20" t="inlineStr"/>
      <c r="E213" s="20" t="inlineStr"/>
      <c r="F213" s="20" t="inlineStr"/>
    </row>
    <row r="214">
      <c r="A214" s="20" t="inlineStr">
        <is>
          <t>Seguin ES</t>
        </is>
      </c>
      <c r="B214" s="20" t="inlineStr">
        <is>
          <t>NES Elementary</t>
        </is>
      </c>
      <c r="C214" s="20" t="n"/>
      <c r="D214" s="20" t="n"/>
      <c r="E214" s="20" t="inlineStr"/>
      <c r="F214" s="20" t="inlineStr"/>
    </row>
    <row r="215">
      <c r="A215" s="20" t="inlineStr">
        <is>
          <t>Shadowbriar ES</t>
        </is>
      </c>
      <c r="B215" s="20" t="inlineStr">
        <is>
          <t>EAS Elementary</t>
        </is>
      </c>
      <c r="C215" s="20" t="n"/>
      <c r="D215" s="20" t="inlineStr"/>
      <c r="E215" s="20" t="inlineStr"/>
      <c r="F215" s="20" t="inlineStr"/>
    </row>
    <row r="216">
      <c r="A216" s="20" t="inlineStr">
        <is>
          <t>Shadydale ES</t>
        </is>
      </c>
      <c r="B216" s="20" t="inlineStr">
        <is>
          <t>NES Elementary</t>
        </is>
      </c>
      <c r="C216" s="20" t="n"/>
      <c r="D216" s="20" t="inlineStr"/>
      <c r="E216" s="20" t="inlineStr"/>
      <c r="F216" s="20" t="inlineStr"/>
    </row>
    <row r="217">
      <c r="A217" s="20" t="inlineStr">
        <is>
          <t>Sharpstown HS</t>
        </is>
      </c>
      <c r="B217" s="20" t="inlineStr">
        <is>
          <t>NES Secondary</t>
        </is>
      </c>
      <c r="C217" s="20" t="n"/>
      <c r="D217" s="20" t="inlineStr"/>
      <c r="E217" s="20" t="inlineStr"/>
      <c r="F217" s="20" t="inlineStr"/>
    </row>
    <row r="218">
      <c r="A218" s="20" t="inlineStr">
        <is>
          <t>Sharpstown Intl</t>
        </is>
      </c>
      <c r="B218" s="20" t="inlineStr">
        <is>
          <t>EAS Secondary</t>
        </is>
      </c>
      <c r="C218" s="20" t="n"/>
      <c r="D218" s="20" t="inlineStr"/>
      <c r="E218" s="20" t="inlineStr"/>
      <c r="F218" s="20" t="inlineStr"/>
    </row>
    <row r="219">
      <c r="A219" s="20" t="inlineStr">
        <is>
          <t>Shearn ES</t>
        </is>
      </c>
      <c r="B219" s="20" t="inlineStr">
        <is>
          <t>EAS Elementary</t>
        </is>
      </c>
      <c r="C219" s="20" t="n"/>
      <c r="D219" s="20" t="inlineStr"/>
      <c r="E219" s="20" t="inlineStr"/>
      <c r="F219" s="20" t="inlineStr"/>
    </row>
    <row r="220">
      <c r="A220" s="20" t="inlineStr">
        <is>
          <t>Sherman ES</t>
        </is>
      </c>
      <c r="B220" s="20" t="inlineStr">
        <is>
          <t>EAS Elementary</t>
        </is>
      </c>
      <c r="C220" s="20" t="n"/>
      <c r="D220" s="20" t="inlineStr"/>
      <c r="E220" s="20" t="inlineStr"/>
      <c r="F220" s="20" t="inlineStr"/>
    </row>
    <row r="221">
      <c r="A221" s="20" t="inlineStr">
        <is>
          <t>Sinclair ES</t>
        </is>
      </c>
      <c r="B221" s="20" t="inlineStr">
        <is>
          <t>EAS Elementary</t>
        </is>
      </c>
      <c r="C221" s="20" t="n"/>
      <c r="D221" s="20" t="inlineStr"/>
      <c r="E221" s="20" t="inlineStr"/>
      <c r="F221" s="20" t="inlineStr"/>
    </row>
    <row r="222">
      <c r="A222" s="20" t="inlineStr">
        <is>
          <t>Smith ES</t>
        </is>
      </c>
      <c r="B222" s="20" t="inlineStr">
        <is>
          <t>NES Elementary</t>
        </is>
      </c>
      <c r="C222" s="20" t="n"/>
      <c r="D222" s="20" t="inlineStr"/>
      <c r="E222" s="20" t="inlineStr"/>
      <c r="F222" s="20" t="inlineStr"/>
    </row>
    <row r="223">
      <c r="A223" s="20" t="inlineStr">
        <is>
          <t>SOAR Center</t>
        </is>
      </c>
      <c r="B223" s="20" t="inlineStr">
        <is>
          <t>OOA</t>
        </is>
      </c>
      <c r="C223" s="20" t="n"/>
      <c r="D223" s="20" t="inlineStr"/>
      <c r="E223" s="20" t="inlineStr"/>
      <c r="F223" s="20" t="inlineStr"/>
    </row>
    <row r="224">
      <c r="A224" s="20" t="inlineStr">
        <is>
          <t>South EC HS</t>
        </is>
      </c>
      <c r="B224" s="20" t="inlineStr">
        <is>
          <t>EAS Secondary</t>
        </is>
      </c>
      <c r="C224" s="20" t="n"/>
      <c r="D224" s="20" t="inlineStr"/>
      <c r="E224" s="20" t="inlineStr">
        <is>
          <t>Yes</t>
        </is>
      </c>
      <c r="F224" s="20" t="inlineStr">
        <is>
          <t>Inactive</t>
        </is>
      </c>
    </row>
    <row r="225">
      <c r="A225" s="20" t="inlineStr">
        <is>
          <t>Southmayd ES</t>
        </is>
      </c>
      <c r="B225" s="20" t="inlineStr">
        <is>
          <t>NES Elementary</t>
        </is>
      </c>
      <c r="C225" s="20" t="n"/>
      <c r="D225" s="20" t="inlineStr"/>
      <c r="E225" s="20" t="inlineStr"/>
      <c r="F225" s="20" t="inlineStr"/>
    </row>
    <row r="226">
      <c r="A226" s="20" t="inlineStr">
        <is>
          <t>Sterling HS</t>
        </is>
      </c>
      <c r="B226" s="20" t="inlineStr">
        <is>
          <t>NES Secondary</t>
        </is>
      </c>
      <c r="C226" s="20" t="n"/>
      <c r="D226" s="20" t="inlineStr"/>
      <c r="E226" s="20" t="n"/>
      <c r="F226" s="20" t="n"/>
    </row>
    <row r="227">
      <c r="A227" s="20" t="inlineStr">
        <is>
          <t>Stevens ES</t>
        </is>
      </c>
      <c r="B227" s="20" t="inlineStr">
        <is>
          <t>NES Elementary</t>
        </is>
      </c>
      <c r="C227" s="20" t="n"/>
      <c r="D227" s="20" t="inlineStr"/>
      <c r="E227" s="20" t="inlineStr"/>
      <c r="F227" s="20" t="inlineStr"/>
    </row>
    <row r="228">
      <c r="A228" s="20" t="inlineStr">
        <is>
          <t>Stevenson MS</t>
        </is>
      </c>
      <c r="B228" s="20" t="inlineStr">
        <is>
          <t>EAS Secondary</t>
        </is>
      </c>
      <c r="C228" s="20" t="n"/>
      <c r="D228" s="20" t="n"/>
      <c r="E228" s="20" t="inlineStr"/>
      <c r="F228" s="20" t="inlineStr"/>
    </row>
    <row r="229">
      <c r="A229" s="20" t="inlineStr">
        <is>
          <t>Sugar Grove MS</t>
        </is>
      </c>
      <c r="B229" s="20" t="inlineStr">
        <is>
          <t>NES Secondary</t>
        </is>
      </c>
      <c r="C229" s="20" t="n"/>
      <c r="D229" s="20" t="inlineStr"/>
      <c r="E229" s="20" t="inlineStr"/>
      <c r="F229" s="20" t="inlineStr"/>
    </row>
    <row r="230">
      <c r="A230" s="20" t="inlineStr">
        <is>
          <t>Sutton ES</t>
        </is>
      </c>
      <c r="B230" s="20" t="inlineStr">
        <is>
          <t>EAS Elementary</t>
        </is>
      </c>
      <c r="C230" s="20" t="n"/>
      <c r="D230" s="20" t="inlineStr"/>
      <c r="E230" s="20" t="inlineStr"/>
      <c r="F230" s="20" t="inlineStr"/>
    </row>
    <row r="231">
      <c r="A231" s="20" t="inlineStr">
        <is>
          <t>Tanglewood MS</t>
        </is>
      </c>
      <c r="B231" s="20" t="inlineStr">
        <is>
          <t>EAS Secondary</t>
        </is>
      </c>
      <c r="C231" s="20" t="n"/>
      <c r="D231" s="20" t="inlineStr"/>
      <c r="E231" s="20" t="inlineStr"/>
      <c r="F231" s="20" t="inlineStr"/>
    </row>
    <row r="232">
      <c r="A232" s="20" t="inlineStr">
        <is>
          <t>TCAH</t>
        </is>
      </c>
      <c r="B232" s="20" t="inlineStr">
        <is>
          <t>COSO</t>
        </is>
      </c>
      <c r="C232" s="20" t="n"/>
      <c r="D232" s="20" t="inlineStr"/>
      <c r="E232" s="20" t="inlineStr"/>
      <c r="F232" s="20" t="inlineStr"/>
    </row>
    <row r="233">
      <c r="A233" s="20" t="inlineStr">
        <is>
          <t>Thomas MS</t>
        </is>
      </c>
      <c r="B233" s="20" t="inlineStr">
        <is>
          <t>NES Secondary</t>
        </is>
      </c>
      <c r="C233" s="20" t="n"/>
      <c r="D233" s="20" t="inlineStr"/>
      <c r="E233" s="20" t="n"/>
      <c r="F233" s="20" t="n"/>
    </row>
    <row r="234">
      <c r="A234" s="20" t="inlineStr">
        <is>
          <t>Thompson ES</t>
        </is>
      </c>
      <c r="B234" s="20" t="inlineStr">
        <is>
          <t>NES Elementary</t>
        </is>
      </c>
      <c r="C234" s="20" t="n"/>
      <c r="D234" s="20" t="n"/>
      <c r="E234" s="20" t="inlineStr"/>
      <c r="F234" s="20" t="inlineStr"/>
    </row>
    <row r="235">
      <c r="A235" s="20" t="inlineStr">
        <is>
          <t>Tijerina ES</t>
        </is>
      </c>
      <c r="B235" s="20" t="inlineStr">
        <is>
          <t>EAS Elementary</t>
        </is>
      </c>
      <c r="C235" s="20" t="n"/>
      <c r="D235" s="20" t="inlineStr"/>
      <c r="E235" s="20" t="inlineStr">
        <is>
          <t>Yes</t>
        </is>
      </c>
      <c r="F235" s="20" t="inlineStr">
        <is>
          <t>Inactive</t>
        </is>
      </c>
    </row>
    <row r="236">
      <c r="A236" s="20" t="inlineStr">
        <is>
          <t>Tinsley ES</t>
        </is>
      </c>
      <c r="B236" s="20" t="inlineStr">
        <is>
          <t>NES Elementary</t>
        </is>
      </c>
      <c r="C236" s="20" t="n"/>
      <c r="D236" s="20" t="n"/>
      <c r="E236" s="20" t="inlineStr"/>
      <c r="F236" s="20" t="inlineStr"/>
    </row>
    <row r="237">
      <c r="A237" s="20" t="inlineStr">
        <is>
          <t>Travis ES</t>
        </is>
      </c>
      <c r="B237" s="20" t="inlineStr">
        <is>
          <t>EAS Elementary</t>
        </is>
      </c>
      <c r="C237" s="20" t="n"/>
      <c r="D237" s="20" t="inlineStr"/>
      <c r="E237" s="20" t="inlineStr">
        <is>
          <t>Yes</t>
        </is>
      </c>
      <c r="F237" s="20" t="inlineStr">
        <is>
          <t>Good Standing</t>
        </is>
      </c>
    </row>
    <row r="238">
      <c r="A238" s="20" t="inlineStr">
        <is>
          <t>Twain ES</t>
        </is>
      </c>
      <c r="B238" s="20" t="inlineStr">
        <is>
          <t>EAS Elementary</t>
        </is>
      </c>
      <c r="C238" s="20" t="n"/>
      <c r="D238" s="20" t="inlineStr"/>
      <c r="E238" s="20" t="n"/>
      <c r="F238" s="20" t="n"/>
    </row>
    <row r="239">
      <c r="A239" s="20" t="inlineStr">
        <is>
          <t>Valley West ES</t>
        </is>
      </c>
      <c r="B239" s="20" t="inlineStr">
        <is>
          <t>NES Elementary</t>
        </is>
      </c>
      <c r="C239" s="20" t="n"/>
      <c r="D239" s="20" t="inlineStr"/>
      <c r="E239" s="20" t="n"/>
      <c r="F239" s="20" t="n"/>
    </row>
    <row r="240">
      <c r="A240" s="20" t="inlineStr">
        <is>
          <t>Wainwright ES</t>
        </is>
      </c>
      <c r="B240" s="20" t="inlineStr">
        <is>
          <t>NES Elementary</t>
        </is>
      </c>
      <c r="C240" s="20" t="n"/>
      <c r="D240" s="20" t="inlineStr"/>
      <c r="E240" s="20" t="inlineStr">
        <is>
          <t>No (charter withdrawn)</t>
        </is>
      </c>
      <c r="F240" s="20" t="inlineStr">
        <is>
          <t>Charter Withdrawn</t>
        </is>
      </c>
    </row>
    <row r="241">
      <c r="A241" s="20" t="inlineStr">
        <is>
          <t>Walnut Bend ES</t>
        </is>
      </c>
      <c r="B241" s="20" t="inlineStr">
        <is>
          <t>NES Elementary</t>
        </is>
      </c>
      <c r="C241" s="20" t="n"/>
      <c r="D241" s="20" t="inlineStr"/>
      <c r="E241" s="20" t="inlineStr"/>
      <c r="F241" s="20" t="inlineStr"/>
    </row>
    <row r="242">
      <c r="A242" s="20" t="inlineStr">
        <is>
          <t>Waltrip HS</t>
        </is>
      </c>
      <c r="B242" s="20" t="inlineStr">
        <is>
          <t>EAS Secondary</t>
        </is>
      </c>
      <c r="C242" s="20" t="n"/>
      <c r="D242" s="20" t="inlineStr"/>
      <c r="E242" s="20" t="n"/>
      <c r="F242" s="20" t="n"/>
    </row>
    <row r="243">
      <c r="A243" s="20" t="inlineStr">
        <is>
          <t>Washington HS</t>
        </is>
      </c>
      <c r="B243" s="20" t="inlineStr">
        <is>
          <t>NES Secondary</t>
        </is>
      </c>
      <c r="C243" s="20" t="n"/>
      <c r="D243" s="20" t="inlineStr"/>
      <c r="E243" s="20" t="inlineStr"/>
      <c r="F243" s="20" t="inlineStr"/>
    </row>
    <row r="244">
      <c r="A244" s="20" t="inlineStr">
        <is>
          <t>Welch MS</t>
        </is>
      </c>
      <c r="B244" s="20" t="inlineStr">
        <is>
          <t>NES Secondary</t>
        </is>
      </c>
      <c r="C244" s="20" t="n"/>
      <c r="D244" s="20" t="inlineStr"/>
      <c r="E244" s="20" t="inlineStr"/>
      <c r="F244" s="20" t="inlineStr"/>
    </row>
    <row r="245">
      <c r="A245" s="20" t="inlineStr">
        <is>
          <t>Wesley ES</t>
        </is>
      </c>
      <c r="B245" s="20" t="inlineStr">
        <is>
          <t>NES Elementary</t>
        </is>
      </c>
      <c r="C245" s="20" t="n"/>
      <c r="D245" s="20" t="inlineStr"/>
      <c r="E245" s="20" t="inlineStr"/>
      <c r="F245" s="20" t="inlineStr"/>
    </row>
    <row r="246">
      <c r="A246" s="20" t="inlineStr">
        <is>
          <t>West Briar MS</t>
        </is>
      </c>
      <c r="B246" s="20" t="inlineStr">
        <is>
          <t>EAS Secondary</t>
        </is>
      </c>
      <c r="C246" s="20" t="n"/>
      <c r="D246" s="20" t="n"/>
      <c r="E246" s="20" t="n"/>
      <c r="F246" s="20" t="n"/>
    </row>
    <row r="247">
      <c r="A247" s="20" t="inlineStr">
        <is>
          <t>West University ES</t>
        </is>
      </c>
      <c r="B247" s="20" t="inlineStr">
        <is>
          <t>EAS Elementary</t>
        </is>
      </c>
      <c r="C247" s="20" t="n"/>
      <c r="D247" s="20" t="inlineStr"/>
      <c r="E247" s="20" t="inlineStr"/>
      <c r="F247" s="20" t="inlineStr"/>
    </row>
    <row r="248">
      <c r="A248" s="20" t="inlineStr">
        <is>
          <t>Westbury HS</t>
        </is>
      </c>
      <c r="B248" s="20" t="inlineStr">
        <is>
          <t>NES Secondary</t>
        </is>
      </c>
      <c r="C248" s="20" t="n"/>
      <c r="D248" s="20" t="inlineStr"/>
      <c r="E248" s="20" t="inlineStr"/>
      <c r="F248" s="20" t="inlineStr"/>
    </row>
    <row r="249">
      <c r="A249" s="20" t="inlineStr">
        <is>
          <t>Westside HS</t>
        </is>
      </c>
      <c r="B249" s="20" t="inlineStr">
        <is>
          <t>EAS Secondary</t>
        </is>
      </c>
      <c r="C249" s="20" t="n"/>
      <c r="D249" s="20" t="inlineStr"/>
      <c r="E249" s="20" t="inlineStr"/>
      <c r="F249" s="20" t="inlineStr"/>
    </row>
    <row r="250">
      <c r="A250" s="20" t="inlineStr">
        <is>
          <t>Wharton K-8</t>
        </is>
      </c>
      <c r="B250" s="20" t="inlineStr">
        <is>
          <t>EAS Elementary</t>
        </is>
      </c>
      <c r="C250" s="20" t="n"/>
      <c r="D250" s="20" t="inlineStr"/>
      <c r="E250" s="20" t="inlineStr"/>
      <c r="F250" s="20" t="inlineStr"/>
    </row>
    <row r="251">
      <c r="A251" s="20" t="inlineStr">
        <is>
          <t>Wheatley HS</t>
        </is>
      </c>
      <c r="B251" s="20" t="inlineStr">
        <is>
          <t>NES Secondary</t>
        </is>
      </c>
      <c r="C251" s="20" t="n"/>
      <c r="D251" s="20" t="inlineStr"/>
      <c r="E251" s="20" t="inlineStr"/>
      <c r="F251" s="20" t="inlineStr"/>
    </row>
    <row r="252">
      <c r="A252" s="20" t="inlineStr">
        <is>
          <t>Whidby ES</t>
        </is>
      </c>
      <c r="B252" s="20" t="inlineStr">
        <is>
          <t>NES Elementary</t>
        </is>
      </c>
      <c r="C252" s="20" t="n"/>
      <c r="D252" s="20" t="inlineStr"/>
      <c r="E252" s="20" t="inlineStr"/>
      <c r="F252" s="20" t="inlineStr"/>
    </row>
    <row r="253">
      <c r="A253" s="20" t="inlineStr">
        <is>
          <t>White E ES</t>
        </is>
      </c>
      <c r="B253" s="20" t="inlineStr">
        <is>
          <t>NES Elementary</t>
        </is>
      </c>
      <c r="C253" s="20" t="n"/>
      <c r="D253" s="20" t="inlineStr"/>
      <c r="E253" s="20" t="inlineStr"/>
      <c r="F253" s="20" t="inlineStr"/>
    </row>
    <row r="254">
      <c r="A254" s="20" t="inlineStr">
        <is>
          <t>White M ES</t>
        </is>
      </c>
      <c r="B254" s="20" t="inlineStr">
        <is>
          <t>EAS Elementary</t>
        </is>
      </c>
      <c r="C254" s="20" t="n"/>
      <c r="D254" s="20" t="inlineStr"/>
      <c r="E254" s="20" t="inlineStr"/>
      <c r="F254" s="20" t="inlineStr"/>
    </row>
    <row r="255">
      <c r="A255" s="20" t="inlineStr">
        <is>
          <t>Whittier ES</t>
        </is>
      </c>
      <c r="B255" s="20" t="inlineStr">
        <is>
          <t>NES Elementary</t>
        </is>
      </c>
      <c r="C255" s="20" t="n"/>
      <c r="D255" s="20" t="inlineStr"/>
      <c r="E255" s="20" t="inlineStr"/>
      <c r="F255" s="20" t="inlineStr"/>
    </row>
    <row r="256">
      <c r="A256" s="20" t="inlineStr">
        <is>
          <t>Williams MS</t>
        </is>
      </c>
      <c r="B256" s="20" t="inlineStr">
        <is>
          <t>NES Secondary</t>
        </is>
      </c>
      <c r="C256" s="20" t="n"/>
      <c r="D256" s="20" t="inlineStr"/>
      <c r="E256" s="20" t="inlineStr"/>
      <c r="F256" s="20" t="inlineStr"/>
    </row>
    <row r="257">
      <c r="A257" s="20" t="inlineStr">
        <is>
          <t>Windsor Village ES</t>
        </is>
      </c>
      <c r="B257" s="20" t="inlineStr">
        <is>
          <t>EAS Elementary</t>
        </is>
      </c>
      <c r="C257" s="20" t="n"/>
      <c r="D257" s="20" t="inlineStr"/>
      <c r="E257" s="20" t="inlineStr"/>
      <c r="F257" s="20" t="inlineStr"/>
    </row>
    <row r="258">
      <c r="A258" s="20" t="inlineStr">
        <is>
          <t>Wisdom HS</t>
        </is>
      </c>
      <c r="B258" s="20" t="inlineStr">
        <is>
          <t>NES Secondary</t>
        </is>
      </c>
      <c r="C258" s="20" t="n"/>
      <c r="D258" s="20" t="inlineStr"/>
      <c r="E258" s="20" t="inlineStr"/>
      <c r="F258" s="20" t="inlineStr"/>
    </row>
    <row r="259">
      <c r="A259" s="20" t="inlineStr">
        <is>
          <t>Woodson</t>
        </is>
      </c>
      <c r="B259" s="20" t="inlineStr">
        <is>
          <t>NES Elementary</t>
        </is>
      </c>
      <c r="C259" s="20" t="n"/>
      <c r="D259" s="20" t="inlineStr"/>
      <c r="E259" s="20" t="inlineStr"/>
      <c r="F259" s="20" t="inlineStr"/>
    </row>
    <row r="260">
      <c r="A260" s="20" t="inlineStr">
        <is>
          <t>Worthing HS</t>
        </is>
      </c>
      <c r="B260" s="20" t="inlineStr">
        <is>
          <t>NES Secondary</t>
        </is>
      </c>
      <c r="C260" s="20" t="n"/>
      <c r="D260" s="20" t="inlineStr"/>
      <c r="E260" s="20" t="inlineStr"/>
      <c r="F260" s="20" t="inlineStr"/>
    </row>
    <row r="261">
      <c r="A261" s="20" t="inlineStr">
        <is>
          <t>Yates HS</t>
        </is>
      </c>
      <c r="B261" s="20" t="inlineStr">
        <is>
          <t>NES Secondary</t>
        </is>
      </c>
      <c r="C261" s="20" t="n"/>
      <c r="D261" s="20" t="n"/>
      <c r="E261" s="20" t="inlineStr"/>
      <c r="F261" s="20" t="inlineStr"/>
    </row>
    <row r="262">
      <c r="A262" s="20" t="inlineStr">
        <is>
          <t>Young ES</t>
        </is>
      </c>
      <c r="B262" s="20" t="inlineStr">
        <is>
          <t>NES Elementary</t>
        </is>
      </c>
      <c r="C262" s="20" t="n"/>
      <c r="D262" s="20" t="inlineStr"/>
      <c r="E262" s="20" t="inlineStr"/>
      <c r="F262" s="20" t="inlineStr"/>
    </row>
    <row r="263">
      <c r="A263" s="20" t="inlineStr">
        <is>
          <t>YWCPA</t>
        </is>
      </c>
      <c r="B263" s="20" t="inlineStr">
        <is>
          <t>EAS Secondary</t>
        </is>
      </c>
      <c r="C263" s="20" t="n"/>
      <c r="D263" s="20" t="inlineStr"/>
      <c r="E263" s="20" t="inlineStr"/>
      <c r="F263" s="20" t="inlineStr"/>
    </row>
    <row r="264">
      <c r="A264" s="20" t="n"/>
      <c r="B264" s="20" t="n"/>
      <c r="C264" s="20" t="n"/>
      <c r="D264" s="20" t="inlineStr"/>
      <c r="E264" s="20" t="inlineStr"/>
      <c r="F264" s="20" t="inlineStr"/>
    </row>
    <row r="265">
      <c r="A265" s="20" t="n"/>
      <c r="B265" s="20" t="n"/>
      <c r="C265" s="20" t="n"/>
      <c r="D265" s="20" t="inlineStr"/>
      <c r="E265" s="20" t="inlineStr"/>
      <c r="F265" s="20"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120"/>
  <sheetViews>
    <sheetView workbookViewId="0">
      <pane ySplit="1" topLeftCell="A2" activePane="bottomLeft" state="frozen"/>
      <selection pane="bottomLeft" activeCell="A1" sqref="A1"/>
    </sheetView>
  </sheetViews>
  <sheetFormatPr baseColWidth="8" defaultRowHeight="15"/>
  <cols>
    <col width="32" customWidth="1" style="21" min="1" max="1"/>
    <col width="12" customWidth="1" style="21" min="2" max="2"/>
    <col width="22" customWidth="1" style="21" min="3" max="3"/>
    <col width="10" customWidth="1" style="21" min="4" max="4"/>
    <col width="26" customWidth="1" style="21" min="5" max="5"/>
    <col width="48" customWidth="1" style="21" min="6" max="6"/>
  </cols>
  <sheetData>
    <row r="1">
      <c r="A1" s="40" t="inlineStr">
        <is>
          <t>Campus Name</t>
        </is>
      </c>
      <c r="B1" s="40" t="inlineStr">
        <is>
          <t>Division</t>
        </is>
      </c>
      <c r="C1" s="40" t="inlineStr">
        <is>
          <t>FACE Coordinator 1</t>
        </is>
      </c>
      <c r="D1" s="40" t="inlineStr">
        <is>
          <t>PTO/PTA</t>
        </is>
      </c>
      <c r="E1" s="40" t="inlineStr">
        <is>
          <t>Name in the register</t>
        </is>
      </c>
      <c r="F1" s="40" t="inlineStr">
        <is>
          <t>Status</t>
        </is>
      </c>
    </row>
    <row r="2">
      <c r="A2" s="20" t="inlineStr">
        <is>
          <t>Almeda ES</t>
        </is>
      </c>
      <c r="B2" s="20" t="inlineStr">
        <is>
          <t>South</t>
        </is>
      </c>
      <c r="C2" s="20" t="inlineStr">
        <is>
          <t>Karen Aubrey</t>
        </is>
      </c>
      <c r="D2" s="20" t="inlineStr">
        <is>
          <t>No</t>
        </is>
      </c>
      <c r="F2" s="20" t="inlineStr">
        <is>
          <t>No PTO/PTA: Almeda ES</t>
        </is>
      </c>
    </row>
    <row r="3">
      <c r="A3" s="20" t="inlineStr">
        <is>
          <t>Attucks MS</t>
        </is>
      </c>
      <c r="B3" s="20" t="inlineStr">
        <is>
          <t>South</t>
        </is>
      </c>
      <c r="C3" s="20" t="inlineStr">
        <is>
          <t>Karen Aubrey</t>
        </is>
      </c>
      <c r="D3" s="20" t="inlineStr">
        <is>
          <t>No</t>
        </is>
      </c>
      <c r="F3" s="20" t="inlineStr">
        <is>
          <t>No PTO/PTA: Attucks MS</t>
        </is>
      </c>
    </row>
    <row r="4">
      <c r="A4" s="20" t="inlineStr">
        <is>
          <t>Austin HS</t>
        </is>
      </c>
      <c r="B4" s="20" t="inlineStr">
        <is>
          <t>Central</t>
        </is>
      </c>
      <c r="C4" s="20" t="inlineStr">
        <is>
          <t>Kenya Washington</t>
        </is>
      </c>
      <c r="D4" s="20" t="inlineStr">
        <is>
          <t>No</t>
        </is>
      </c>
      <c r="F4" s="20" t="inlineStr">
        <is>
          <t>No PTO/PTA: Austin HS</t>
        </is>
      </c>
    </row>
    <row r="5">
      <c r="A5" s="20" t="inlineStr">
        <is>
          <t>Bastian ES</t>
        </is>
      </c>
      <c r="B5" s="20" t="inlineStr">
        <is>
          <t>South</t>
        </is>
      </c>
      <c r="C5" s="20" t="inlineStr">
        <is>
          <t>Karen Aubrey</t>
        </is>
      </c>
      <c r="D5" s="20" t="inlineStr">
        <is>
          <t>No</t>
        </is>
      </c>
      <c r="F5" s="20" t="inlineStr">
        <is>
          <t>No PTO/PTA: Bastian ES</t>
        </is>
      </c>
    </row>
    <row r="6">
      <c r="A6" s="20" t="inlineStr">
        <is>
          <t>Bell ES</t>
        </is>
      </c>
      <c r="B6" s="20" t="inlineStr">
        <is>
          <t>West</t>
        </is>
      </c>
      <c r="C6" s="20" t="inlineStr">
        <is>
          <t>Eunice Vela</t>
        </is>
      </c>
      <c r="D6" s="20" t="inlineStr">
        <is>
          <t>No</t>
        </is>
      </c>
      <c r="F6" s="20" t="inlineStr">
        <is>
          <t>No PTO/PTA: Bell ES</t>
        </is>
      </c>
    </row>
    <row r="7">
      <c r="A7" s="20" t="inlineStr">
        <is>
          <t>Benavidez ES</t>
        </is>
      </c>
      <c r="B7" s="20" t="inlineStr">
        <is>
          <t>West</t>
        </is>
      </c>
      <c r="C7" s="20" t="inlineStr">
        <is>
          <t>Andreina Savelli</t>
        </is>
      </c>
      <c r="D7" s="20" t="inlineStr">
        <is>
          <t>No</t>
        </is>
      </c>
      <c r="F7" s="20" t="inlineStr">
        <is>
          <t>No PTO/PTA: Benavidez ES</t>
        </is>
      </c>
    </row>
    <row r="8">
      <c r="A8" s="20" t="inlineStr">
        <is>
          <t>Benbrook ES</t>
        </is>
      </c>
      <c r="B8" s="20" t="inlineStr">
        <is>
          <t>North</t>
        </is>
      </c>
      <c r="C8" s="20" t="inlineStr">
        <is>
          <t>Eunice Vela</t>
        </is>
      </c>
      <c r="D8" s="20" t="inlineStr">
        <is>
          <t>No</t>
        </is>
      </c>
      <c r="F8" s="20" t="inlineStr">
        <is>
          <t>No PTO/PTA: Benbrook ES</t>
        </is>
      </c>
    </row>
    <row r="9">
      <c r="A9" s="20" t="inlineStr">
        <is>
          <t>Brookline ES</t>
        </is>
      </c>
      <c r="B9" s="20" t="inlineStr">
        <is>
          <t>South</t>
        </is>
      </c>
      <c r="C9" s="20" t="inlineStr">
        <is>
          <t>Kenya Washington</t>
        </is>
      </c>
      <c r="D9" s="20" t="inlineStr">
        <is>
          <t>No</t>
        </is>
      </c>
      <c r="F9" s="20" t="inlineStr">
        <is>
          <t>No PTO/PTA: Brookline ES</t>
        </is>
      </c>
    </row>
    <row r="10">
      <c r="A10" s="20" t="inlineStr">
        <is>
          <t>Bruce ES</t>
        </is>
      </c>
      <c r="B10" s="20" t="inlineStr">
        <is>
          <t>Central</t>
        </is>
      </c>
      <c r="C10" s="20" t="inlineStr">
        <is>
          <t>Kathleen Ruiz</t>
        </is>
      </c>
      <c r="D10" s="20" t="inlineStr">
        <is>
          <t>No</t>
        </is>
      </c>
      <c r="F10" s="20" t="inlineStr">
        <is>
          <t>No PTO/PTA: Bruce ES</t>
        </is>
      </c>
    </row>
    <row r="11">
      <c r="A11" s="20" t="inlineStr">
        <is>
          <t>Burnet ES</t>
        </is>
      </c>
      <c r="B11" s="20" t="inlineStr">
        <is>
          <t>Central</t>
        </is>
      </c>
      <c r="C11" s="20" t="inlineStr">
        <is>
          <t>Kathleen Ruiz</t>
        </is>
      </c>
      <c r="D11" s="20" t="inlineStr">
        <is>
          <t>No</t>
        </is>
      </c>
      <c r="F11" s="20" t="inlineStr">
        <is>
          <t>No PTO/PTA: Burnet ES</t>
        </is>
      </c>
    </row>
    <row r="12">
      <c r="A12" s="20" t="inlineStr">
        <is>
          <t>Cage ES</t>
        </is>
      </c>
      <c r="B12" s="20" t="inlineStr">
        <is>
          <t>Central</t>
        </is>
      </c>
      <c r="C12" s="20" t="inlineStr">
        <is>
          <t>Kenya Washington</t>
        </is>
      </c>
      <c r="D12" s="20" t="inlineStr">
        <is>
          <t>No</t>
        </is>
      </c>
      <c r="F12" s="20" t="inlineStr">
        <is>
          <t>No PTO/PTA: Cage ES</t>
        </is>
      </c>
    </row>
    <row r="13">
      <c r="A13" s="20" t="inlineStr">
        <is>
          <t>Chavez HS</t>
        </is>
      </c>
      <c r="B13" s="20" t="inlineStr">
        <is>
          <t>South</t>
        </is>
      </c>
      <c r="C13" s="20" t="inlineStr">
        <is>
          <t>Kathleen Ruiz</t>
        </is>
      </c>
      <c r="D13" s="20" t="inlineStr">
        <is>
          <t>No</t>
        </is>
      </c>
      <c r="F13" s="20" t="inlineStr">
        <is>
          <t>No PTO/PTA: Chavez HS</t>
        </is>
      </c>
    </row>
    <row r="14">
      <c r="A14" s="20" t="inlineStr">
        <is>
          <t>Clifton MS</t>
        </is>
      </c>
      <c r="B14" s="20" t="inlineStr">
        <is>
          <t>North</t>
        </is>
      </c>
      <c r="C14" s="20" t="inlineStr">
        <is>
          <t>Eunice Vela</t>
        </is>
      </c>
      <c r="D14" s="20" t="inlineStr">
        <is>
          <t>No</t>
        </is>
      </c>
      <c r="F14" s="20" t="inlineStr">
        <is>
          <t>No PTO/PTA: Clifton MS</t>
        </is>
      </c>
    </row>
    <row r="15">
      <c r="A15" s="20" t="inlineStr">
        <is>
          <t>Codwell ES</t>
        </is>
      </c>
      <c r="B15" s="20" t="inlineStr">
        <is>
          <t>South</t>
        </is>
      </c>
      <c r="C15" s="20" t="inlineStr">
        <is>
          <t>Kenya Washington</t>
        </is>
      </c>
      <c r="D15" s="20" t="inlineStr">
        <is>
          <t>No</t>
        </is>
      </c>
      <c r="F15" s="20" t="inlineStr">
        <is>
          <t>No PTO/PTA: Codwell ES</t>
        </is>
      </c>
    </row>
    <row r="16">
      <c r="A16" s="20" t="inlineStr">
        <is>
          <t>Community Services</t>
        </is>
      </c>
      <c r="B16" s="20" t="inlineStr">
        <is>
          <t>Central</t>
        </is>
      </c>
      <c r="C16" s="20" t="inlineStr">
        <is>
          <t>Kenya Washington</t>
        </is>
      </c>
      <c r="D16" s="20" t="inlineStr">
        <is>
          <t>No</t>
        </is>
      </c>
      <c r="F16" s="20" t="inlineStr">
        <is>
          <t>No PTO/PTA: Community Services</t>
        </is>
      </c>
    </row>
    <row r="17">
      <c r="A17" s="20" t="inlineStr">
        <is>
          <t>Cook ES</t>
        </is>
      </c>
      <c r="B17" s="20" t="inlineStr">
        <is>
          <t>North</t>
        </is>
      </c>
      <c r="C17" s="20" t="inlineStr">
        <is>
          <t>Andreina Savelli</t>
        </is>
      </c>
      <c r="D17" s="20" t="inlineStr">
        <is>
          <t>No</t>
        </is>
      </c>
      <c r="F17" s="20" t="inlineStr">
        <is>
          <t>No PTO/PTA: Cook ES</t>
        </is>
      </c>
    </row>
    <row r="18">
      <c r="A18" s="20" t="inlineStr">
        <is>
          <t>Cullen MS</t>
        </is>
      </c>
      <c r="B18" s="20" t="inlineStr">
        <is>
          <t>South</t>
        </is>
      </c>
      <c r="C18" s="20" t="inlineStr">
        <is>
          <t>Kenya Washington</t>
        </is>
      </c>
      <c r="D18" s="20" t="inlineStr">
        <is>
          <t>No</t>
        </is>
      </c>
      <c r="F18" s="20" t="inlineStr">
        <is>
          <t>No PTO/PTA: Cullen MS</t>
        </is>
      </c>
    </row>
    <row r="19">
      <c r="A19" s="20" t="inlineStr">
        <is>
          <t>DAEP EL</t>
        </is>
      </c>
      <c r="B19" s="20" t="inlineStr">
        <is>
          <t>Central</t>
        </is>
      </c>
      <c r="C19" s="20" t="inlineStr">
        <is>
          <t>Kathleen Ruiz</t>
        </is>
      </c>
      <c r="D19" s="20" t="inlineStr">
        <is>
          <t>No</t>
        </is>
      </c>
      <c r="F19" s="20" t="inlineStr">
        <is>
          <t>No PTO/PTA: DAEP EL</t>
        </is>
      </c>
    </row>
    <row r="20">
      <c r="A20" s="20" t="inlineStr">
        <is>
          <t>Deady MS</t>
        </is>
      </c>
      <c r="B20" s="20" t="inlineStr">
        <is>
          <t>South</t>
        </is>
      </c>
      <c r="C20" s="20" t="inlineStr">
        <is>
          <t>Kathleen Ruiz</t>
        </is>
      </c>
      <c r="D20" s="20" t="inlineStr">
        <is>
          <t>No</t>
        </is>
      </c>
      <c r="F20" s="20" t="inlineStr">
        <is>
          <t>No PTO/PTA: Deady MS</t>
        </is>
      </c>
    </row>
    <row r="21">
      <c r="A21" s="20" t="inlineStr">
        <is>
          <t>Dogan ES</t>
        </is>
      </c>
      <c r="B21" s="20" t="inlineStr">
        <is>
          <t>Central</t>
        </is>
      </c>
      <c r="C21" s="20" t="inlineStr">
        <is>
          <t>Kathleen Ruiz</t>
        </is>
      </c>
      <c r="D21" s="20" t="inlineStr">
        <is>
          <t>No</t>
        </is>
      </c>
      <c r="F21" s="20" t="inlineStr">
        <is>
          <t>No PTO/PTA: Dogan ES</t>
        </is>
      </c>
    </row>
    <row r="22">
      <c r="A22" s="20" t="inlineStr">
        <is>
          <t>Durkee ES</t>
        </is>
      </c>
      <c r="B22" s="20" t="inlineStr">
        <is>
          <t>North</t>
        </is>
      </c>
      <c r="C22" s="20" t="inlineStr">
        <is>
          <t>Olivia Lemon</t>
        </is>
      </c>
      <c r="D22" s="20" t="inlineStr">
        <is>
          <t>No</t>
        </is>
      </c>
      <c r="F22" s="20" t="inlineStr">
        <is>
          <t>No PTO/PTA: Durkee ES</t>
        </is>
      </c>
    </row>
    <row r="23">
      <c r="A23" s="20" t="inlineStr">
        <is>
          <t>East EC HS</t>
        </is>
      </c>
      <c r="B23" s="20" t="inlineStr">
        <is>
          <t>Central</t>
        </is>
      </c>
      <c r="C23" s="20" t="inlineStr">
        <is>
          <t>Kathleen Ruiz</t>
        </is>
      </c>
      <c r="D23" s="20" t="inlineStr">
        <is>
          <t>No</t>
        </is>
      </c>
      <c r="F23" s="20" t="inlineStr">
        <is>
          <t>No PTO/PTA: East EC HS</t>
        </is>
      </c>
    </row>
    <row r="24">
      <c r="A24" s="20" t="inlineStr">
        <is>
          <t>Ed White ES</t>
        </is>
      </c>
      <c r="B24" s="20" t="inlineStr">
        <is>
          <t>West</t>
        </is>
      </c>
      <c r="C24" s="20" t="inlineStr">
        <is>
          <t>Andreina Savelli</t>
        </is>
      </c>
      <c r="D24" s="20" t="inlineStr">
        <is>
          <t>No</t>
        </is>
      </c>
      <c r="F24" s="20" t="inlineStr">
        <is>
          <t>No PTO/PTA: White E ES</t>
        </is>
      </c>
    </row>
    <row r="25">
      <c r="A25" s="20" t="inlineStr">
        <is>
          <t>*Energized ECC -Charter</t>
        </is>
      </c>
      <c r="B25" s="20" t="inlineStr">
        <is>
          <t>West</t>
        </is>
      </c>
      <c r="C25" s="20" t="inlineStr">
        <is>
          <t>Andrienia Savelli</t>
        </is>
      </c>
      <c r="D25" s="20" t="inlineStr">
        <is>
          <t>No</t>
        </is>
      </c>
      <c r="F25" s="20" t="inlineStr">
        <is>
          <t>No PTO/PTA: Energized ECC</t>
        </is>
      </c>
    </row>
    <row r="26">
      <c r="A26" s="20" t="inlineStr">
        <is>
          <t>*Energized ES - Charter</t>
        </is>
      </c>
      <c r="B26" s="20" t="inlineStr">
        <is>
          <t>West</t>
        </is>
      </c>
      <c r="C26" s="20" t="inlineStr">
        <is>
          <t>Andreina Savelli</t>
        </is>
      </c>
      <c r="D26" s="20" t="inlineStr">
        <is>
          <t>No</t>
        </is>
      </c>
      <c r="F26" s="20" t="inlineStr">
        <is>
          <t>No PTO/PTA: Energized ES</t>
        </is>
      </c>
    </row>
    <row r="27">
      <c r="A27" s="20" t="inlineStr">
        <is>
          <t>*ENERGIZED FOR STEM ACADEMY HS</t>
        </is>
      </c>
      <c r="B27" s="20" t="inlineStr">
        <is>
          <t>West</t>
        </is>
      </c>
      <c r="C27" s="20" t="inlineStr">
        <is>
          <t>Andreina Savelli</t>
        </is>
      </c>
      <c r="D27" s="20" t="inlineStr">
        <is>
          <t>No</t>
        </is>
      </c>
      <c r="F27" s="20" t="inlineStr">
        <is>
          <t>No PTO/PTA: Energized for STEM Academy HS</t>
        </is>
      </c>
    </row>
    <row r="28">
      <c r="A28" s="20" t="inlineStr">
        <is>
          <t>*ENERGIZED FOR STEM ACADEMY MS</t>
        </is>
      </c>
      <c r="B28" s="20" t="inlineStr">
        <is>
          <t>West</t>
        </is>
      </c>
      <c r="C28" s="20" t="inlineStr">
        <is>
          <t>Andreina Savelli</t>
        </is>
      </c>
      <c r="D28" s="20" t="inlineStr">
        <is>
          <t>No</t>
        </is>
      </c>
      <c r="F28" s="20" t="inlineStr">
        <is>
          <t>No PTO/PTA: Energized for STEM Academy MS</t>
        </is>
      </c>
    </row>
    <row r="29">
      <c r="A29" s="20" t="inlineStr">
        <is>
          <t>*Energized MS</t>
        </is>
      </c>
      <c r="B29" s="20" t="inlineStr">
        <is>
          <t>West</t>
        </is>
      </c>
      <c r="C29" s="20" t="inlineStr">
        <is>
          <t>Andreina Savelli</t>
        </is>
      </c>
      <c r="D29" s="20" t="inlineStr">
        <is>
          <t>No</t>
        </is>
      </c>
      <c r="F29" s="20" t="inlineStr">
        <is>
          <t>No PTO/PTA: Energized MS</t>
        </is>
      </c>
    </row>
    <row r="30">
      <c r="A30" s="20" t="inlineStr">
        <is>
          <t>Fleming MS</t>
        </is>
      </c>
      <c r="B30" s="20" t="inlineStr">
        <is>
          <t>Central</t>
        </is>
      </c>
      <c r="C30" s="20" t="inlineStr">
        <is>
          <t>Kathleen Ruiz</t>
        </is>
      </c>
      <c r="D30" s="20" t="inlineStr">
        <is>
          <t>No</t>
        </is>
      </c>
      <c r="F30" s="20" t="inlineStr">
        <is>
          <t>No PTO/PTA: Fleming McReynolds MS</t>
        </is>
      </c>
    </row>
    <row r="31">
      <c r="A31" s="20" t="inlineStr">
        <is>
          <t>Foerster ES</t>
        </is>
      </c>
      <c r="B31" s="20" t="inlineStr">
        <is>
          <t>West</t>
        </is>
      </c>
      <c r="C31" s="20" t="inlineStr">
        <is>
          <t>Eunice Vela</t>
        </is>
      </c>
      <c r="D31" s="20" t="inlineStr">
        <is>
          <t>No</t>
        </is>
      </c>
      <c r="F31" s="20" t="inlineStr">
        <is>
          <t>No PTO/PTA: Foerster ES</t>
        </is>
      </c>
    </row>
    <row r="32">
      <c r="A32" s="20" t="inlineStr">
        <is>
          <t>Fondren ES</t>
        </is>
      </c>
      <c r="B32" s="20" t="inlineStr">
        <is>
          <t>South</t>
        </is>
      </c>
      <c r="C32" s="20" t="inlineStr">
        <is>
          <t>Karen Aubrey</t>
        </is>
      </c>
      <c r="D32" s="20" t="inlineStr">
        <is>
          <t>No</t>
        </is>
      </c>
      <c r="F32" s="20" t="inlineStr">
        <is>
          <t>No PTO/PTA: Fondren ES</t>
        </is>
      </c>
    </row>
    <row r="33">
      <c r="A33" s="20" t="inlineStr">
        <is>
          <t>Fondren MS</t>
        </is>
      </c>
      <c r="B33" s="20" t="inlineStr">
        <is>
          <t>West</t>
        </is>
      </c>
      <c r="C33" s="20" t="inlineStr">
        <is>
          <t>Eunice Vela</t>
        </is>
      </c>
      <c r="D33" s="20" t="inlineStr">
        <is>
          <t>No</t>
        </is>
      </c>
      <c r="F33" s="20" t="inlineStr">
        <is>
          <t>No PTO/PTA: Fondren MS</t>
        </is>
      </c>
    </row>
    <row r="34">
      <c r="A34" s="20" t="inlineStr">
        <is>
          <t>Forest Brook MS</t>
        </is>
      </c>
      <c r="B34" s="20" t="inlineStr">
        <is>
          <t>North</t>
        </is>
      </c>
      <c r="C34" s="20" t="inlineStr">
        <is>
          <t>Olivia Lemon</t>
        </is>
      </c>
      <c r="D34" s="20" t="inlineStr">
        <is>
          <t>No</t>
        </is>
      </c>
      <c r="F34" s="20" t="inlineStr">
        <is>
          <t>No PTO/PTA: Forest Brook MS</t>
        </is>
      </c>
    </row>
    <row r="35">
      <c r="A35" s="20" t="inlineStr">
        <is>
          <t>Foster ES</t>
        </is>
      </c>
      <c r="B35" s="20" t="inlineStr">
        <is>
          <t>South</t>
        </is>
      </c>
      <c r="C35" s="20" t="inlineStr">
        <is>
          <t>Kenya Washington</t>
        </is>
      </c>
      <c r="D35" s="20" t="inlineStr">
        <is>
          <t>No</t>
        </is>
      </c>
      <c r="F35" s="20" t="inlineStr">
        <is>
          <t>No PTO/PTA: Foster ES</t>
        </is>
      </c>
    </row>
    <row r="36">
      <c r="A36" s="20" t="inlineStr">
        <is>
          <t>Frost ES</t>
        </is>
      </c>
      <c r="B36" s="20" t="inlineStr">
        <is>
          <t>South</t>
        </is>
      </c>
      <c r="C36" s="20" t="inlineStr">
        <is>
          <t>Kenya Washington</t>
        </is>
      </c>
      <c r="D36" s="20" t="inlineStr">
        <is>
          <t>No</t>
        </is>
      </c>
      <c r="F36" s="20" t="inlineStr">
        <is>
          <t>No PTO/PTA: Frost ES</t>
        </is>
      </c>
    </row>
    <row r="37">
      <c r="A37" s="20" t="inlineStr">
        <is>
          <t>Furr HS</t>
        </is>
      </c>
      <c r="B37" s="20" t="inlineStr">
        <is>
          <t>Central</t>
        </is>
      </c>
      <c r="C37" s="20" t="inlineStr">
        <is>
          <t>Kathleen Ruiz</t>
        </is>
      </c>
      <c r="D37" s="20" t="inlineStr">
        <is>
          <t>No</t>
        </is>
      </c>
      <c r="F37" s="20" t="inlineStr">
        <is>
          <t>No PTO/PTA: Furr HS</t>
        </is>
      </c>
    </row>
    <row r="38">
      <c r="A38" s="20" t="inlineStr">
        <is>
          <t>Garcia ES</t>
        </is>
      </c>
      <c r="B38" s="20" t="inlineStr">
        <is>
          <t>North</t>
        </is>
      </c>
      <c r="C38" s="20" t="inlineStr">
        <is>
          <t>Olivia Lemon</t>
        </is>
      </c>
      <c r="D38" s="20" t="inlineStr">
        <is>
          <t>No</t>
        </is>
      </c>
      <c r="F38" s="20" t="inlineStr">
        <is>
          <t>No PTO/PTA: Garcia ES</t>
        </is>
      </c>
    </row>
    <row r="39">
      <c r="A39" s="20" t="inlineStr">
        <is>
          <t>Gregg ES</t>
        </is>
      </c>
      <c r="B39" s="20" t="inlineStr">
        <is>
          <t>South</t>
        </is>
      </c>
      <c r="C39" s="20" t="inlineStr">
        <is>
          <t>Kenya Washington</t>
        </is>
      </c>
      <c r="D39" s="20" t="inlineStr">
        <is>
          <t>No</t>
        </is>
      </c>
      <c r="F39" s="20" t="inlineStr">
        <is>
          <t>No PTO/PTA: Gregg ES</t>
        </is>
      </c>
    </row>
    <row r="40">
      <c r="A40" s="20" t="inlineStr">
        <is>
          <t>Gregory-Lincoln PK-8</t>
        </is>
      </c>
      <c r="B40" s="20" t="inlineStr">
        <is>
          <t>Central</t>
        </is>
      </c>
      <c r="C40" s="20" t="inlineStr">
        <is>
          <t>Karen Aubrey</t>
        </is>
      </c>
      <c r="D40" s="20" t="inlineStr">
        <is>
          <t>No</t>
        </is>
      </c>
      <c r="F40" s="20" t="inlineStr">
        <is>
          <t>No PTO/PTA: Gregory-Lincoln PK-8</t>
        </is>
      </c>
    </row>
    <row r="41">
      <c r="A41" s="20" t="inlineStr">
        <is>
          <t>Grissom ES</t>
        </is>
      </c>
      <c r="B41" s="20" t="inlineStr">
        <is>
          <t>South</t>
        </is>
      </c>
      <c r="C41" s="20" t="inlineStr">
        <is>
          <t>Karen Aubrey</t>
        </is>
      </c>
      <c r="D41" s="20" t="inlineStr">
        <is>
          <t>No</t>
        </is>
      </c>
      <c r="F41" s="20" t="inlineStr">
        <is>
          <t>No PTO/PTA: Grissom ES</t>
        </is>
      </c>
    </row>
    <row r="42">
      <c r="A42" s="20" t="inlineStr">
        <is>
          <t>Gross ES</t>
        </is>
      </c>
      <c r="B42" s="20" t="inlineStr">
        <is>
          <t>West</t>
        </is>
      </c>
      <c r="C42" s="20" t="inlineStr">
        <is>
          <t>Eunice Vela</t>
        </is>
      </c>
      <c r="D42" s="20" t="inlineStr">
        <is>
          <t>No</t>
        </is>
      </c>
      <c r="F42" s="20" t="inlineStr">
        <is>
          <t>No PTO/PTA: Gross ES</t>
        </is>
      </c>
    </row>
    <row r="43">
      <c r="A43" s="20" t="inlineStr">
        <is>
          <t>Halpin ECC</t>
        </is>
      </c>
      <c r="B43" s="20" t="inlineStr">
        <is>
          <t>West</t>
        </is>
      </c>
      <c r="C43" s="20" t="inlineStr">
        <is>
          <t>Eunice Vela</t>
        </is>
      </c>
      <c r="D43" s="20" t="inlineStr">
        <is>
          <t>No</t>
        </is>
      </c>
      <c r="F43" s="20" t="inlineStr">
        <is>
          <t>No PTO/PTA: Halpin ECC</t>
        </is>
      </c>
    </row>
    <row r="44">
      <c r="A44" s="20" t="inlineStr">
        <is>
          <t>Harper DAEP</t>
        </is>
      </c>
      <c r="B44" s="20" t="inlineStr">
        <is>
          <t>Central</t>
        </is>
      </c>
      <c r="C44" s="20" t="inlineStr">
        <is>
          <t>Kathleen Ruiz</t>
        </is>
      </c>
      <c r="D44" s="20" t="inlineStr">
        <is>
          <t>No</t>
        </is>
      </c>
      <c r="F44" s="20" t="inlineStr">
        <is>
          <t>No PTO/PTA: Secondary DAEP</t>
        </is>
      </c>
    </row>
    <row r="45">
      <c r="A45" s="20" t="inlineStr">
        <is>
          <t>Harris JR ES</t>
        </is>
      </c>
      <c r="B45" s="20" t="inlineStr">
        <is>
          <t>South</t>
        </is>
      </c>
      <c r="C45" s="20" t="inlineStr">
        <is>
          <t>Kathleen Ruiz</t>
        </is>
      </c>
      <c r="D45" s="20" t="inlineStr">
        <is>
          <t>No</t>
        </is>
      </c>
      <c r="F45" s="20" t="inlineStr">
        <is>
          <t>No PTO/PTA: Harris JR ES</t>
        </is>
      </c>
    </row>
    <row r="46">
      <c r="A46" s="20" t="inlineStr">
        <is>
          <t>Hartman MS</t>
        </is>
      </c>
      <c r="B46" s="20" t="inlineStr">
        <is>
          <t>South</t>
        </is>
      </c>
      <c r="C46" s="20" t="inlineStr">
        <is>
          <t>Kenya Washington</t>
        </is>
      </c>
      <c r="D46" s="20" t="inlineStr">
        <is>
          <t>No</t>
        </is>
      </c>
      <c r="F46" s="20" t="inlineStr">
        <is>
          <t>No PTO/PTA: Hartman MS</t>
        </is>
      </c>
    </row>
    <row r="47">
      <c r="A47" s="20" t="inlineStr">
        <is>
          <t>HCC Lifeskills</t>
        </is>
      </c>
      <c r="B47" s="20" t="inlineStr">
        <is>
          <t>Central</t>
        </is>
      </c>
      <c r="C47" s="20" t="inlineStr">
        <is>
          <t>Karen Aubrey</t>
        </is>
      </c>
      <c r="D47" s="20" t="inlineStr">
        <is>
          <t>No</t>
        </is>
      </c>
      <c r="F47" s="20" t="inlineStr">
        <is>
          <t>No PTO/PTA: HCC Lifeskills</t>
        </is>
      </c>
    </row>
    <row r="48">
      <c r="A48" s="20" t="inlineStr">
        <is>
          <t>Henry MS</t>
        </is>
      </c>
      <c r="B48" s="20" t="inlineStr">
        <is>
          <t>North</t>
        </is>
      </c>
      <c r="C48" s="20" t="inlineStr">
        <is>
          <t>Olivia Lemon</t>
        </is>
      </c>
      <c r="D48" s="20" t="inlineStr">
        <is>
          <t>No</t>
        </is>
      </c>
      <c r="F48" s="20" t="inlineStr">
        <is>
          <t>No PTO/PTA: Henry MS</t>
        </is>
      </c>
    </row>
    <row r="49">
      <c r="A49" s="20" t="inlineStr">
        <is>
          <t>High School Ahead Acad MS</t>
        </is>
      </c>
      <c r="B49" s="20" t="inlineStr">
        <is>
          <t>North</t>
        </is>
      </c>
      <c r="C49" s="20" t="inlineStr">
        <is>
          <t>Eunice Vela</t>
        </is>
      </c>
      <c r="D49" s="20" t="inlineStr">
        <is>
          <t>No</t>
        </is>
      </c>
      <c r="F49" s="20" t="inlineStr">
        <is>
          <t>No PTO/PTA: High School Ahead Acad MS</t>
        </is>
      </c>
    </row>
    <row r="50">
      <c r="A50" s="20" t="inlineStr">
        <is>
          <t>Hobby ES</t>
        </is>
      </c>
      <c r="B50" s="20" t="inlineStr">
        <is>
          <t>South</t>
        </is>
      </c>
      <c r="C50" s="20" t="inlineStr">
        <is>
          <t>Karen Aubrey</t>
        </is>
      </c>
      <c r="D50" s="20" t="inlineStr">
        <is>
          <t>No</t>
        </is>
      </c>
      <c r="F50" s="20" t="inlineStr">
        <is>
          <t>No PTO/PTA: Hobby ES</t>
        </is>
      </c>
    </row>
    <row r="51">
      <c r="A51" s="20" t="inlineStr">
        <is>
          <t>Holland MS</t>
        </is>
      </c>
      <c r="B51" s="20" t="inlineStr">
        <is>
          <t>Central</t>
        </is>
      </c>
      <c r="C51" s="20" t="inlineStr">
        <is>
          <t>Kathleen Ruiz</t>
        </is>
      </c>
      <c r="D51" s="20" t="inlineStr">
        <is>
          <t>No</t>
        </is>
      </c>
      <c r="F51" s="20" t="inlineStr">
        <is>
          <t>No PTO/PTA: Holland MS</t>
        </is>
      </c>
    </row>
    <row r="52">
      <c r="A52" s="20" t="inlineStr">
        <is>
          <t>HSLJ</t>
        </is>
      </c>
      <c r="B52" s="20" t="inlineStr">
        <is>
          <t>Central</t>
        </is>
      </c>
      <c r="C52" s="20" t="inlineStr">
        <is>
          <t>Kenya Washington</t>
        </is>
      </c>
      <c r="D52" s="20" t="inlineStr">
        <is>
          <t>No</t>
        </is>
      </c>
      <c r="F52" s="20" t="inlineStr">
        <is>
          <t>No PTO/PTA: HSLJ</t>
        </is>
      </c>
    </row>
    <row r="53">
      <c r="A53" s="20" t="inlineStr">
        <is>
          <t>Isaacs ES</t>
        </is>
      </c>
      <c r="B53" s="20" t="inlineStr">
        <is>
          <t>Central</t>
        </is>
      </c>
      <c r="C53" s="20" t="inlineStr">
        <is>
          <t>Kathleen Ruiz</t>
        </is>
      </c>
      <c r="D53" s="20" t="inlineStr">
        <is>
          <t>No</t>
        </is>
      </c>
      <c r="F53" s="20" t="inlineStr">
        <is>
          <t>No PTO/PTA: Isaacs ES</t>
        </is>
      </c>
    </row>
    <row r="54">
      <c r="A54" s="20" t="inlineStr">
        <is>
          <t>Janowski ES</t>
        </is>
      </c>
      <c r="B54" s="20" t="inlineStr">
        <is>
          <t>North</t>
        </is>
      </c>
      <c r="C54" s="20" t="inlineStr">
        <is>
          <t>Olivia Lemon</t>
        </is>
      </c>
      <c r="D54" s="20" t="inlineStr">
        <is>
          <t>No</t>
        </is>
      </c>
      <c r="F54" s="20" t="inlineStr">
        <is>
          <t>No PTO/PTA: Janowski ES</t>
        </is>
      </c>
    </row>
    <row r="55">
      <c r="A55" s="20" t="inlineStr">
        <is>
          <t>Jefferson ES</t>
        </is>
      </c>
      <c r="B55" s="20" t="inlineStr">
        <is>
          <t>Central</t>
        </is>
      </c>
      <c r="C55" s="20" t="inlineStr">
        <is>
          <t>Kenya Washington</t>
        </is>
      </c>
      <c r="D55" s="20" t="inlineStr">
        <is>
          <t>No</t>
        </is>
      </c>
      <c r="F55" s="20" t="inlineStr">
        <is>
          <t>No PTO/PTA: Jefferson ES</t>
        </is>
      </c>
    </row>
    <row r="56">
      <c r="A56" s="20" t="inlineStr">
        <is>
          <t>JJAEP</t>
        </is>
      </c>
      <c r="B56" s="20" t="inlineStr">
        <is>
          <t>West</t>
        </is>
      </c>
      <c r="C56" s="20" t="inlineStr">
        <is>
          <t>Eunice Vela</t>
        </is>
      </c>
      <c r="D56" s="20" t="inlineStr">
        <is>
          <t>No</t>
        </is>
      </c>
      <c r="F56" s="20" t="inlineStr">
        <is>
          <t>No PTO/PTA: JJAEP</t>
        </is>
      </c>
    </row>
    <row r="57">
      <c r="A57" s="20" t="inlineStr">
        <is>
          <t>Jones HS</t>
        </is>
      </c>
      <c r="B57" s="20" t="inlineStr">
        <is>
          <t>South</t>
        </is>
      </c>
      <c r="C57" s="20" t="inlineStr">
        <is>
          <t>Karen Aubrey</t>
        </is>
      </c>
      <c r="D57" s="20" t="inlineStr">
        <is>
          <t>No</t>
        </is>
      </c>
      <c r="F57" s="20" t="inlineStr">
        <is>
          <t>No PTO/PTA: Jones HS</t>
        </is>
      </c>
    </row>
    <row r="58">
      <c r="A58" s="20" t="inlineStr">
        <is>
          <t>Kashmere Gardens ES</t>
        </is>
      </c>
      <c r="B58" s="20" t="inlineStr">
        <is>
          <t>North</t>
        </is>
      </c>
      <c r="C58" s="20" t="inlineStr">
        <is>
          <t>Andreina Savelli</t>
        </is>
      </c>
      <c r="D58" s="20" t="inlineStr">
        <is>
          <t>No</t>
        </is>
      </c>
      <c r="F58" s="20" t="inlineStr">
        <is>
          <t>No PTO/PTA: Kashmere Gardens ES</t>
        </is>
      </c>
    </row>
    <row r="59">
      <c r="A59" s="20" t="inlineStr">
        <is>
          <t>Kashmere HS</t>
        </is>
      </c>
      <c r="B59" s="20" t="inlineStr">
        <is>
          <t>North</t>
        </is>
      </c>
      <c r="C59" s="20" t="inlineStr">
        <is>
          <t>Andreina Savelli</t>
        </is>
      </c>
      <c r="D59" s="20" t="inlineStr">
        <is>
          <t>No</t>
        </is>
      </c>
      <c r="F59" s="20" t="inlineStr">
        <is>
          <t>No PTO/PTA: Kashmere HS</t>
        </is>
      </c>
    </row>
    <row r="60">
      <c r="A60" s="20" t="inlineStr">
        <is>
          <t>Kelso ES</t>
        </is>
      </c>
      <c r="B60" s="20" t="inlineStr">
        <is>
          <t>South</t>
        </is>
      </c>
      <c r="C60" s="20" t="inlineStr">
        <is>
          <t>Kenya Washington</t>
        </is>
      </c>
      <c r="D60" s="20" t="inlineStr">
        <is>
          <t>No</t>
        </is>
      </c>
      <c r="F60" s="20" t="inlineStr">
        <is>
          <t>No PTO/PTA: Kelso ES</t>
        </is>
      </c>
    </row>
    <row r="61">
      <c r="A61" s="20" t="inlineStr">
        <is>
          <t>Kennedy ES</t>
        </is>
      </c>
      <c r="B61" s="20" t="inlineStr">
        <is>
          <t>North</t>
        </is>
      </c>
      <c r="C61" s="20" t="inlineStr">
        <is>
          <t>Eunice Vela</t>
        </is>
      </c>
      <c r="D61" s="20" t="inlineStr">
        <is>
          <t>No</t>
        </is>
      </c>
      <c r="F61" s="20" t="inlineStr">
        <is>
          <t>No PTO/PTA: Kennedy ES</t>
        </is>
      </c>
    </row>
    <row r="62">
      <c r="A62" s="20" t="inlineStr">
        <is>
          <t>Key MS</t>
        </is>
      </c>
      <c r="B62" s="20" t="inlineStr">
        <is>
          <t>North</t>
        </is>
      </c>
      <c r="C62" s="20" t="inlineStr">
        <is>
          <t>Andreina Savelli</t>
        </is>
      </c>
      <c r="D62" s="20" t="inlineStr">
        <is>
          <t>No</t>
        </is>
      </c>
      <c r="F62" s="20" t="inlineStr">
        <is>
          <t>No PTO/PTA: Key MS</t>
        </is>
      </c>
    </row>
    <row r="63">
      <c r="A63" s="20" t="inlineStr">
        <is>
          <t>Law ES</t>
        </is>
      </c>
      <c r="B63" s="20" t="inlineStr">
        <is>
          <t>South</t>
        </is>
      </c>
      <c r="C63" s="20" t="inlineStr">
        <is>
          <t>Karen Aubrey</t>
        </is>
      </c>
      <c r="D63" s="20" t="inlineStr">
        <is>
          <t>No</t>
        </is>
      </c>
      <c r="F63" s="20" t="inlineStr">
        <is>
          <t>No PTO/PTA: Law ES</t>
        </is>
      </c>
    </row>
    <row r="64">
      <c r="A64" s="20" t="inlineStr">
        <is>
          <t>Lawson MS</t>
        </is>
      </c>
      <c r="B64" s="20" t="inlineStr">
        <is>
          <t>South</t>
        </is>
      </c>
      <c r="C64" s="20" t="inlineStr">
        <is>
          <t>Karen Aubrey</t>
        </is>
      </c>
      <c r="D64" s="20" t="inlineStr">
        <is>
          <t>No</t>
        </is>
      </c>
      <c r="F64" s="20" t="inlineStr">
        <is>
          <t>No PTO/PTA: Lawson MS</t>
        </is>
      </c>
    </row>
    <row r="65">
      <c r="A65" s="20" t="inlineStr">
        <is>
          <t>Liberty HS</t>
        </is>
      </c>
      <c r="B65" s="20" t="inlineStr">
        <is>
          <t>West</t>
        </is>
      </c>
      <c r="C65" s="20" t="inlineStr">
        <is>
          <t>Eunice Vela</t>
        </is>
      </c>
      <c r="D65" s="20" t="inlineStr">
        <is>
          <t>No</t>
        </is>
      </c>
      <c r="F65" s="20" t="inlineStr">
        <is>
          <t>No PTO/PTA: Liberty HS</t>
        </is>
      </c>
    </row>
    <row r="66">
      <c r="A66" s="20" t="inlineStr">
        <is>
          <t>Long Acad</t>
        </is>
      </c>
      <c r="B66" s="20" t="inlineStr">
        <is>
          <t>West</t>
        </is>
      </c>
      <c r="C66" s="20" t="inlineStr">
        <is>
          <t>Andreina Savelli</t>
        </is>
      </c>
      <c r="D66" s="20" t="inlineStr">
        <is>
          <t>No</t>
        </is>
      </c>
      <c r="F66" s="20" t="inlineStr">
        <is>
          <t>No PTO/PTA: Long Acad</t>
        </is>
      </c>
    </row>
    <row r="67">
      <c r="A67" s="20" t="inlineStr">
        <is>
          <t>Looscan ES</t>
        </is>
      </c>
      <c r="B67" s="20" t="inlineStr">
        <is>
          <t>Central</t>
        </is>
      </c>
      <c r="C67" s="20" t="inlineStr">
        <is>
          <t>Kenya Washington</t>
        </is>
      </c>
      <c r="D67" s="20" t="inlineStr">
        <is>
          <t>No</t>
        </is>
      </c>
      <c r="F67" s="20" t="inlineStr">
        <is>
          <t>No PTO/PTA: Looscan ES</t>
        </is>
      </c>
    </row>
    <row r="68">
      <c r="A68" s="20" t="inlineStr">
        <is>
          <t>Mading ES</t>
        </is>
      </c>
      <c r="B68" s="20" t="inlineStr">
        <is>
          <t>South</t>
        </is>
      </c>
      <c r="C68" s="20" t="inlineStr">
        <is>
          <t>Kenya Washington</t>
        </is>
      </c>
      <c r="D68" s="20" t="inlineStr">
        <is>
          <t>No</t>
        </is>
      </c>
      <c r="F68" s="20" t="inlineStr">
        <is>
          <t>No PTO/PTA: Mading ES</t>
        </is>
      </c>
    </row>
    <row r="69">
      <c r="A69" s="20" t="inlineStr">
        <is>
          <t>Madison HS</t>
        </is>
      </c>
      <c r="B69" s="20" t="inlineStr">
        <is>
          <t>South</t>
        </is>
      </c>
      <c r="C69" s="20" t="inlineStr">
        <is>
          <t>Karen Aubrey</t>
        </is>
      </c>
      <c r="D69" s="20" t="inlineStr">
        <is>
          <t>No</t>
        </is>
      </c>
      <c r="F69" s="20" t="inlineStr">
        <is>
          <t>No PTO/PTA: Madison HS</t>
        </is>
      </c>
    </row>
    <row r="70">
      <c r="A70" s="20" t="inlineStr">
        <is>
          <t>Marshall ES</t>
        </is>
      </c>
      <c r="B70" s="20" t="inlineStr">
        <is>
          <t>North</t>
        </is>
      </c>
      <c r="C70" s="20" t="inlineStr">
        <is>
          <t>Olivia Lemon</t>
        </is>
      </c>
      <c r="D70" s="20" t="inlineStr">
        <is>
          <t>No</t>
        </is>
      </c>
      <c r="F70" s="20" t="inlineStr">
        <is>
          <t>No PTO/PTA: Marshall ES</t>
        </is>
      </c>
    </row>
    <row r="71">
      <c r="A71" s="20" t="inlineStr">
        <is>
          <t>Marshall MS</t>
        </is>
      </c>
      <c r="B71" s="20" t="inlineStr">
        <is>
          <t>Central</t>
        </is>
      </c>
      <c r="C71" s="20" t="inlineStr">
        <is>
          <t>Kenya Washington</t>
        </is>
      </c>
      <c r="D71" s="20" t="inlineStr">
        <is>
          <t>No</t>
        </is>
      </c>
      <c r="F71" s="20" t="inlineStr">
        <is>
          <t>No PTO/PTA: Marshall MS</t>
        </is>
      </c>
    </row>
    <row r="72">
      <c r="A72" s="20" t="inlineStr">
        <is>
          <t>Martinez C ES</t>
        </is>
      </c>
      <c r="B72" s="20" t="inlineStr">
        <is>
          <t>Central</t>
        </is>
      </c>
      <c r="C72" s="20" t="inlineStr">
        <is>
          <t>Kenya Washington</t>
        </is>
      </c>
      <c r="D72" s="20" t="inlineStr">
        <is>
          <t>No</t>
        </is>
      </c>
      <c r="F72" s="20" t="inlineStr">
        <is>
          <t>No PTO/PTA: Martinez C ES</t>
        </is>
      </c>
    </row>
    <row r="73">
      <c r="A73" s="20" t="inlineStr">
        <is>
          <t>McGowen ES</t>
        </is>
      </c>
      <c r="B73" s="20" t="inlineStr">
        <is>
          <t>North</t>
        </is>
      </c>
      <c r="C73" s="20" t="inlineStr">
        <is>
          <t>Andreina Savelli</t>
        </is>
      </c>
      <c r="D73" s="20" t="inlineStr">
        <is>
          <t>No</t>
        </is>
      </c>
      <c r="F73" s="20" t="inlineStr">
        <is>
          <t>No PTO/PTA: McGowen ES</t>
        </is>
      </c>
    </row>
    <row r="74">
      <c r="A74" s="20" t="inlineStr">
        <is>
          <t>Milne ES</t>
        </is>
      </c>
      <c r="B74" s="20" t="inlineStr">
        <is>
          <t>West</t>
        </is>
      </c>
      <c r="C74" s="20" t="inlineStr">
        <is>
          <t>Andreina Savelli</t>
        </is>
      </c>
      <c r="D74" s="20" t="inlineStr">
        <is>
          <t>No</t>
        </is>
      </c>
      <c r="F74" s="20" t="inlineStr">
        <is>
          <t>No PTO/PTA: Milne ES</t>
        </is>
      </c>
    </row>
    <row r="75">
      <c r="A75" s="20" t="inlineStr">
        <is>
          <t>MLK ECC</t>
        </is>
      </c>
      <c r="B75" s="20" t="inlineStr">
        <is>
          <t>South</t>
        </is>
      </c>
      <c r="C75" s="20" t="inlineStr">
        <is>
          <t>Karen Aubrey</t>
        </is>
      </c>
      <c r="D75" s="20" t="inlineStr">
        <is>
          <t>No</t>
        </is>
      </c>
      <c r="F75" s="20" t="inlineStr">
        <is>
          <t>No PTO/PTA: MLK ECC</t>
        </is>
      </c>
    </row>
    <row r="76">
      <c r="A76" s="20" t="inlineStr">
        <is>
          <t>Montgomery ES</t>
        </is>
      </c>
      <c r="B76" s="20" t="inlineStr">
        <is>
          <t>South</t>
        </is>
      </c>
      <c r="C76" s="20" t="inlineStr">
        <is>
          <t>Karen Aubrey</t>
        </is>
      </c>
      <c r="D76" s="20" t="inlineStr">
        <is>
          <t>No</t>
        </is>
      </c>
      <c r="F76" s="20" t="inlineStr">
        <is>
          <t>No PTO/PTA: Montgomery ES</t>
        </is>
      </c>
    </row>
    <row r="77">
      <c r="A77" s="20" t="inlineStr">
        <is>
          <t>Navarro MS</t>
        </is>
      </c>
      <c r="B77" s="20" t="inlineStr">
        <is>
          <t>Central</t>
        </is>
      </c>
      <c r="C77" s="20" t="inlineStr">
        <is>
          <t>Kenya Washington</t>
        </is>
      </c>
      <c r="D77" s="20" t="inlineStr">
        <is>
          <t>No</t>
        </is>
      </c>
      <c r="F77" s="20" t="inlineStr">
        <is>
          <t>No PTO/PTA: Navarro MS</t>
        </is>
      </c>
    </row>
    <row r="78">
      <c r="A78" s="20" t="inlineStr">
        <is>
          <t>Neff ES</t>
        </is>
      </c>
      <c r="B78" s="20" t="inlineStr">
        <is>
          <t>West</t>
        </is>
      </c>
      <c r="C78" s="20" t="inlineStr">
        <is>
          <t>Andreina Savelli</t>
        </is>
      </c>
      <c r="D78" s="20" t="inlineStr">
        <is>
          <t>No</t>
        </is>
      </c>
      <c r="F78" s="20" t="inlineStr">
        <is>
          <t>No PTO/PTA: Neff ES</t>
        </is>
      </c>
    </row>
    <row r="79">
      <c r="A79" s="20" t="inlineStr">
        <is>
          <t>North Forest HS</t>
        </is>
      </c>
      <c r="B79" s="20" t="inlineStr">
        <is>
          <t>North</t>
        </is>
      </c>
      <c r="C79" s="20" t="inlineStr">
        <is>
          <t>Olivia Lemon</t>
        </is>
      </c>
      <c r="D79" s="20" t="inlineStr">
        <is>
          <t>No</t>
        </is>
      </c>
      <c r="F79" s="20" t="inlineStr">
        <is>
          <t>No PTO/PTA: North Forest HS</t>
        </is>
      </c>
    </row>
    <row r="80">
      <c r="A80" s="20" t="inlineStr">
        <is>
          <t>North Houston EC HS</t>
        </is>
      </c>
      <c r="B80" s="20" t="inlineStr">
        <is>
          <t>North</t>
        </is>
      </c>
      <c r="C80" s="20" t="inlineStr">
        <is>
          <t>Olivia Lemon</t>
        </is>
      </c>
      <c r="D80" s="20" t="inlineStr">
        <is>
          <t>No</t>
        </is>
      </c>
      <c r="F80" s="20" t="inlineStr">
        <is>
          <t>No PTO/PTA: North Houston EC HS</t>
        </is>
      </c>
    </row>
    <row r="81">
      <c r="A81" s="20" t="inlineStr">
        <is>
          <t>Northline ES</t>
        </is>
      </c>
      <c r="B81" s="20" t="inlineStr">
        <is>
          <t>North</t>
        </is>
      </c>
      <c r="C81" s="20" t="inlineStr">
        <is>
          <t>Olivia Lemon</t>
        </is>
      </c>
      <c r="D81" s="20" t="inlineStr">
        <is>
          <t>No</t>
        </is>
      </c>
      <c r="F81" s="20" t="inlineStr">
        <is>
          <t>No PTO/PTA: Northline ES</t>
        </is>
      </c>
    </row>
    <row r="82">
      <c r="A82" s="20" t="inlineStr">
        <is>
          <t>Northside HS</t>
        </is>
      </c>
      <c r="B82" s="20" t="inlineStr">
        <is>
          <t>Central</t>
        </is>
      </c>
      <c r="C82" s="20" t="inlineStr">
        <is>
          <t>Kenya Washington</t>
        </is>
      </c>
      <c r="D82" s="20" t="inlineStr">
        <is>
          <t>No</t>
        </is>
      </c>
      <c r="F82" s="20" t="inlineStr">
        <is>
          <t>No PTO/PTA: Northside HS</t>
        </is>
      </c>
    </row>
    <row r="83">
      <c r="A83" s="20" t="inlineStr">
        <is>
          <t>Osborne ES</t>
        </is>
      </c>
      <c r="B83" s="20" t="inlineStr">
        <is>
          <t>North</t>
        </is>
      </c>
      <c r="C83" s="20" t="inlineStr">
        <is>
          <t>Eunice Vela</t>
        </is>
      </c>
      <c r="D83" s="20" t="inlineStr">
        <is>
          <t>No</t>
        </is>
      </c>
      <c r="F83" s="20" t="inlineStr">
        <is>
          <t>No PTO/PTA: Osborne ES</t>
        </is>
      </c>
    </row>
    <row r="84">
      <c r="A84" s="20" t="inlineStr">
        <is>
          <t>Paige ES</t>
        </is>
      </c>
      <c r="B84" s="20" t="inlineStr">
        <is>
          <t>North</t>
        </is>
      </c>
      <c r="C84" s="20" t="inlineStr">
        <is>
          <t>Andreina Savelli</t>
        </is>
      </c>
      <c r="D84" s="20" t="inlineStr">
        <is>
          <t>No</t>
        </is>
      </c>
      <c r="F84" s="20" t="inlineStr">
        <is>
          <t>No PTO/PTA: Paige ES</t>
        </is>
      </c>
    </row>
    <row r="85">
      <c r="A85" s="20" t="inlineStr">
        <is>
          <t>Petersen ES</t>
        </is>
      </c>
      <c r="B85" s="20" t="inlineStr">
        <is>
          <t>South</t>
        </is>
      </c>
      <c r="C85" s="20" t="inlineStr">
        <is>
          <t>Karen Aubrey</t>
        </is>
      </c>
      <c r="D85" s="20" t="inlineStr">
        <is>
          <t>No</t>
        </is>
      </c>
      <c r="F85" s="20" t="inlineStr">
        <is>
          <t>No PTO/PTA: Petersen ES</t>
        </is>
      </c>
    </row>
    <row r="86">
      <c r="A86" s="20" t="inlineStr">
        <is>
          <t>Pilgrim Acad</t>
        </is>
      </c>
      <c r="B86" s="20" t="inlineStr">
        <is>
          <t>West</t>
        </is>
      </c>
      <c r="C86" s="20" t="inlineStr">
        <is>
          <t>Andreina Savelli</t>
        </is>
      </c>
      <c r="D86" s="20" t="inlineStr">
        <is>
          <t>No</t>
        </is>
      </c>
      <c r="F86" s="20" t="inlineStr">
        <is>
          <t>No PTO/PTA: Pilgrim Acad</t>
        </is>
      </c>
    </row>
    <row r="87">
      <c r="A87" s="20" t="inlineStr">
        <is>
          <t>Pleasantville ES</t>
        </is>
      </c>
      <c r="B87" s="20" t="inlineStr">
        <is>
          <t>Central</t>
        </is>
      </c>
      <c r="C87" s="20" t="inlineStr">
        <is>
          <t>Kathleen Ruiz</t>
        </is>
      </c>
      <c r="D87" s="20" t="inlineStr">
        <is>
          <t>No</t>
        </is>
      </c>
      <c r="F87" s="20" t="inlineStr">
        <is>
          <t>No PTO/PTA: Pleasantville ES</t>
        </is>
      </c>
    </row>
    <row r="88">
      <c r="A88" s="20" t="inlineStr">
        <is>
          <t>Pugh ES</t>
        </is>
      </c>
      <c r="B88" s="20" t="inlineStr">
        <is>
          <t>Central</t>
        </is>
      </c>
      <c r="C88" s="20" t="inlineStr">
        <is>
          <t>Kathleen Ruiz</t>
        </is>
      </c>
      <c r="D88" s="20" t="inlineStr">
        <is>
          <t>No</t>
        </is>
      </c>
      <c r="F88" s="20" t="inlineStr">
        <is>
          <t>No PTO/PTA: Pugh ES</t>
        </is>
      </c>
    </row>
    <row r="89">
      <c r="A89" s="20" t="inlineStr">
        <is>
          <t>R D S P D</t>
        </is>
      </c>
      <c r="B89" s="20" t="inlineStr">
        <is>
          <t>South</t>
        </is>
      </c>
      <c r="C89" s="20" t="inlineStr">
        <is>
          <t>Karen Aubrey</t>
        </is>
      </c>
      <c r="D89" s="20" t="inlineStr">
        <is>
          <t>No</t>
        </is>
      </c>
      <c r="F89" s="20" t="inlineStr">
        <is>
          <t>No PTO/PTA: R D S P D</t>
        </is>
      </c>
    </row>
    <row r="90">
      <c r="A90" s="20" t="inlineStr">
        <is>
          <t>Reagan Ed Ctr K-8</t>
        </is>
      </c>
      <c r="B90" s="20" t="inlineStr">
        <is>
          <t>South</t>
        </is>
      </c>
      <c r="C90" s="20" t="inlineStr">
        <is>
          <t>Karen Aubrey</t>
        </is>
      </c>
      <c r="D90" s="20" t="inlineStr">
        <is>
          <t>No</t>
        </is>
      </c>
      <c r="F90" s="20" t="inlineStr">
        <is>
          <t>No PTO/PTA: Reagan Ed Ctr K-8</t>
        </is>
      </c>
    </row>
    <row r="91">
      <c r="A91" s="20" t="inlineStr">
        <is>
          <t>Revere MS</t>
        </is>
      </c>
      <c r="B91" s="20" t="inlineStr">
        <is>
          <t>West</t>
        </is>
      </c>
      <c r="C91" s="20" t="inlineStr">
        <is>
          <t>Olivia Lemon</t>
        </is>
      </c>
      <c r="D91" s="20" t="inlineStr">
        <is>
          <t>No</t>
        </is>
      </c>
      <c r="F91" s="20" t="inlineStr">
        <is>
          <t>No PTO/PTA: Revere MS</t>
        </is>
      </c>
    </row>
    <row r="92">
      <c r="A92" s="20" t="inlineStr">
        <is>
          <t>Reynolds ES</t>
        </is>
      </c>
      <c r="B92" s="20" t="inlineStr">
        <is>
          <t>South</t>
        </is>
      </c>
      <c r="C92" s="20" t="inlineStr">
        <is>
          <t>Karen Aubrey</t>
        </is>
      </c>
      <c r="D92" s="20" t="inlineStr">
        <is>
          <t>No</t>
        </is>
      </c>
      <c r="F92" s="20" t="inlineStr">
        <is>
          <t>No PTO/PTA: Reynolds ES</t>
        </is>
      </c>
    </row>
    <row r="93">
      <c r="A93" s="20" t="inlineStr">
        <is>
          <t>Robinson ES</t>
        </is>
      </c>
      <c r="B93" s="20" t="inlineStr">
        <is>
          <t>Central</t>
        </is>
      </c>
      <c r="C93" s="20" t="inlineStr">
        <is>
          <t>Kathleen Ruiz</t>
        </is>
      </c>
      <c r="D93" s="20" t="inlineStr">
        <is>
          <t>No</t>
        </is>
      </c>
      <c r="F93" s="20" t="inlineStr">
        <is>
          <t>No PTO/PTA: Robinson ES</t>
        </is>
      </c>
    </row>
    <row r="94">
      <c r="A94" s="20" t="inlineStr">
        <is>
          <t>Rodriguez ES</t>
        </is>
      </c>
      <c r="B94" s="20" t="inlineStr">
        <is>
          <t>West</t>
        </is>
      </c>
      <c r="C94" s="20" t="inlineStr">
        <is>
          <t>Andreina Savelli</t>
        </is>
      </c>
      <c r="D94" s="20" t="inlineStr">
        <is>
          <t>No</t>
        </is>
      </c>
      <c r="F94" s="20" t="inlineStr">
        <is>
          <t>No PTO/PTA: Rodriguez ES</t>
        </is>
      </c>
    </row>
    <row r="95">
      <c r="A95" s="20" t="inlineStr">
        <is>
          <t>Sanchez ES</t>
        </is>
      </c>
      <c r="B95" s="20" t="inlineStr">
        <is>
          <t>South</t>
        </is>
      </c>
      <c r="C95" s="20" t="inlineStr">
        <is>
          <t>Kathleen Ruiz</t>
        </is>
      </c>
      <c r="D95" s="20" t="inlineStr">
        <is>
          <t>No</t>
        </is>
      </c>
      <c r="F95" s="20" t="inlineStr">
        <is>
          <t>No PTO/PTA: Sanchez ES</t>
        </is>
      </c>
    </row>
    <row r="96">
      <c r="A96" s="20" t="inlineStr">
        <is>
          <t>Scarborough HS</t>
        </is>
      </c>
      <c r="B96" s="20" t="inlineStr">
        <is>
          <t>North</t>
        </is>
      </c>
      <c r="C96" s="20" t="inlineStr">
        <is>
          <t>Eunice Vela</t>
        </is>
      </c>
      <c r="D96" s="20" t="inlineStr">
        <is>
          <t>No</t>
        </is>
      </c>
      <c r="F96" s="20" t="inlineStr">
        <is>
          <t>No PTO/PTA: Scarborough HS</t>
        </is>
      </c>
    </row>
    <row r="97">
      <c r="A97" s="20" t="inlineStr">
        <is>
          <t>Secondary DAEP</t>
        </is>
      </c>
      <c r="B97" s="20" t="inlineStr">
        <is>
          <t>Central</t>
        </is>
      </c>
      <c r="C97" s="20" t="inlineStr">
        <is>
          <t>Kenya Washington</t>
        </is>
      </c>
      <c r="D97" s="20" t="inlineStr">
        <is>
          <t>No</t>
        </is>
      </c>
      <c r="F97" s="20" t="inlineStr">
        <is>
          <t>No PTO/PTA: Secondary DAEP</t>
        </is>
      </c>
    </row>
    <row r="98">
      <c r="A98" s="20" t="inlineStr">
        <is>
          <t>Shadydale ES</t>
        </is>
      </c>
      <c r="B98" s="20" t="inlineStr">
        <is>
          <t>North</t>
        </is>
      </c>
      <c r="C98" s="20" t="inlineStr">
        <is>
          <t>Olivia Lemon</t>
        </is>
      </c>
      <c r="D98" s="20" t="inlineStr">
        <is>
          <t>No</t>
        </is>
      </c>
      <c r="F98" s="20" t="inlineStr">
        <is>
          <t>No PTO/PTA: Shadydale ES</t>
        </is>
      </c>
    </row>
    <row r="99">
      <c r="A99" s="20" t="inlineStr">
        <is>
          <t>Sharpstown HS</t>
        </is>
      </c>
      <c r="B99" s="20" t="inlineStr">
        <is>
          <t>West</t>
        </is>
      </c>
      <c r="C99" s="20" t="inlineStr">
        <is>
          <t>Andreina Savelli</t>
        </is>
      </c>
      <c r="D99" s="20" t="inlineStr">
        <is>
          <t>No</t>
        </is>
      </c>
      <c r="F99" s="20" t="inlineStr">
        <is>
          <t>No PTO/PTA: Sharpstown HS</t>
        </is>
      </c>
    </row>
    <row r="100">
      <c r="A100" s="20" t="inlineStr">
        <is>
          <t>Sharpstown Intl</t>
        </is>
      </c>
      <c r="B100" s="20" t="inlineStr">
        <is>
          <t>West</t>
        </is>
      </c>
      <c r="C100" s="20" t="inlineStr">
        <is>
          <t>Andreina Savelli</t>
        </is>
      </c>
      <c r="D100" s="20" t="inlineStr">
        <is>
          <t>No</t>
        </is>
      </c>
      <c r="F100" s="20" t="inlineStr">
        <is>
          <t>No PTO/PTA: Sharpstown Intl</t>
        </is>
      </c>
    </row>
    <row r="101">
      <c r="A101" s="20" t="inlineStr">
        <is>
          <t>Shearn ES</t>
        </is>
      </c>
      <c r="B101" s="20" t="inlineStr">
        <is>
          <t>West</t>
        </is>
      </c>
      <c r="C101" s="20" t="inlineStr">
        <is>
          <t>Eunice Vela</t>
        </is>
      </c>
      <c r="D101" s="20" t="inlineStr">
        <is>
          <t>No</t>
        </is>
      </c>
      <c r="F101" s="20" t="inlineStr">
        <is>
          <t>No PTO/PTA: Shearn ES</t>
        </is>
      </c>
    </row>
    <row r="102">
      <c r="A102" s="20" t="inlineStr">
        <is>
          <t>Smith ES</t>
        </is>
      </c>
      <c r="B102" s="20" t="inlineStr">
        <is>
          <t>North</t>
        </is>
      </c>
      <c r="C102" s="20" t="inlineStr">
        <is>
          <t>Eunice Vela</t>
        </is>
      </c>
      <c r="D102" s="20" t="inlineStr">
        <is>
          <t>No</t>
        </is>
      </c>
      <c r="F102" s="20" t="inlineStr">
        <is>
          <t>No PTO/PTA: Smith ES</t>
        </is>
      </c>
    </row>
    <row r="103">
      <c r="A103" s="20" t="inlineStr">
        <is>
          <t>SOAR Center</t>
        </is>
      </c>
      <c r="B103" s="20" t="inlineStr">
        <is>
          <t>North</t>
        </is>
      </c>
      <c r="C103" s="20" t="inlineStr">
        <is>
          <t>Olivia Lemon</t>
        </is>
      </c>
      <c r="D103" s="20" t="inlineStr">
        <is>
          <t>No</t>
        </is>
      </c>
      <c r="F103" s="20" t="inlineStr">
        <is>
          <t>No PTO/PTA: SOAR Center</t>
        </is>
      </c>
    </row>
    <row r="104">
      <c r="A104" s="20" t="inlineStr">
        <is>
          <t>Southmayd ES</t>
        </is>
      </c>
      <c r="B104" s="20" t="inlineStr">
        <is>
          <t>Central</t>
        </is>
      </c>
      <c r="C104" s="20" t="inlineStr">
        <is>
          <t>Kathleen Ruiz</t>
        </is>
      </c>
      <c r="D104" s="20" t="inlineStr">
        <is>
          <t>No</t>
        </is>
      </c>
      <c r="F104" s="20" t="inlineStr">
        <is>
          <t>No PTO/PTA: Southmayd ES</t>
        </is>
      </c>
    </row>
    <row r="105">
      <c r="A105" s="20" t="inlineStr">
        <is>
          <t>Sterling HS</t>
        </is>
      </c>
      <c r="B105" s="20" t="inlineStr">
        <is>
          <t>South</t>
        </is>
      </c>
      <c r="C105" s="20" t="inlineStr">
        <is>
          <t>Kenya Washington</t>
        </is>
      </c>
      <c r="D105" s="20" t="inlineStr">
        <is>
          <t>No</t>
        </is>
      </c>
      <c r="F105" s="20" t="inlineStr">
        <is>
          <t>No PTO/PTA: Sterling HS</t>
        </is>
      </c>
    </row>
    <row r="106">
      <c r="A106" s="20" t="inlineStr">
        <is>
          <t>Sugar Grove MS</t>
        </is>
      </c>
      <c r="B106" s="20" t="inlineStr">
        <is>
          <t>West</t>
        </is>
      </c>
      <c r="C106" s="20" t="inlineStr">
        <is>
          <t>Andreina Savelli</t>
        </is>
      </c>
      <c r="D106" s="20" t="inlineStr">
        <is>
          <t>No</t>
        </is>
      </c>
      <c r="F106" s="20" t="inlineStr">
        <is>
          <t>No PTO/PTA: Sugar Grove MS</t>
        </is>
      </c>
    </row>
    <row r="107">
      <c r="A107" s="20" t="inlineStr">
        <is>
          <t>TCAH</t>
        </is>
      </c>
      <c r="B107" s="20" t="inlineStr">
        <is>
          <t>West</t>
        </is>
      </c>
      <c r="C107" s="20" t="inlineStr">
        <is>
          <t>Olivia Lemon</t>
        </is>
      </c>
      <c r="D107" s="20" t="inlineStr">
        <is>
          <t>No</t>
        </is>
      </c>
      <c r="F107" s="20" t="inlineStr">
        <is>
          <t>No PTO/PTA: TCAH</t>
        </is>
      </c>
    </row>
    <row r="108">
      <c r="A108" s="20" t="inlineStr">
        <is>
          <t>Thomas MS</t>
        </is>
      </c>
      <c r="B108" s="20" t="inlineStr">
        <is>
          <t>South</t>
        </is>
      </c>
      <c r="C108" s="20" t="inlineStr">
        <is>
          <t>Kenya Washington</t>
        </is>
      </c>
      <c r="D108" s="20" t="inlineStr">
        <is>
          <t>No</t>
        </is>
      </c>
      <c r="F108" s="20" t="inlineStr">
        <is>
          <t>No PTO/PTA: Thomas MS</t>
        </is>
      </c>
    </row>
    <row r="109">
      <c r="A109" s="20" t="inlineStr">
        <is>
          <t>Thompson ES</t>
        </is>
      </c>
      <c r="B109" s="20" t="inlineStr">
        <is>
          <t>South</t>
        </is>
      </c>
      <c r="C109" s="20" t="inlineStr">
        <is>
          <t>Kenya Washington</t>
        </is>
      </c>
      <c r="D109" s="20" t="inlineStr">
        <is>
          <t>No</t>
        </is>
      </c>
      <c r="F109" s="20" t="inlineStr">
        <is>
          <t>No PTO/PTA: Thompson ES</t>
        </is>
      </c>
    </row>
    <row r="110">
      <c r="A110" s="20" t="inlineStr">
        <is>
          <t>Tinsley ES</t>
        </is>
      </c>
      <c r="B110" s="20" t="inlineStr">
        <is>
          <t>West</t>
        </is>
      </c>
      <c r="C110" s="20" t="inlineStr">
        <is>
          <t>Eunice Vela</t>
        </is>
      </c>
      <c r="D110" s="20" t="inlineStr">
        <is>
          <t>No</t>
        </is>
      </c>
      <c r="F110" s="20" t="inlineStr">
        <is>
          <t>No PTO/PTA: Tinsley ES</t>
        </is>
      </c>
    </row>
    <row r="111">
      <c r="A111" s="20" t="inlineStr">
        <is>
          <t>Valley West ES</t>
        </is>
      </c>
      <c r="B111" s="20" t="inlineStr">
        <is>
          <t>West</t>
        </is>
      </c>
      <c r="C111" s="20" t="inlineStr">
        <is>
          <t>Andreina Savelli</t>
        </is>
      </c>
      <c r="D111" s="20" t="inlineStr">
        <is>
          <t>No</t>
        </is>
      </c>
      <c r="F111" s="20" t="inlineStr">
        <is>
          <t>No PTO/PTA: Valley West ES</t>
        </is>
      </c>
    </row>
    <row r="112">
      <c r="A112" s="20" t="inlineStr">
        <is>
          <t>Wainwright ES</t>
        </is>
      </c>
      <c r="B112" s="20" t="inlineStr">
        <is>
          <t>North</t>
        </is>
      </c>
      <c r="C112" s="20" t="inlineStr">
        <is>
          <t>Eunice Vela</t>
        </is>
      </c>
      <c r="D112" s="20" t="inlineStr">
        <is>
          <t>No</t>
        </is>
      </c>
      <c r="F112" s="20" t="inlineStr">
        <is>
          <t>No PTO/PTA: Wainwright ES</t>
        </is>
      </c>
    </row>
    <row r="113">
      <c r="A113" s="20" t="inlineStr">
        <is>
          <t>Welch MS</t>
        </is>
      </c>
      <c r="B113" s="20" t="inlineStr">
        <is>
          <t>West</t>
        </is>
      </c>
      <c r="C113" s="20" t="inlineStr">
        <is>
          <t>Eunice Vela</t>
        </is>
      </c>
      <c r="D113" s="20" t="inlineStr">
        <is>
          <t>No</t>
        </is>
      </c>
      <c r="F113" s="20" t="inlineStr">
        <is>
          <t>No PTO/PTA: Welch MS</t>
        </is>
      </c>
    </row>
    <row r="114">
      <c r="A114" s="20" t="inlineStr">
        <is>
          <t>Wesley ES</t>
        </is>
      </c>
      <c r="B114" s="20" t="inlineStr">
        <is>
          <t>North</t>
        </is>
      </c>
      <c r="C114" s="20" t="inlineStr">
        <is>
          <t>Eunice Vela</t>
        </is>
      </c>
      <c r="D114" s="20" t="inlineStr">
        <is>
          <t>No</t>
        </is>
      </c>
      <c r="F114" s="20" t="inlineStr">
        <is>
          <t>No PTO/PTA: Wesley ES</t>
        </is>
      </c>
    </row>
    <row r="115">
      <c r="A115" s="20" t="inlineStr">
        <is>
          <t>Wheatley HS</t>
        </is>
      </c>
      <c r="B115" s="20" t="inlineStr">
        <is>
          <t>Central</t>
        </is>
      </c>
      <c r="C115" s="20" t="inlineStr">
        <is>
          <t>Kathleen Ruiz</t>
        </is>
      </c>
      <c r="D115" s="20" t="inlineStr">
        <is>
          <t>No</t>
        </is>
      </c>
      <c r="F115" s="20" t="inlineStr">
        <is>
          <t>No PTO/PTA: Wheatley HS</t>
        </is>
      </c>
    </row>
    <row r="116">
      <c r="A116" s="20" t="inlineStr">
        <is>
          <t>Whidby ES</t>
        </is>
      </c>
      <c r="B116" s="20" t="inlineStr">
        <is>
          <t>South</t>
        </is>
      </c>
      <c r="C116" s="20" t="inlineStr">
        <is>
          <t>Kenya Washington</t>
        </is>
      </c>
      <c r="D116" s="20" t="inlineStr">
        <is>
          <t>No</t>
        </is>
      </c>
      <c r="F116" s="20" t="inlineStr">
        <is>
          <t>No PTO/PTA: Whidby ES</t>
        </is>
      </c>
    </row>
    <row r="117">
      <c r="A117" s="20" t="inlineStr">
        <is>
          <t>Williams MS</t>
        </is>
      </c>
      <c r="B117" s="20" t="inlineStr">
        <is>
          <t>North</t>
        </is>
      </c>
      <c r="C117" s="20" t="inlineStr">
        <is>
          <t>Eunice Vela</t>
        </is>
      </c>
      <c r="D117" s="20" t="inlineStr">
        <is>
          <t>No</t>
        </is>
      </c>
      <c r="F117" s="20" t="inlineStr">
        <is>
          <t>No PTO/PTA: Williams MS</t>
        </is>
      </c>
    </row>
    <row r="118">
      <c r="A118" s="20" t="inlineStr">
        <is>
          <t>Wisdom HS</t>
        </is>
      </c>
      <c r="B118" s="20" t="inlineStr">
        <is>
          <t>West</t>
        </is>
      </c>
      <c r="C118" s="20" t="inlineStr">
        <is>
          <t>Andreina Savelli</t>
        </is>
      </c>
      <c r="D118" s="20" t="inlineStr">
        <is>
          <t>No</t>
        </is>
      </c>
      <c r="F118" s="20" t="inlineStr">
        <is>
          <t>No PTO/PTA: Wisdom HS</t>
        </is>
      </c>
    </row>
    <row r="119">
      <c r="A119" s="20" t="inlineStr">
        <is>
          <t>Worthing HS</t>
        </is>
      </c>
      <c r="B119" s="20" t="inlineStr">
        <is>
          <t>South</t>
        </is>
      </c>
      <c r="C119" s="20" t="inlineStr">
        <is>
          <t>Karen Aubrey</t>
        </is>
      </c>
      <c r="D119" s="20" t="inlineStr">
        <is>
          <t>No</t>
        </is>
      </c>
      <c r="F119" s="20" t="inlineStr">
        <is>
          <t>No PTO/PTA: Worthing HS</t>
        </is>
      </c>
    </row>
    <row r="120">
      <c r="A120" s="20" t="inlineStr">
        <is>
          <t>Young ES</t>
        </is>
      </c>
      <c r="B120" s="20" t="inlineStr">
        <is>
          <t>South</t>
        </is>
      </c>
      <c r="C120" s="20" t="inlineStr">
        <is>
          <t>Karen Aubrey</t>
        </is>
      </c>
      <c r="D120" s="20" t="inlineStr">
        <is>
          <t>No</t>
        </is>
      </c>
      <c r="F120" s="20" t="inlineStr">
        <is>
          <t>No PTO/PTA: Young ES</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W17"/>
  <sheetViews>
    <sheetView workbookViewId="0">
      <pane ySplit="3" topLeftCell="A4" activePane="bottomLeft" state="frozen"/>
      <selection pane="bottomLeft" activeCell="A1" sqref="A1"/>
    </sheetView>
  </sheetViews>
  <sheetFormatPr baseColWidth="8" defaultRowHeight="15"/>
  <sheetData>
    <row r="1">
      <c r="A1" s="20" t="inlineStr">
        <is>
          <t>Updated on THU, October 15, 2026 at 8:48 AM</t>
        </is>
      </c>
    </row>
    <row r="2">
      <c r="D2" s="20" t="inlineStr">
        <is>
          <t>Membership</t>
        </is>
      </c>
      <c r="J2" s="20" t="inlineStr">
        <is>
          <t>Feature Eligibility</t>
        </is>
      </c>
      <c r="M2" s="20" t="inlineStr">
        <is>
          <t>Path to Good Standing- Standards of Continuing Affiliation (SOA)
All PTAs should be in Good Standing by November 1st</t>
        </is>
      </c>
    </row>
    <row r="3">
      <c r="A3" s="40" t="inlineStr">
        <is>
          <t>School District</t>
        </is>
      </c>
      <c r="B3" s="40" t="inlineStr">
        <is>
          <t>PTA</t>
        </is>
      </c>
      <c r="C3" s="40" t="inlineStr">
        <is>
          <t>Texas PTA ID</t>
        </is>
      </c>
      <c r="D3" s="40" t="inlineStr">
        <is>
          <t>Membership Goal</t>
        </is>
      </c>
      <c r="E3" s="40" t="inlineStr">
        <is>
          <t>To Increase Local</t>
        </is>
      </c>
      <c r="F3" s="40" t="inlineStr">
        <is>
          <t>26-27                    Current Membership Count</t>
        </is>
      </c>
      <c r="G3" s="40" t="inlineStr">
        <is>
          <t>25-26</t>
        </is>
      </c>
      <c r="H3" s="40" t="inlineStr">
        <is>
          <t>24-25</t>
        </is>
      </c>
      <c r="I3" s="40" t="inlineStr">
        <is>
          <t>Student Enrollment</t>
        </is>
      </c>
      <c r="J3" s="40" t="inlineStr">
        <is>
          <t>Reflections Eligible</t>
        </is>
      </c>
      <c r="K3" s="40" t="inlineStr">
        <is>
          <t>JoinPTA.org Activation?</t>
        </is>
      </c>
      <c r="L3" s="40" t="inlineStr">
        <is>
          <t>Online RDC</t>
        </is>
      </c>
      <c r="M3" s="40" t="inlineStr">
        <is>
          <t>PTA Status</t>
        </is>
      </c>
      <c r="N3" s="40" t="inlineStr">
        <is>
          <t>Retention Plan Status</t>
        </is>
      </c>
      <c r="O3" s="40" t="inlineStr">
        <is>
          <t>Retention Plan Status More Information</t>
        </is>
      </c>
      <c r="P3" s="40" t="inlineStr">
        <is>
          <t>Good Standing Date</t>
        </is>
      </c>
      <c r="Q3" s="40" t="inlineStr">
        <is>
          <t>SOA Officers</t>
        </is>
      </c>
      <c r="R3" s="40" t="inlineStr">
        <is>
          <t>SOA Membership</t>
        </is>
      </c>
      <c r="S3" s="40" t="inlineStr">
        <is>
          <t>SOA Bylaws</t>
        </is>
      </c>
      <c r="T3" s="40" t="inlineStr">
        <is>
          <t>SOA Standing Rules</t>
        </is>
      </c>
      <c r="U3" s="40" t="inlineStr">
        <is>
          <t xml:space="preserve">SOA 990 </t>
        </is>
      </c>
      <c r="V3" s="40" t="inlineStr">
        <is>
          <t>Active Status Date (Must be active by 12/1/26 to vote)</t>
        </is>
      </c>
      <c r="W3" s="40" t="inlineStr">
        <is>
          <t>Bylaws Approved</t>
        </is>
      </c>
    </row>
    <row r="4">
      <c r="A4" s="20" t="inlineStr">
        <is>
          <t>Houston ISD</t>
        </is>
      </c>
      <c r="B4" s="20" t="inlineStr">
        <is>
          <t>Alexander Hamilton Middle School</t>
        </is>
      </c>
      <c r="C4" s="20" t="inlineStr">
        <is>
          <t>2312957</t>
        </is>
      </c>
      <c r="D4" s="20" t="n">
        <v>32</v>
      </c>
      <c r="E4" s="20" t="n">
        <v>-21</v>
      </c>
      <c r="F4" s="20" t="n">
        <v>51</v>
      </c>
      <c r="G4" s="20" t="n">
        <v>29</v>
      </c>
      <c r="H4" s="20" t="n">
        <v>0</v>
      </c>
      <c r="I4" s="20" t="n">
        <v>964</v>
      </c>
      <c r="J4" s="20" t="inlineStr">
        <is>
          <t>X</t>
        </is>
      </c>
      <c r="K4" s="20" t="inlineStr">
        <is>
          <t>√</t>
        </is>
      </c>
      <c r="L4" s="20" t="inlineStr">
        <is>
          <t>√</t>
        </is>
      </c>
      <c r="M4" s="20" t="inlineStr">
        <is>
          <t>Good Standing</t>
        </is>
      </c>
      <c r="O4" s="20" t="inlineStr">
        <is>
          <t>1st Year PTA</t>
        </is>
      </c>
      <c r="P4" s="20" t="inlineStr">
        <is>
          <t>10/14/2026</t>
        </is>
      </c>
      <c r="Q4" s="20" t="inlineStr">
        <is>
          <t>√</t>
        </is>
      </c>
      <c r="R4" s="20" t="inlineStr">
        <is>
          <t>√</t>
        </is>
      </c>
      <c r="S4" s="20" t="inlineStr">
        <is>
          <t>√</t>
        </is>
      </c>
      <c r="T4" s="20" t="inlineStr">
        <is>
          <t>√</t>
        </is>
      </c>
      <c r="U4" s="20" t="inlineStr">
        <is>
          <t>√</t>
        </is>
      </c>
      <c r="V4" s="20" t="inlineStr">
        <is>
          <t>8/10/2026</t>
        </is>
      </c>
      <c r="W4" s="20" t="inlineStr">
        <is>
          <t>12/1/2025</t>
        </is>
      </c>
    </row>
    <row r="5">
      <c r="A5" s="20" t="inlineStr">
        <is>
          <t>Houston ISD</t>
        </is>
      </c>
      <c r="B5" s="20" t="inlineStr">
        <is>
          <t>Bonham Elementary</t>
        </is>
      </c>
      <c r="C5" s="20" t="inlineStr">
        <is>
          <t>2302410</t>
        </is>
      </c>
      <c r="D5" s="20" t="n">
        <v>1</v>
      </c>
      <c r="E5" s="20" t="n">
        <v>1</v>
      </c>
      <c r="F5" s="20" t="n">
        <v>0</v>
      </c>
      <c r="G5" s="20" t="n">
        <v>0</v>
      </c>
      <c r="H5" s="20" t="n">
        <v>29</v>
      </c>
      <c r="I5" s="20" t="n">
        <v>767</v>
      </c>
      <c r="J5" s="20" t="inlineStr">
        <is>
          <t>X</t>
        </is>
      </c>
      <c r="K5" s="20" t="inlineStr">
        <is>
          <t>X</t>
        </is>
      </c>
      <c r="L5" s="20" t="inlineStr">
        <is>
          <t>X</t>
        </is>
      </c>
      <c r="M5" s="20" t="inlineStr">
        <is>
          <t>Charter Withdrawal</t>
        </is>
      </c>
      <c r="Q5" s="20" t="inlineStr">
        <is>
          <t>X</t>
        </is>
      </c>
      <c r="R5" s="20" t="inlineStr">
        <is>
          <t>X</t>
        </is>
      </c>
      <c r="S5" s="20" t="inlineStr">
        <is>
          <t>X</t>
        </is>
      </c>
      <c r="T5" s="20" t="inlineStr">
        <is>
          <t>√</t>
        </is>
      </c>
      <c r="U5" s="20" t="inlineStr">
        <is>
          <t>X</t>
        </is>
      </c>
      <c r="W5" s="20" t="inlineStr">
        <is>
          <t>10/13/2021</t>
        </is>
      </c>
    </row>
    <row r="6">
      <c r="A6" s="20" t="inlineStr">
        <is>
          <t>Houston ISD</t>
        </is>
      </c>
      <c r="B6" s="20" t="inlineStr">
        <is>
          <t>Browning Elementary</t>
        </is>
      </c>
      <c r="C6" s="20" t="inlineStr">
        <is>
          <t>2312892</t>
        </is>
      </c>
      <c r="D6" s="20" t="n">
        <v>28</v>
      </c>
      <c r="E6" s="20" t="n">
        <v>26</v>
      </c>
      <c r="F6" s="20" t="n">
        <v>0</v>
      </c>
      <c r="G6" s="20" t="n">
        <v>25</v>
      </c>
      <c r="H6" s="20" t="n">
        <v>20</v>
      </c>
      <c r="I6" s="20" t="n">
        <v>317</v>
      </c>
      <c r="J6" s="20" t="inlineStr">
        <is>
          <t>√</t>
        </is>
      </c>
      <c r="K6" s="20" t="inlineStr">
        <is>
          <t>√</t>
        </is>
      </c>
      <c r="L6" s="20" t="inlineStr">
        <is>
          <t>√</t>
        </is>
      </c>
      <c r="M6" s="20" t="inlineStr">
        <is>
          <t>Inactive</t>
        </is>
      </c>
      <c r="Q6" s="20" t="inlineStr">
        <is>
          <t>√</t>
        </is>
      </c>
      <c r="R6" s="20" t="inlineStr">
        <is>
          <t>X</t>
        </is>
      </c>
      <c r="S6" s="20" t="inlineStr">
        <is>
          <t>√</t>
        </is>
      </c>
      <c r="T6" s="20" t="inlineStr">
        <is>
          <t>√</t>
        </is>
      </c>
      <c r="U6" s="20" t="inlineStr">
        <is>
          <t>X</t>
        </is>
      </c>
      <c r="W6" s="20" t="inlineStr">
        <is>
          <t>5/12/2025</t>
        </is>
      </c>
    </row>
    <row r="7">
      <c r="A7" s="20" t="inlineStr">
        <is>
          <t>Houston ISD</t>
        </is>
      </c>
      <c r="B7" s="20" t="inlineStr">
        <is>
          <t>Durham Elementary</t>
        </is>
      </c>
      <c r="C7" s="20" t="inlineStr">
        <is>
          <t>4784</t>
        </is>
      </c>
      <c r="D7" s="20" t="n">
        <v>312</v>
      </c>
      <c r="E7" s="20" t="n">
        <v>263</v>
      </c>
      <c r="F7" s="20" t="n">
        <v>21</v>
      </c>
      <c r="G7" s="20" t="n">
        <v>283</v>
      </c>
      <c r="H7" s="20" t="n">
        <v>317</v>
      </c>
      <c r="I7" s="20" t="n">
        <v>498</v>
      </c>
      <c r="J7" s="20" t="inlineStr">
        <is>
          <t>√</t>
        </is>
      </c>
      <c r="K7" s="20" t="inlineStr">
        <is>
          <t>√</t>
        </is>
      </c>
      <c r="L7" s="20" t="inlineStr">
        <is>
          <t>√</t>
        </is>
      </c>
      <c r="M7" s="20" t="inlineStr">
        <is>
          <t>Good Standing</t>
        </is>
      </c>
      <c r="P7" s="20" t="inlineStr">
        <is>
          <t>10/14/2026</t>
        </is>
      </c>
      <c r="Q7" s="20" t="inlineStr">
        <is>
          <t>√</t>
        </is>
      </c>
      <c r="R7" s="20" t="inlineStr">
        <is>
          <t>√</t>
        </is>
      </c>
      <c r="S7" s="20" t="inlineStr">
        <is>
          <t>√</t>
        </is>
      </c>
      <c r="T7" s="20" t="inlineStr">
        <is>
          <t>√</t>
        </is>
      </c>
      <c r="U7" s="20" t="inlineStr">
        <is>
          <t>√</t>
        </is>
      </c>
      <c r="V7" s="20" t="inlineStr">
        <is>
          <t>10/9/2026</t>
        </is>
      </c>
      <c r="W7" s="20" t="inlineStr">
        <is>
          <t>3/21/2025</t>
        </is>
      </c>
    </row>
    <row r="8">
      <c r="A8" s="20" t="inlineStr">
        <is>
          <t>Houston ISD</t>
        </is>
      </c>
      <c r="B8" s="20" t="inlineStr">
        <is>
          <t>Harvard Elementary</t>
        </is>
      </c>
      <c r="C8" s="20" t="inlineStr">
        <is>
          <t>4888</t>
        </is>
      </c>
      <c r="D8" s="20" t="n">
        <v>91</v>
      </c>
      <c r="E8" s="20" t="n">
        <v>30</v>
      </c>
      <c r="F8" s="20" t="n">
        <v>53</v>
      </c>
      <c r="G8" s="20" t="n">
        <v>82</v>
      </c>
      <c r="H8" s="20" t="n">
        <v>205</v>
      </c>
      <c r="I8" s="20" t="n">
        <v>663</v>
      </c>
      <c r="J8" s="20" t="inlineStr">
        <is>
          <t>√</t>
        </is>
      </c>
      <c r="K8" s="20" t="inlineStr">
        <is>
          <t>√</t>
        </is>
      </c>
      <c r="L8" s="20" t="inlineStr">
        <is>
          <t>√</t>
        </is>
      </c>
      <c r="M8" s="20" t="inlineStr">
        <is>
          <t>Active</t>
        </is>
      </c>
      <c r="Q8" s="20" t="inlineStr">
        <is>
          <t>√</t>
        </is>
      </c>
      <c r="R8" s="20" t="inlineStr">
        <is>
          <t>√</t>
        </is>
      </c>
      <c r="S8" s="20" t="inlineStr">
        <is>
          <t>√</t>
        </is>
      </c>
      <c r="T8" s="20" t="inlineStr">
        <is>
          <t>√</t>
        </is>
      </c>
      <c r="U8" s="20" t="inlineStr">
        <is>
          <t>X</t>
        </is>
      </c>
      <c r="V8" s="20" t="inlineStr">
        <is>
          <t>8/17/2026</t>
        </is>
      </c>
      <c r="W8" s="20" t="inlineStr">
        <is>
          <t>7/8/2024</t>
        </is>
      </c>
    </row>
    <row r="9">
      <c r="A9" s="20" t="inlineStr">
        <is>
          <t>Houston ISD</t>
        </is>
      </c>
      <c r="B9" s="20" t="inlineStr">
        <is>
          <t>Helms Elementary</t>
        </is>
      </c>
      <c r="C9" s="20" t="inlineStr">
        <is>
          <t>4892</t>
        </is>
      </c>
      <c r="D9" s="20" t="n">
        <v>338</v>
      </c>
      <c r="E9" s="20" t="n">
        <v>308</v>
      </c>
      <c r="F9" s="20" t="n">
        <v>0</v>
      </c>
      <c r="G9" s="20" t="n">
        <v>307</v>
      </c>
      <c r="H9" s="20" t="n">
        <v>180</v>
      </c>
      <c r="I9" s="20" t="n">
        <v>523</v>
      </c>
      <c r="J9" s="20" t="inlineStr">
        <is>
          <t>√</t>
        </is>
      </c>
      <c r="K9" s="20" t="inlineStr">
        <is>
          <t>√</t>
        </is>
      </c>
      <c r="L9" s="20" t="inlineStr">
        <is>
          <t>√</t>
        </is>
      </c>
      <c r="M9" s="20" t="inlineStr">
        <is>
          <t>Inactive</t>
        </is>
      </c>
      <c r="Q9" s="20" t="inlineStr">
        <is>
          <t>√</t>
        </is>
      </c>
      <c r="R9" s="20" t="inlineStr">
        <is>
          <t>X</t>
        </is>
      </c>
      <c r="S9" s="20" t="inlineStr">
        <is>
          <t>√</t>
        </is>
      </c>
      <c r="T9" s="20" t="inlineStr">
        <is>
          <t>√</t>
        </is>
      </c>
      <c r="U9" s="20" t="inlineStr">
        <is>
          <t>X</t>
        </is>
      </c>
      <c r="W9" s="20" t="inlineStr">
        <is>
          <t>1/8/2026</t>
        </is>
      </c>
    </row>
    <row r="10">
      <c r="A10" s="20" t="inlineStr">
        <is>
          <t>Houston ISD</t>
        </is>
      </c>
      <c r="B10" s="20" t="inlineStr">
        <is>
          <t>Hogg Middle School</t>
        </is>
      </c>
      <c r="C10" s="20" t="inlineStr">
        <is>
          <t>2283554</t>
        </is>
      </c>
      <c r="D10" s="20" t="n">
        <v>237</v>
      </c>
      <c r="E10" s="20" t="n">
        <v>-71</v>
      </c>
      <c r="F10" s="20" t="n">
        <v>287</v>
      </c>
      <c r="G10" s="20" t="n">
        <v>215</v>
      </c>
      <c r="H10" s="20" t="n">
        <v>157</v>
      </c>
      <c r="I10" s="20" t="n">
        <v>1149</v>
      </c>
      <c r="J10" s="20" t="inlineStr">
        <is>
          <t>√</t>
        </is>
      </c>
      <c r="K10" s="20" t="inlineStr">
        <is>
          <t>√</t>
        </is>
      </c>
      <c r="L10" s="20" t="inlineStr">
        <is>
          <t>√</t>
        </is>
      </c>
      <c r="M10" s="20" t="inlineStr">
        <is>
          <t>Good Standing</t>
        </is>
      </c>
      <c r="P10" s="20" t="inlineStr">
        <is>
          <t>9/24/2026</t>
        </is>
      </c>
      <c r="Q10" s="20" t="inlineStr">
        <is>
          <t>√</t>
        </is>
      </c>
      <c r="R10" s="20" t="inlineStr">
        <is>
          <t>√</t>
        </is>
      </c>
      <c r="S10" s="20" t="inlineStr">
        <is>
          <t>√</t>
        </is>
      </c>
      <c r="T10" s="20" t="inlineStr">
        <is>
          <t>√</t>
        </is>
      </c>
      <c r="U10" s="20" t="inlineStr">
        <is>
          <t>√</t>
        </is>
      </c>
      <c r="V10" s="20" t="inlineStr">
        <is>
          <t>9/24/2026</t>
        </is>
      </c>
      <c r="W10" s="20" t="inlineStr">
        <is>
          <t>3/30/2026</t>
        </is>
      </c>
    </row>
    <row r="11">
      <c r="A11" s="20" t="inlineStr">
        <is>
          <t>Houston ISD</t>
        </is>
      </c>
      <c r="B11" s="20" t="inlineStr">
        <is>
          <t>Ketelsen</t>
        </is>
      </c>
      <c r="C11" s="20" t="inlineStr">
        <is>
          <t>2312525</t>
        </is>
      </c>
      <c r="D11" s="20" t="n">
        <v>26</v>
      </c>
      <c r="E11" s="20" t="n">
        <v>15</v>
      </c>
      <c r="F11" s="20" t="n">
        <v>9</v>
      </c>
      <c r="G11" s="20" t="n">
        <v>23</v>
      </c>
      <c r="H11" s="20" t="n">
        <v>20</v>
      </c>
      <c r="I11" s="20" t="n">
        <v>340</v>
      </c>
      <c r="J11" s="20" t="inlineStr">
        <is>
          <t>√</t>
        </is>
      </c>
      <c r="K11" s="20" t="inlineStr">
        <is>
          <t>√</t>
        </is>
      </c>
      <c r="L11" s="20" t="inlineStr">
        <is>
          <t>√</t>
        </is>
      </c>
      <c r="M11" s="20" t="inlineStr">
        <is>
          <t>Inactive</t>
        </is>
      </c>
      <c r="Q11" s="20" t="inlineStr">
        <is>
          <t>√</t>
        </is>
      </c>
      <c r="R11" s="20" t="inlineStr">
        <is>
          <t>X</t>
        </is>
      </c>
      <c r="S11" s="20" t="inlineStr">
        <is>
          <t>X</t>
        </is>
      </c>
      <c r="T11" s="20" t="inlineStr">
        <is>
          <t>√</t>
        </is>
      </c>
      <c r="U11" s="20" t="inlineStr">
        <is>
          <t>√</t>
        </is>
      </c>
      <c r="W11" s="20" t="inlineStr">
        <is>
          <t>9/15/2022</t>
        </is>
      </c>
    </row>
    <row r="12">
      <c r="A12" s="20" t="inlineStr">
        <is>
          <t>Houston ISD</t>
        </is>
      </c>
      <c r="B12" s="20" t="inlineStr">
        <is>
          <t>Northside High School</t>
        </is>
      </c>
      <c r="C12" s="20" t="inlineStr">
        <is>
          <t>2311869</t>
        </is>
      </c>
      <c r="D12" s="20" t="n">
        <v>2</v>
      </c>
      <c r="E12" s="20" t="n">
        <v>2</v>
      </c>
      <c r="F12" s="20" t="n">
        <v>0</v>
      </c>
      <c r="G12" s="20" t="n">
        <v>1</v>
      </c>
      <c r="H12" s="20" t="n">
        <v>22</v>
      </c>
      <c r="I12" s="20" t="n">
        <v>922</v>
      </c>
      <c r="J12" s="20" t="inlineStr">
        <is>
          <t>X</t>
        </is>
      </c>
      <c r="K12" s="20" t="inlineStr">
        <is>
          <t>X</t>
        </is>
      </c>
      <c r="L12" s="20" t="inlineStr">
        <is>
          <t>X</t>
        </is>
      </c>
      <c r="M12" s="20" t="inlineStr">
        <is>
          <t>Charter Withdrawal</t>
        </is>
      </c>
      <c r="Q12" s="20" t="inlineStr">
        <is>
          <t>X</t>
        </is>
      </c>
      <c r="R12" s="20" t="inlineStr">
        <is>
          <t>X</t>
        </is>
      </c>
      <c r="S12" s="20" t="inlineStr">
        <is>
          <t>X</t>
        </is>
      </c>
      <c r="T12" s="20" t="inlineStr">
        <is>
          <t>√</t>
        </is>
      </c>
      <c r="U12" s="20" t="inlineStr">
        <is>
          <t>X</t>
        </is>
      </c>
      <c r="W12" s="20" t="inlineStr">
        <is>
          <t>9/27/2021</t>
        </is>
      </c>
    </row>
    <row r="13">
      <c r="A13" s="20" t="inlineStr">
        <is>
          <t>Houston ISD</t>
        </is>
      </c>
      <c r="B13" s="20" t="inlineStr">
        <is>
          <t>Oak Forest Elementary</t>
        </is>
      </c>
      <c r="C13" s="20" t="inlineStr">
        <is>
          <t>5124</t>
        </is>
      </c>
      <c r="D13" s="20" t="n">
        <v>744</v>
      </c>
      <c r="E13" s="20" t="n">
        <v>-12</v>
      </c>
      <c r="F13" s="20" t="n">
        <v>689</v>
      </c>
      <c r="G13" s="20" t="n">
        <v>676</v>
      </c>
      <c r="H13" s="20" t="n">
        <v>639</v>
      </c>
      <c r="I13" s="20" t="n">
        <v>996</v>
      </c>
      <c r="J13" s="20" t="inlineStr">
        <is>
          <t>√</t>
        </is>
      </c>
      <c r="K13" s="20" t="inlineStr">
        <is>
          <t>√</t>
        </is>
      </c>
      <c r="L13" s="20" t="inlineStr">
        <is>
          <t>√</t>
        </is>
      </c>
      <c r="M13" s="20" t="inlineStr">
        <is>
          <t>Good Standing</t>
        </is>
      </c>
      <c r="P13" s="20" t="inlineStr">
        <is>
          <t>9/9/2026</t>
        </is>
      </c>
      <c r="Q13" s="20" t="inlineStr">
        <is>
          <t>√</t>
        </is>
      </c>
      <c r="R13" s="20" t="inlineStr">
        <is>
          <t>√</t>
        </is>
      </c>
      <c r="S13" s="20" t="inlineStr">
        <is>
          <t>√</t>
        </is>
      </c>
      <c r="T13" s="20" t="inlineStr">
        <is>
          <t>√</t>
        </is>
      </c>
      <c r="U13" s="20" t="inlineStr">
        <is>
          <t>√</t>
        </is>
      </c>
      <c r="V13" s="20" t="inlineStr">
        <is>
          <t>9/3/2026</t>
        </is>
      </c>
      <c r="W13" s="20" t="inlineStr">
        <is>
          <t>6/2/26</t>
        </is>
      </c>
    </row>
    <row r="14">
      <c r="A14" s="20" t="inlineStr">
        <is>
          <t>Houston ISD</t>
        </is>
      </c>
      <c r="B14" s="20" t="inlineStr">
        <is>
          <t>South Early Community</t>
        </is>
      </c>
      <c r="C14" s="20" t="inlineStr">
        <is>
          <t>2223725</t>
        </is>
      </c>
      <c r="D14" s="20" t="n">
        <v>71</v>
      </c>
      <c r="E14" s="20" t="n">
        <v>65</v>
      </c>
      <c r="F14" s="20" t="n">
        <v>0</v>
      </c>
      <c r="G14" s="20" t="n">
        <v>64</v>
      </c>
      <c r="H14" s="20" t="n">
        <v>21</v>
      </c>
      <c r="I14" s="20" t="n">
        <v>525</v>
      </c>
      <c r="J14" s="20" t="inlineStr">
        <is>
          <t>√</t>
        </is>
      </c>
      <c r="K14" s="20" t="inlineStr">
        <is>
          <t>√</t>
        </is>
      </c>
      <c r="L14" s="20" t="inlineStr">
        <is>
          <t>√</t>
        </is>
      </c>
      <c r="M14" s="20" t="inlineStr">
        <is>
          <t>Inactive</t>
        </is>
      </c>
      <c r="Q14" s="20" t="inlineStr">
        <is>
          <t>√</t>
        </is>
      </c>
      <c r="R14" s="20" t="inlineStr">
        <is>
          <t>X</t>
        </is>
      </c>
      <c r="S14" s="20" t="inlineStr">
        <is>
          <t>√</t>
        </is>
      </c>
      <c r="T14" s="20" t="inlineStr">
        <is>
          <t>√</t>
        </is>
      </c>
      <c r="U14" s="20" t="inlineStr">
        <is>
          <t>X</t>
        </is>
      </c>
      <c r="W14" s="20" t="inlineStr">
        <is>
          <t>9/11/2024</t>
        </is>
      </c>
    </row>
    <row r="15">
      <c r="A15" s="20" t="inlineStr">
        <is>
          <t>Houston ISD</t>
        </is>
      </c>
      <c r="B15" s="20" t="inlineStr">
        <is>
          <t>Tijerina Elementary</t>
        </is>
      </c>
      <c r="C15" s="20" t="inlineStr">
        <is>
          <t>5328</t>
        </is>
      </c>
      <c r="D15" s="20" t="n">
        <v>29</v>
      </c>
      <c r="E15" s="20" t="n">
        <v>27</v>
      </c>
      <c r="F15" s="20" t="n">
        <v>0</v>
      </c>
      <c r="G15" s="20" t="n">
        <v>26</v>
      </c>
      <c r="H15" s="20" t="n">
        <v>20</v>
      </c>
      <c r="I15" s="20" t="n">
        <v>282</v>
      </c>
      <c r="J15" s="20" t="inlineStr">
        <is>
          <t>√</t>
        </is>
      </c>
      <c r="K15" s="20" t="inlineStr">
        <is>
          <t>√</t>
        </is>
      </c>
      <c r="L15" s="20" t="inlineStr">
        <is>
          <t>√</t>
        </is>
      </c>
      <c r="M15" s="20" t="inlineStr">
        <is>
          <t>Inactive</t>
        </is>
      </c>
      <c r="Q15" s="20" t="inlineStr">
        <is>
          <t>X</t>
        </is>
      </c>
      <c r="R15" s="20" t="inlineStr">
        <is>
          <t>X</t>
        </is>
      </c>
      <c r="S15" s="20" t="inlineStr">
        <is>
          <t>√</t>
        </is>
      </c>
      <c r="T15" s="20" t="inlineStr">
        <is>
          <t>√</t>
        </is>
      </c>
      <c r="U15" s="20" t="inlineStr">
        <is>
          <t>X</t>
        </is>
      </c>
      <c r="W15" s="20" t="inlineStr">
        <is>
          <t>3/7/2024</t>
        </is>
      </c>
    </row>
    <row r="16">
      <c r="A16" s="20" t="inlineStr">
        <is>
          <t>Houston ISD</t>
        </is>
      </c>
      <c r="B16" s="20" t="inlineStr">
        <is>
          <t>Wainwright Elementary</t>
        </is>
      </c>
      <c r="C16" s="20" t="inlineStr">
        <is>
          <t>5340</t>
        </is>
      </c>
      <c r="D16" s="20" t="n">
        <v>1</v>
      </c>
      <c r="E16" s="20" t="n">
        <v>1</v>
      </c>
      <c r="F16" s="20" t="n">
        <v>0</v>
      </c>
      <c r="G16" s="20" t="n">
        <v>0</v>
      </c>
      <c r="H16" s="20" t="n">
        <v>20</v>
      </c>
      <c r="I16" s="20" t="n">
        <v>316</v>
      </c>
      <c r="J16" s="20" t="inlineStr">
        <is>
          <t>X</t>
        </is>
      </c>
      <c r="K16" s="20" t="inlineStr">
        <is>
          <t>X</t>
        </is>
      </c>
      <c r="L16" s="20" t="inlineStr">
        <is>
          <t>X</t>
        </is>
      </c>
      <c r="M16" s="20" t="inlineStr">
        <is>
          <t>Charter Withdrawal</t>
        </is>
      </c>
      <c r="Q16" s="20" t="inlineStr">
        <is>
          <t>X</t>
        </is>
      </c>
      <c r="R16" s="20" t="inlineStr">
        <is>
          <t>X</t>
        </is>
      </c>
      <c r="S16" s="20" t="inlineStr">
        <is>
          <t>X</t>
        </is>
      </c>
      <c r="T16" s="20" t="inlineStr">
        <is>
          <t>√</t>
        </is>
      </c>
      <c r="U16" s="20" t="inlineStr">
        <is>
          <t>X</t>
        </is>
      </c>
      <c r="W16" s="20" t="inlineStr">
        <is>
          <t>10/13/2021</t>
        </is>
      </c>
    </row>
    <row r="17">
      <c r="A17" s="20" t="inlineStr">
        <is>
          <t>Houston ISD</t>
        </is>
      </c>
      <c r="B17" s="20" t="inlineStr">
        <is>
          <t>William B. Travis Elementary</t>
        </is>
      </c>
      <c r="C17" s="20" t="inlineStr">
        <is>
          <t>5332</t>
        </is>
      </c>
      <c r="D17" s="20" t="n">
        <v>368</v>
      </c>
      <c r="E17" s="20" t="n">
        <v>-77</v>
      </c>
      <c r="F17" s="20" t="n">
        <v>412</v>
      </c>
      <c r="G17" s="20" t="n">
        <v>334</v>
      </c>
      <c r="H17" s="20" t="n">
        <v>317</v>
      </c>
      <c r="I17" s="20" t="n">
        <v>782</v>
      </c>
      <c r="J17" s="20" t="inlineStr">
        <is>
          <t>√</t>
        </is>
      </c>
      <c r="K17" s="20" t="inlineStr">
        <is>
          <t>√</t>
        </is>
      </c>
      <c r="L17" s="20" t="inlineStr">
        <is>
          <t>√</t>
        </is>
      </c>
      <c r="M17" s="20" t="inlineStr">
        <is>
          <t>Good Standing</t>
        </is>
      </c>
      <c r="P17" s="20" t="inlineStr">
        <is>
          <t>9/9/2026</t>
        </is>
      </c>
      <c r="Q17" s="20" t="inlineStr">
        <is>
          <t>√</t>
        </is>
      </c>
      <c r="R17" s="20" t="inlineStr">
        <is>
          <t>√</t>
        </is>
      </c>
      <c r="S17" s="20" t="inlineStr">
        <is>
          <t>√</t>
        </is>
      </c>
      <c r="T17" s="20" t="inlineStr">
        <is>
          <t>√</t>
        </is>
      </c>
      <c r="U17" s="20" t="inlineStr">
        <is>
          <t>√</t>
        </is>
      </c>
      <c r="V17" s="20" t="inlineStr">
        <is>
          <t>8/1/2026</t>
        </is>
      </c>
      <c r="W17" s="20" t="inlineStr">
        <is>
          <t>8/11/2025</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R12"/>
  <sheetViews>
    <sheetView workbookViewId="0">
      <pane ySplit="1" topLeftCell="A2" activePane="bottomLeft" state="frozen"/>
      <selection pane="bottomLeft" activeCell="A1" sqref="A1"/>
    </sheetView>
  </sheetViews>
  <sheetFormatPr baseColWidth="8" defaultRowHeight="15"/>
  <cols>
    <col width="18" customWidth="1" style="21" min="1" max="1"/>
    <col width="32" customWidth="1" style="21" min="2" max="2"/>
  </cols>
  <sheetData>
    <row r="1">
      <c r="A1" s="40" t="inlineStr">
        <is>
          <t>Campus</t>
        </is>
      </c>
      <c r="B1" s="40" t="inlineStr">
        <is>
          <t>Texas PTA Name</t>
        </is>
      </c>
      <c r="C1" s="40" t="inlineStr">
        <is>
          <t>Texas PTA ID</t>
        </is>
      </c>
      <c r="D1" s="40" t="inlineStr">
        <is>
          <t>PTA Status</t>
        </is>
      </c>
      <c r="E1" s="40" t="inlineStr">
        <is>
          <t>Good Standing Date</t>
        </is>
      </c>
      <c r="F1" s="40" t="inlineStr">
        <is>
          <t>SOA Officers</t>
        </is>
      </c>
      <c r="G1" s="40" t="inlineStr">
        <is>
          <t>SOA Membership</t>
        </is>
      </c>
      <c r="H1" s="40" t="inlineStr">
        <is>
          <t>SOA Bylaws</t>
        </is>
      </c>
      <c r="I1" s="40" t="inlineStr">
        <is>
          <t>SOA Standing Rules</t>
        </is>
      </c>
      <c r="J1" s="40" t="inlineStr">
        <is>
          <t>SOA 990</t>
        </is>
      </c>
      <c r="K1" s="40" t="inlineStr">
        <is>
          <t>JoinPTA Activation</t>
        </is>
      </c>
      <c r="L1" s="40" t="inlineStr">
        <is>
          <t>Current Members</t>
        </is>
      </c>
      <c r="M1" s="40" t="inlineStr">
        <is>
          <t>Membership Goal</t>
        </is>
      </c>
      <c r="N1" s="40" t="inlineStr">
        <is>
          <t>Active Status Date</t>
        </is>
      </c>
      <c r="O1" s="40" t="inlineStr">
        <is>
          <t>Bylaws Approved</t>
        </is>
      </c>
      <c r="P1" s="40" t="inlineStr">
        <is>
          <t>Note</t>
        </is>
      </c>
      <c r="Q1" s="40" t="inlineStr">
        <is>
          <t>Texas PTA Updated</t>
        </is>
      </c>
      <c r="R1" s="40" t="inlineStr">
        <is>
          <t>Imported</t>
        </is>
      </c>
    </row>
    <row r="2">
      <c r="A2" s="20" t="inlineStr">
        <is>
          <t>Hamilton MS</t>
        </is>
      </c>
      <c r="B2" s="20" t="inlineStr">
        <is>
          <t>Alexander Hamilton Middle School</t>
        </is>
      </c>
      <c r="C2" s="20" t="inlineStr">
        <is>
          <t>2312957</t>
        </is>
      </c>
      <c r="D2" s="20" t="inlineStr">
        <is>
          <t>Good Standing</t>
        </is>
      </c>
      <c r="E2" s="20" t="inlineStr">
        <is>
          <t>10/14/2026</t>
        </is>
      </c>
      <c r="F2" s="20" t="inlineStr">
        <is>
          <t>Yes</t>
        </is>
      </c>
      <c r="G2" s="20" t="inlineStr">
        <is>
          <t>Yes</t>
        </is>
      </c>
      <c r="H2" s="20" t="inlineStr">
        <is>
          <t>Yes</t>
        </is>
      </c>
      <c r="I2" s="20" t="inlineStr">
        <is>
          <t>Yes</t>
        </is>
      </c>
      <c r="J2" s="20" t="inlineStr">
        <is>
          <t>Yes</t>
        </is>
      </c>
      <c r="K2" s="20" t="inlineStr">
        <is>
          <t>Yes</t>
        </is>
      </c>
      <c r="L2" s="20" t="inlineStr">
        <is>
          <t>51</t>
        </is>
      </c>
      <c r="M2" s="20" t="inlineStr">
        <is>
          <t>32</t>
        </is>
      </c>
      <c r="N2" s="20" t="inlineStr">
        <is>
          <t>8/10/2026</t>
        </is>
      </c>
      <c r="O2" s="20" t="inlineStr">
        <is>
          <t>12/1/2025</t>
        </is>
      </c>
      <c r="P2" s="20" t="n"/>
      <c r="Q2" s="20" t="inlineStr">
        <is>
          <t>THU, October 15, 2026 at 8:48 AM</t>
        </is>
      </c>
      <c r="R2" s="20" t="inlineStr">
        <is>
          <t>2026-10-26 04:30</t>
        </is>
      </c>
    </row>
    <row r="3">
      <c r="A3" s="20" t="inlineStr">
        <is>
          <t>Browning ES</t>
        </is>
      </c>
      <c r="B3" s="20" t="inlineStr">
        <is>
          <t>Browning Elementary</t>
        </is>
      </c>
      <c r="C3" s="20" t="inlineStr">
        <is>
          <t>2312892</t>
        </is>
      </c>
      <c r="D3" s="20" t="inlineStr">
        <is>
          <t>Inactive</t>
        </is>
      </c>
      <c r="F3" s="20" t="inlineStr">
        <is>
          <t>Yes</t>
        </is>
      </c>
      <c r="G3" s="20" t="inlineStr">
        <is>
          <t>No</t>
        </is>
      </c>
      <c r="H3" s="20" t="inlineStr">
        <is>
          <t>Yes</t>
        </is>
      </c>
      <c r="I3" s="20" t="inlineStr">
        <is>
          <t>Yes</t>
        </is>
      </c>
      <c r="J3" s="20" t="inlineStr">
        <is>
          <t>No</t>
        </is>
      </c>
      <c r="K3" s="20" t="inlineStr">
        <is>
          <t>Yes</t>
        </is>
      </c>
      <c r="L3" s="20" t="inlineStr">
        <is>
          <t>0</t>
        </is>
      </c>
      <c r="M3" s="20" t="inlineStr">
        <is>
          <t>28</t>
        </is>
      </c>
      <c r="N3" s="20" t="n"/>
      <c r="O3" s="20" t="inlineStr">
        <is>
          <t>5/12/2025</t>
        </is>
      </c>
      <c r="P3" s="20" t="n"/>
      <c r="Q3" s="20" t="inlineStr">
        <is>
          <t>THU, October 15, 2026 at 8:48 AM</t>
        </is>
      </c>
      <c r="R3" s="20" t="inlineStr">
        <is>
          <t>2026-10-26 04:30</t>
        </is>
      </c>
    </row>
    <row r="4">
      <c r="A4" s="20" t="inlineStr">
        <is>
          <t>Durham ES</t>
        </is>
      </c>
      <c r="B4" s="20" t="inlineStr">
        <is>
          <t>Durham Elementary</t>
        </is>
      </c>
      <c r="C4" s="20" t="inlineStr">
        <is>
          <t>4784</t>
        </is>
      </c>
      <c r="D4" s="20" t="inlineStr">
        <is>
          <t>Good Standing</t>
        </is>
      </c>
      <c r="E4" s="20" t="inlineStr">
        <is>
          <t>10/14/2026</t>
        </is>
      </c>
      <c r="F4" s="20" t="inlineStr">
        <is>
          <t>Yes</t>
        </is>
      </c>
      <c r="G4" s="20" t="inlineStr">
        <is>
          <t>Yes</t>
        </is>
      </c>
      <c r="H4" s="20" t="inlineStr">
        <is>
          <t>Yes</t>
        </is>
      </c>
      <c r="I4" s="20" t="inlineStr">
        <is>
          <t>Yes</t>
        </is>
      </c>
      <c r="J4" s="20" t="inlineStr">
        <is>
          <t>Yes</t>
        </is>
      </c>
      <c r="K4" s="20" t="inlineStr">
        <is>
          <t>Yes</t>
        </is>
      </c>
      <c r="L4" s="20" t="inlineStr">
        <is>
          <t>21</t>
        </is>
      </c>
      <c r="M4" s="20" t="inlineStr">
        <is>
          <t>312</t>
        </is>
      </c>
      <c r="N4" s="20" t="inlineStr">
        <is>
          <t>10/9/2026</t>
        </is>
      </c>
      <c r="O4" s="20" t="inlineStr">
        <is>
          <t>3/21/2025</t>
        </is>
      </c>
      <c r="P4" s="20" t="n"/>
      <c r="Q4" s="20" t="inlineStr">
        <is>
          <t>THU, October 15, 2026 at 8:48 AM</t>
        </is>
      </c>
      <c r="R4" s="20" t="inlineStr">
        <is>
          <t>2026-10-26 04:30</t>
        </is>
      </c>
    </row>
    <row r="5">
      <c r="A5" s="20" t="inlineStr">
        <is>
          <t>Harvard ES</t>
        </is>
      </c>
      <c r="B5" s="20" t="inlineStr">
        <is>
          <t>Harvard Elementary</t>
        </is>
      </c>
      <c r="C5" s="20" t="inlineStr">
        <is>
          <t>4888</t>
        </is>
      </c>
      <c r="D5" s="20" t="inlineStr">
        <is>
          <t>Active</t>
        </is>
      </c>
      <c r="F5" s="20" t="inlineStr">
        <is>
          <t>Yes</t>
        </is>
      </c>
      <c r="G5" s="20" t="inlineStr">
        <is>
          <t>Yes</t>
        </is>
      </c>
      <c r="H5" s="20" t="inlineStr">
        <is>
          <t>Yes</t>
        </is>
      </c>
      <c r="I5" s="20" t="inlineStr">
        <is>
          <t>Yes</t>
        </is>
      </c>
      <c r="J5" s="20" t="inlineStr">
        <is>
          <t>No</t>
        </is>
      </c>
      <c r="K5" s="20" t="inlineStr">
        <is>
          <t>Yes</t>
        </is>
      </c>
      <c r="L5" s="20" t="inlineStr">
        <is>
          <t>53</t>
        </is>
      </c>
      <c r="M5" s="20" t="inlineStr">
        <is>
          <t>91</t>
        </is>
      </c>
      <c r="N5" s="20" t="inlineStr">
        <is>
          <t>8/17/2026</t>
        </is>
      </c>
      <c r="O5" s="20" t="inlineStr">
        <is>
          <t>7/8/2024</t>
        </is>
      </c>
      <c r="P5" s="20" t="n"/>
      <c r="Q5" s="20" t="inlineStr">
        <is>
          <t>THU, October 15, 2026 at 8:48 AM</t>
        </is>
      </c>
      <c r="R5" s="20" t="inlineStr">
        <is>
          <t>2026-10-26 04:30</t>
        </is>
      </c>
    </row>
    <row r="6">
      <c r="A6" s="20" t="inlineStr">
        <is>
          <t>Helms ES</t>
        </is>
      </c>
      <c r="B6" s="20" t="inlineStr">
        <is>
          <t>Helms Elementary</t>
        </is>
      </c>
      <c r="C6" s="20" t="inlineStr">
        <is>
          <t>4892</t>
        </is>
      </c>
      <c r="D6" s="20" t="inlineStr">
        <is>
          <t>Inactive</t>
        </is>
      </c>
      <c r="F6" s="20" t="inlineStr">
        <is>
          <t>Yes</t>
        </is>
      </c>
      <c r="G6" s="20" t="inlineStr">
        <is>
          <t>No</t>
        </is>
      </c>
      <c r="H6" s="20" t="inlineStr">
        <is>
          <t>Yes</t>
        </is>
      </c>
      <c r="I6" s="20" t="inlineStr">
        <is>
          <t>Yes</t>
        </is>
      </c>
      <c r="J6" s="20" t="inlineStr">
        <is>
          <t>No</t>
        </is>
      </c>
      <c r="K6" s="20" t="inlineStr">
        <is>
          <t>Yes</t>
        </is>
      </c>
      <c r="L6" s="20" t="inlineStr">
        <is>
          <t>0</t>
        </is>
      </c>
      <c r="M6" s="20" t="inlineStr">
        <is>
          <t>338</t>
        </is>
      </c>
      <c r="N6" s="20" t="n"/>
      <c r="O6" s="20" t="inlineStr">
        <is>
          <t>1/8/2026</t>
        </is>
      </c>
      <c r="P6" s="20" t="n"/>
      <c r="Q6" s="20" t="inlineStr">
        <is>
          <t>THU, October 15, 2026 at 8:48 AM</t>
        </is>
      </c>
      <c r="R6" s="20" t="inlineStr">
        <is>
          <t>2026-10-26 04:30</t>
        </is>
      </c>
    </row>
    <row r="7">
      <c r="A7" s="20" t="inlineStr">
        <is>
          <t>Hogg MS</t>
        </is>
      </c>
      <c r="B7" s="20" t="inlineStr">
        <is>
          <t>Hogg Middle School</t>
        </is>
      </c>
      <c r="C7" s="20" t="inlineStr">
        <is>
          <t>2283554</t>
        </is>
      </c>
      <c r="D7" s="20" t="inlineStr">
        <is>
          <t>Good Standing</t>
        </is>
      </c>
      <c r="E7" s="20" t="inlineStr">
        <is>
          <t>9/24/2026</t>
        </is>
      </c>
      <c r="F7" s="20" t="inlineStr">
        <is>
          <t>Yes</t>
        </is>
      </c>
      <c r="G7" s="20" t="inlineStr">
        <is>
          <t>Yes</t>
        </is>
      </c>
      <c r="H7" s="20" t="inlineStr">
        <is>
          <t>Yes</t>
        </is>
      </c>
      <c r="I7" s="20" t="inlineStr">
        <is>
          <t>Yes</t>
        </is>
      </c>
      <c r="J7" s="20" t="inlineStr">
        <is>
          <t>Yes</t>
        </is>
      </c>
      <c r="K7" s="20" t="inlineStr">
        <is>
          <t>Yes</t>
        </is>
      </c>
      <c r="L7" s="20" t="inlineStr">
        <is>
          <t>287</t>
        </is>
      </c>
      <c r="M7" s="20" t="inlineStr">
        <is>
          <t>237</t>
        </is>
      </c>
      <c r="N7" s="20" t="inlineStr">
        <is>
          <t>9/24/2026</t>
        </is>
      </c>
      <c r="O7" s="20" t="inlineStr">
        <is>
          <t>3/30/2026</t>
        </is>
      </c>
      <c r="P7" s="20" t="n"/>
      <c r="Q7" s="20" t="inlineStr">
        <is>
          <t>THU, October 15, 2026 at 8:48 AM</t>
        </is>
      </c>
      <c r="R7" s="20" t="inlineStr">
        <is>
          <t>2026-10-26 04:30</t>
        </is>
      </c>
    </row>
    <row r="8">
      <c r="A8" s="20" t="inlineStr">
        <is>
          <t>Ketelsen ES</t>
        </is>
      </c>
      <c r="B8" s="20" t="inlineStr">
        <is>
          <t>Ketelsen</t>
        </is>
      </c>
      <c r="C8" s="20" t="inlineStr">
        <is>
          <t>2312525</t>
        </is>
      </c>
      <c r="D8" s="20" t="inlineStr">
        <is>
          <t>Inactive</t>
        </is>
      </c>
      <c r="F8" s="20" t="inlineStr">
        <is>
          <t>Yes</t>
        </is>
      </c>
      <c r="G8" s="20" t="inlineStr">
        <is>
          <t>No</t>
        </is>
      </c>
      <c r="H8" s="20" t="inlineStr">
        <is>
          <t>No</t>
        </is>
      </c>
      <c r="I8" s="20" t="inlineStr">
        <is>
          <t>Yes</t>
        </is>
      </c>
      <c r="J8" s="20" t="inlineStr">
        <is>
          <t>Yes</t>
        </is>
      </c>
      <c r="K8" s="20" t="inlineStr">
        <is>
          <t>Yes</t>
        </is>
      </c>
      <c r="L8" s="20" t="inlineStr">
        <is>
          <t>9</t>
        </is>
      </c>
      <c r="M8" s="20" t="inlineStr">
        <is>
          <t>26</t>
        </is>
      </c>
      <c r="N8" s="20" t="n"/>
      <c r="O8" s="20" t="inlineStr">
        <is>
          <t>9/15/2022</t>
        </is>
      </c>
      <c r="P8" s="20" t="n"/>
      <c r="Q8" s="20" t="inlineStr">
        <is>
          <t>THU, October 15, 2026 at 8:48 AM</t>
        </is>
      </c>
      <c r="R8" s="20" t="inlineStr">
        <is>
          <t>2026-10-26 04:30</t>
        </is>
      </c>
    </row>
    <row r="9">
      <c r="A9" s="20" t="inlineStr">
        <is>
          <t>Oak Forest ES</t>
        </is>
      </c>
      <c r="B9" s="20" t="inlineStr">
        <is>
          <t>Oak Forest Elementary</t>
        </is>
      </c>
      <c r="C9" s="20" t="inlineStr">
        <is>
          <t>5124</t>
        </is>
      </c>
      <c r="D9" s="20" t="inlineStr">
        <is>
          <t>Good Standing</t>
        </is>
      </c>
      <c r="E9" s="20" t="inlineStr">
        <is>
          <t>9/9/2026</t>
        </is>
      </c>
      <c r="F9" s="20" t="inlineStr">
        <is>
          <t>Yes</t>
        </is>
      </c>
      <c r="G9" s="20" t="inlineStr">
        <is>
          <t>Yes</t>
        </is>
      </c>
      <c r="H9" s="20" t="inlineStr">
        <is>
          <t>Yes</t>
        </is>
      </c>
      <c r="I9" s="20" t="inlineStr">
        <is>
          <t>Yes</t>
        </is>
      </c>
      <c r="J9" s="20" t="inlineStr">
        <is>
          <t>Yes</t>
        </is>
      </c>
      <c r="K9" s="20" t="inlineStr">
        <is>
          <t>Yes</t>
        </is>
      </c>
      <c r="L9" s="20" t="inlineStr">
        <is>
          <t>689</t>
        </is>
      </c>
      <c r="M9" s="20" t="inlineStr">
        <is>
          <t>744</t>
        </is>
      </c>
      <c r="N9" s="20" t="inlineStr">
        <is>
          <t>9/3/2026</t>
        </is>
      </c>
      <c r="O9" s="20" t="inlineStr">
        <is>
          <t>6/2/26</t>
        </is>
      </c>
      <c r="P9" s="20" t="n"/>
      <c r="Q9" s="20" t="inlineStr">
        <is>
          <t>THU, October 15, 2026 at 8:48 AM</t>
        </is>
      </c>
      <c r="R9" s="20" t="inlineStr">
        <is>
          <t>2026-10-26 04:30</t>
        </is>
      </c>
    </row>
    <row r="10">
      <c r="A10" s="20" t="inlineStr">
        <is>
          <t>South EC HS</t>
        </is>
      </c>
      <c r="B10" s="20" t="inlineStr">
        <is>
          <t>South Early Community</t>
        </is>
      </c>
      <c r="C10" s="20" t="inlineStr">
        <is>
          <t>2223725</t>
        </is>
      </c>
      <c r="D10" s="20" t="inlineStr">
        <is>
          <t>Inactive</t>
        </is>
      </c>
      <c r="F10" s="20" t="inlineStr">
        <is>
          <t>Yes</t>
        </is>
      </c>
      <c r="G10" s="20" t="inlineStr">
        <is>
          <t>No</t>
        </is>
      </c>
      <c r="H10" s="20" t="inlineStr">
        <is>
          <t>Yes</t>
        </is>
      </c>
      <c r="I10" s="20" t="inlineStr">
        <is>
          <t>Yes</t>
        </is>
      </c>
      <c r="J10" s="20" t="inlineStr">
        <is>
          <t>No</t>
        </is>
      </c>
      <c r="K10" s="20" t="inlineStr">
        <is>
          <t>Yes</t>
        </is>
      </c>
      <c r="L10" s="20" t="inlineStr">
        <is>
          <t>0</t>
        </is>
      </c>
      <c r="M10" s="20" t="inlineStr">
        <is>
          <t>71</t>
        </is>
      </c>
      <c r="N10" s="20" t="n"/>
      <c r="O10" s="20" t="inlineStr">
        <is>
          <t>9/11/2024</t>
        </is>
      </c>
      <c r="P10" s="20" t="n"/>
      <c r="Q10" s="20" t="inlineStr">
        <is>
          <t>THU, October 15, 2026 at 8:48 AM</t>
        </is>
      </c>
      <c r="R10" s="20" t="inlineStr">
        <is>
          <t>2026-10-26 04:30</t>
        </is>
      </c>
    </row>
    <row r="11">
      <c r="A11" s="20" t="inlineStr">
        <is>
          <t>Tijerina ES</t>
        </is>
      </c>
      <c r="B11" s="20" t="inlineStr">
        <is>
          <t>Tijerina Elementary</t>
        </is>
      </c>
      <c r="C11" s="20" t="inlineStr">
        <is>
          <t>5328</t>
        </is>
      </c>
      <c r="D11" s="20" t="inlineStr">
        <is>
          <t>Inactive</t>
        </is>
      </c>
      <c r="F11" s="20" t="inlineStr">
        <is>
          <t>No</t>
        </is>
      </c>
      <c r="G11" s="20" t="inlineStr">
        <is>
          <t>No</t>
        </is>
      </c>
      <c r="H11" s="20" t="inlineStr">
        <is>
          <t>Yes</t>
        </is>
      </c>
      <c r="I11" s="20" t="inlineStr">
        <is>
          <t>Yes</t>
        </is>
      </c>
      <c r="J11" s="20" t="inlineStr">
        <is>
          <t>No</t>
        </is>
      </c>
      <c r="K11" s="20" t="inlineStr">
        <is>
          <t>Yes</t>
        </is>
      </c>
      <c r="L11" s="20" t="inlineStr">
        <is>
          <t>0</t>
        </is>
      </c>
      <c r="M11" s="20" t="inlineStr">
        <is>
          <t>29</t>
        </is>
      </c>
      <c r="N11" s="20" t="n"/>
      <c r="O11" s="20" t="inlineStr">
        <is>
          <t>3/7/2024</t>
        </is>
      </c>
      <c r="P11" s="20" t="n"/>
      <c r="Q11" s="20" t="inlineStr">
        <is>
          <t>THU, October 15, 2026 at 8:48 AM</t>
        </is>
      </c>
      <c r="R11" s="20" t="inlineStr">
        <is>
          <t>2026-10-26 04:30</t>
        </is>
      </c>
    </row>
    <row r="12">
      <c r="A12" s="20" t="inlineStr">
        <is>
          <t>Travis ES</t>
        </is>
      </c>
      <c r="B12" s="20" t="inlineStr">
        <is>
          <t>William B. Travis Elementary</t>
        </is>
      </c>
      <c r="C12" s="20" t="inlineStr">
        <is>
          <t>5332</t>
        </is>
      </c>
      <c r="D12" s="20" t="inlineStr">
        <is>
          <t>Good Standing</t>
        </is>
      </c>
      <c r="E12" s="20" t="inlineStr">
        <is>
          <t>9/9/2026</t>
        </is>
      </c>
      <c r="F12" s="20" t="inlineStr">
        <is>
          <t>Yes</t>
        </is>
      </c>
      <c r="G12" s="20" t="inlineStr">
        <is>
          <t>Yes</t>
        </is>
      </c>
      <c r="H12" s="20" t="inlineStr">
        <is>
          <t>Yes</t>
        </is>
      </c>
      <c r="I12" s="20" t="inlineStr">
        <is>
          <t>Yes</t>
        </is>
      </c>
      <c r="J12" s="20" t="inlineStr">
        <is>
          <t>Yes</t>
        </is>
      </c>
      <c r="K12" s="20" t="inlineStr">
        <is>
          <t>Yes</t>
        </is>
      </c>
      <c r="L12" s="20" t="inlineStr">
        <is>
          <t>412</t>
        </is>
      </c>
      <c r="M12" s="20" t="inlineStr">
        <is>
          <t>368</t>
        </is>
      </c>
      <c r="N12" s="20" t="inlineStr">
        <is>
          <t>8/1/2026</t>
        </is>
      </c>
      <c r="O12" s="20" t="inlineStr">
        <is>
          <t>8/11/2025</t>
        </is>
      </c>
      <c r="P12" s="20" t="n"/>
      <c r="Q12" s="20" t="inlineStr">
        <is>
          <t>THU, October 15, 2026 at 8:48 AM</t>
        </is>
      </c>
      <c r="R12" s="20" t="inlineStr">
        <is>
          <t>2026-10-26 04:30</t>
        </is>
      </c>
    </row>
  </sheetData>
  <pageMargins left="0.75" right="0.75" top="1" bottom="1" header="0.5" footer="0.5"/>
</worksheet>
</file>

<file path=xl/worksheets/sheet14.xml><?xml version="1.0" encoding="utf-8"?>
<worksheet xmlns="http://schemas.openxmlformats.org/spreadsheetml/2006/main">
  <sheetPr filterMode="0">
    <outlinePr summaryBelow="1" summaryRight="1"/>
    <pageSetUpPr fitToPage="1"/>
  </sheetPr>
  <dimension ref="A1:D27"/>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40" customWidth="1" style="20" min="1" max="2"/>
    <col width="20" customWidth="1" style="20" min="3" max="3"/>
    <col width="80" customWidth="1" style="20" min="4" max="4"/>
  </cols>
  <sheetData>
    <row r="1" ht="18.55" customHeight="1" s="21">
      <c r="A1" s="22" t="inlineStr">
        <is>
          <t>Roster Match Notes</t>
        </is>
      </c>
      <c r="B1" s="24" t="n"/>
      <c r="C1" s="24" t="n"/>
      <c r="D1" s="24" t="n"/>
    </row>
    <row r="2" ht="30" customHeight="1" s="21">
      <c r="A2" s="38" t="inlineStr">
        <is>
          <t>Campus names in the TB PTO/PTA Tracker (used in the register) that are spelled differently in the Area Office assignments workbook. Rows marked Confirmed were checked and accepted. The two rows with no Area Office are not in the assignments workbook at all; they are left blank to fill in or delete later.</t>
        </is>
      </c>
    </row>
    <row r="3" ht="15" customHeight="1" s="21">
      <c r="A3" s="24" t="n"/>
      <c r="B3" s="24" t="n"/>
      <c r="C3" s="24" t="n"/>
      <c r="D3" s="24" t="n"/>
    </row>
    <row r="4" ht="15" customHeight="1" s="21">
      <c r="A4" s="28" t="inlineStr">
        <is>
          <t>Name in the tracker (used in the register)</t>
        </is>
      </c>
      <c r="B4" s="28" t="inlineStr">
        <is>
          <t>Name in the assignments workbook</t>
        </is>
      </c>
      <c r="C4" s="28" t="inlineStr">
        <is>
          <t>Area Office</t>
        </is>
      </c>
      <c r="D4" s="28" t="inlineStr">
        <is>
          <t>Note</t>
        </is>
      </c>
    </row>
    <row r="5" ht="15" customHeight="1" s="21">
      <c r="A5" s="41" t="inlineStr">
        <is>
          <t>Henderson NQ ES</t>
        </is>
      </c>
      <c r="B5" s="41" t="n"/>
      <c r="C5" s="41" t="n"/>
      <c r="D5" s="41" t="inlineStr">
        <is>
          <t>Not in the assignments workbook (only JP Henderson ES is). Area Office left blank.</t>
        </is>
      </c>
    </row>
    <row r="6" ht="15" customHeight="1" s="21">
      <c r="A6" s="41" t="inlineStr">
        <is>
          <t>Middle College HS - Gulfton</t>
        </is>
      </c>
      <c r="B6" s="41" t="n"/>
      <c r="C6" s="41" t="n"/>
      <c r="D6" s="41" t="inlineStr">
        <is>
          <t>Not in the assignments workbook (only MC Fraga EC HS is). Area Office left blank.</t>
        </is>
      </c>
    </row>
    <row r="7" ht="15" customHeight="1" s="21">
      <c r="A7" s="42" t="inlineStr">
        <is>
          <t>Baylor College MS</t>
        </is>
      </c>
      <c r="B7" s="42" t="inlineStr">
        <is>
          <t>Baylor @ Ryan MS</t>
        </is>
      </c>
      <c r="C7" s="42" t="inlineStr">
        <is>
          <t>EAS Secondary</t>
        </is>
      </c>
      <c r="D7" s="42" t="inlineStr">
        <is>
          <t>Confirmed: Baylor College of Medicine Academy at Ryan.</t>
        </is>
      </c>
    </row>
    <row r="8" ht="15" customHeight="1" s="21">
      <c r="A8" s="42" t="inlineStr">
        <is>
          <t>McReynolds MS</t>
        </is>
      </c>
      <c r="B8" s="42" t="inlineStr">
        <is>
          <t>Fleming/McReynolds (@ Leland MS )</t>
        </is>
      </c>
      <c r="C8" s="42" t="inlineStr">
        <is>
          <t>NES Secondary</t>
        </is>
      </c>
      <c r="D8" s="42" t="inlineStr">
        <is>
          <t>Confirmed: the assignments workbook lists Fleming and McReynolds as one combined campus.</t>
        </is>
      </c>
    </row>
    <row r="9" ht="15" customHeight="1" s="21">
      <c r="A9" s="42" t="inlineStr">
        <is>
          <t>Williams MS</t>
        </is>
      </c>
      <c r="B9" s="42" t="inlineStr">
        <is>
          <t>McWilliams MS</t>
        </is>
      </c>
      <c r="C9" s="42" t="inlineStr">
        <is>
          <t>NES Secondary</t>
        </is>
      </c>
      <c r="D9" s="42" t="inlineStr">
        <is>
          <t>Confirmed: McWilliams MS. No other tracker row maps to it.</t>
        </is>
      </c>
    </row>
    <row r="10" ht="15" customHeight="1" s="21">
      <c r="A10" s="42" t="inlineStr">
        <is>
          <t>BCM Biotech Acad at Rusk</t>
        </is>
      </c>
      <c r="B10" s="42" t="inlineStr">
        <is>
          <t>BCM Biotech @ Rusk MS</t>
        </is>
      </c>
      <c r="C10" s="42" t="inlineStr">
        <is>
          <t>EAS Secondary</t>
        </is>
      </c>
      <c r="D10" s="42" t="inlineStr">
        <is>
          <t>Same campus, spelled differently.</t>
        </is>
      </c>
    </row>
    <row r="11" ht="15" customHeight="1" s="21">
      <c r="A11" s="42" t="inlineStr">
        <is>
          <t>De Chaumes ES</t>
        </is>
      </c>
      <c r="B11" s="42" t="inlineStr">
        <is>
          <t>DeChaumes ES</t>
        </is>
      </c>
      <c r="C11" s="42" t="inlineStr">
        <is>
          <t>EAS Elementary</t>
        </is>
      </c>
      <c r="D11" s="42" t="inlineStr">
        <is>
          <t>Same campus, spelled differently.</t>
        </is>
      </c>
    </row>
    <row r="12" ht="15" customHeight="1" s="21">
      <c r="A12" s="42" t="inlineStr">
        <is>
          <t>DeZavala ES</t>
        </is>
      </c>
      <c r="B12" s="42" t="inlineStr">
        <is>
          <t>De Zavala ES</t>
        </is>
      </c>
      <c r="C12" s="42" t="inlineStr">
        <is>
          <t>NES Elementary</t>
        </is>
      </c>
      <c r="D12" s="42" t="inlineStr">
        <is>
          <t>Same campus, spelled differently.</t>
        </is>
      </c>
    </row>
    <row r="13" ht="15" customHeight="1" s="21">
      <c r="A13" s="42" t="inlineStr">
        <is>
          <t>East EC HS</t>
        </is>
      </c>
      <c r="B13" s="42" t="inlineStr">
        <is>
          <t>East Early HS</t>
        </is>
      </c>
      <c r="C13" s="42" t="inlineStr">
        <is>
          <t>EAS Secondary</t>
        </is>
      </c>
      <c r="D13" s="42" t="inlineStr">
        <is>
          <t>Same campus, spelled differently.</t>
        </is>
      </c>
    </row>
    <row r="14" ht="15" customHeight="1" s="21">
      <c r="A14" s="42" t="inlineStr">
        <is>
          <t>Garden Oaks</t>
        </is>
      </c>
      <c r="B14" s="42" t="inlineStr">
        <is>
          <t>Garden Oaks K - 8</t>
        </is>
      </c>
      <c r="C14" s="42" t="inlineStr">
        <is>
          <t>EAS Elementary</t>
        </is>
      </c>
      <c r="D14" s="42" t="inlineStr">
        <is>
          <t>Same campus, spelled differently.</t>
        </is>
      </c>
    </row>
    <row r="15" ht="15" customHeight="1" s="21">
      <c r="A15" s="42" t="inlineStr">
        <is>
          <t>HAIS HS</t>
        </is>
      </c>
      <c r="B15" s="42" t="inlineStr">
        <is>
          <t>HAIS</t>
        </is>
      </c>
      <c r="C15" s="42" t="inlineStr">
        <is>
          <t>Programs/Charters</t>
        </is>
      </c>
      <c r="D15" s="42" t="inlineStr">
        <is>
          <t>Same campus, spelled differently.</t>
        </is>
      </c>
    </row>
    <row r="16" ht="15" customHeight="1" s="21">
      <c r="A16" s="42" t="inlineStr">
        <is>
          <t>Henderson JP ES</t>
        </is>
      </c>
      <c r="B16" s="42" t="inlineStr">
        <is>
          <t>JP Henderson ES</t>
        </is>
      </c>
      <c r="C16" s="42" t="inlineStr">
        <is>
          <t>EAS Elementary</t>
        </is>
      </c>
      <c r="D16" s="42" t="inlineStr">
        <is>
          <t>Same campus, spelled differently.</t>
        </is>
      </c>
    </row>
    <row r="17" ht="15" customHeight="1" s="21">
      <c r="A17" s="42" t="inlineStr">
        <is>
          <t>High School Ahead Acad MS</t>
        </is>
      </c>
      <c r="B17" s="42" t="inlineStr">
        <is>
          <t>High School Ahead MS</t>
        </is>
      </c>
      <c r="C17" s="42" t="inlineStr">
        <is>
          <t>EAS Secondary</t>
        </is>
      </c>
      <c r="D17" s="42" t="inlineStr">
        <is>
          <t>Same campus, spelled differently.</t>
        </is>
      </c>
    </row>
    <row r="18" ht="15" customHeight="1" s="21">
      <c r="A18" s="42" t="inlineStr">
        <is>
          <t>Highland Heights ES</t>
        </is>
      </c>
      <c r="B18" s="42" t="inlineStr">
        <is>
          <t>Highland Height ES</t>
        </is>
      </c>
      <c r="C18" s="42" t="inlineStr">
        <is>
          <t>NES Elementary</t>
        </is>
      </c>
      <c r="D18" s="42" t="inlineStr">
        <is>
          <t>Same campus, spelled differently.</t>
        </is>
      </c>
    </row>
    <row r="19" ht="15" customHeight="1" s="21">
      <c r="A19" s="42" t="inlineStr">
        <is>
          <t>Houston MSTC HS</t>
        </is>
      </c>
      <c r="B19" s="42" t="inlineStr">
        <is>
          <t>Houston MSTC</t>
        </is>
      </c>
      <c r="C19" s="42" t="inlineStr">
        <is>
          <t>NES Secondary</t>
        </is>
      </c>
      <c r="D19" s="42" t="inlineStr">
        <is>
          <t>Same campus, spelled differently.</t>
        </is>
      </c>
    </row>
    <row r="20" ht="15" customHeight="1" s="21">
      <c r="A20" s="42" t="inlineStr">
        <is>
          <t>Mandarin Immersion Magnet</t>
        </is>
      </c>
      <c r="B20" s="42" t="inlineStr">
        <is>
          <t>Mandarin Immersion</t>
        </is>
      </c>
      <c r="C20" s="42" t="inlineStr">
        <is>
          <t>EAS Elementary</t>
        </is>
      </c>
      <c r="D20" s="42" t="inlineStr">
        <is>
          <t>Same campus, spelled differently.</t>
        </is>
      </c>
    </row>
    <row r="21" ht="15" customHeight="1" s="21">
      <c r="A21" s="42" t="inlineStr">
        <is>
          <t>Rice School PK-8</t>
        </is>
      </c>
      <c r="B21" s="42" t="inlineStr">
        <is>
          <t>Rice School</t>
        </is>
      </c>
      <c r="C21" s="42" t="inlineStr">
        <is>
          <t>EAS Elementary</t>
        </is>
      </c>
      <c r="D21" s="42" t="inlineStr">
        <is>
          <t>Same campus, spelled differently.</t>
        </is>
      </c>
    </row>
    <row r="22" ht="15" customHeight="1" s="21">
      <c r="A22" s="42" t="inlineStr">
        <is>
          <t>Rogers T H</t>
        </is>
      </c>
      <c r="B22" s="42" t="inlineStr">
        <is>
          <t>TH Rogers</t>
        </is>
      </c>
      <c r="C22" s="42" t="inlineStr">
        <is>
          <t>EAS Elementary</t>
        </is>
      </c>
      <c r="D22" s="42" t="inlineStr">
        <is>
          <t>Same campus, spelled differently.</t>
        </is>
      </c>
    </row>
    <row r="23" ht="15" customHeight="1" s="21">
      <c r="A23" s="42" t="inlineStr">
        <is>
          <t>School at St. George ES</t>
        </is>
      </c>
      <c r="B23" s="42" t="inlineStr">
        <is>
          <t>St. George ES</t>
        </is>
      </c>
      <c r="C23" s="42" t="inlineStr">
        <is>
          <t>EAS Elementary</t>
        </is>
      </c>
      <c r="D23" s="42" t="inlineStr">
        <is>
          <t>Same campus, spelled differently.</t>
        </is>
      </c>
    </row>
    <row r="24" ht="15" customHeight="1" s="21">
      <c r="A24" s="42" t="inlineStr">
        <is>
          <t>South EC HS</t>
        </is>
      </c>
      <c r="B24" s="42" t="inlineStr">
        <is>
          <t>South Early HS</t>
        </is>
      </c>
      <c r="C24" s="42" t="inlineStr">
        <is>
          <t>EAS Secondary</t>
        </is>
      </c>
      <c r="D24" s="42" t="inlineStr">
        <is>
          <t>Same campus, spelled differently.</t>
        </is>
      </c>
    </row>
    <row r="25" ht="15" customHeight="1" s="21">
      <c r="A25" s="42" t="inlineStr">
        <is>
          <t>Wharton K-8</t>
        </is>
      </c>
      <c r="B25" s="42" t="inlineStr">
        <is>
          <t>Wharton</t>
        </is>
      </c>
      <c r="C25" s="42" t="inlineStr">
        <is>
          <t>EAS Elementary</t>
        </is>
      </c>
      <c r="D25" s="42" t="inlineStr">
        <is>
          <t>Same campus, spelled differently.</t>
        </is>
      </c>
    </row>
    <row r="26" ht="15" customHeight="1" s="21">
      <c r="A26" s="42" t="inlineStr">
        <is>
          <t>White M ES</t>
        </is>
      </c>
      <c r="B26" s="42" t="inlineStr">
        <is>
          <t>M. White ES</t>
        </is>
      </c>
      <c r="C26" s="42" t="inlineStr">
        <is>
          <t>EAS Elementary</t>
        </is>
      </c>
      <c r="D26" s="42" t="inlineStr">
        <is>
          <t>Same campus, spelled differently.</t>
        </is>
      </c>
    </row>
    <row r="27" ht="15" customHeight="1" s="21">
      <c r="A27" s="42" t="inlineStr">
        <is>
          <t>Woodson</t>
        </is>
      </c>
      <c r="B27" s="42" t="inlineStr">
        <is>
          <t>Woodson ES</t>
        </is>
      </c>
      <c r="C27" s="42" t="inlineStr">
        <is>
          <t>NES Elementary</t>
        </is>
      </c>
      <c r="D27" s="42" t="inlineStr">
        <is>
          <t>Same campus, spelled differently.</t>
        </is>
      </c>
    </row>
  </sheetData>
  <mergeCells count="1">
    <mergeCell ref="A2:D2"/>
  </mergeCells>
  <printOptions horizontalCentered="0" verticalCentered="0" headings="0" gridLines="0" gridLinesSet="1"/>
  <pageMargins left="0.75" right="0.75" top="1" bottom="1" header="0.511811023622047" footer="0.511811023622047"/>
  <pageSetup orientation="landscape" paperSize="1" scale="100" fitToHeight="0"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2026-10-02T16:36:56Z</dcterms:created>
  <dcterms:modified xmlns:dcterms="http://purl.org/dc/terms/" xmlns:xsi="http://www.w3.org/2001/XMLSchema-instance" xsi:type="dcterms:W3CDTF">2026-10-30T19:52:28Z</dcterms:modified>
  <cp:revision>0</cp:revision>
</cp:coreProperties>
</file>